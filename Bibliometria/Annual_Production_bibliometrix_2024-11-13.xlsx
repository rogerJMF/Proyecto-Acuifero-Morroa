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Information Ccohen\PC Ccohen Data Rescue\Disk D\ISem26\PhD\Repositorio\Bibliometría\"/>
    </mc:Choice>
  </mc:AlternateContent>
  <xr:revisionPtr revIDLastSave="0" documentId="8_{87CEF921-BBBD-4694-9C5D-57BABFC47D54}" xr6:coauthVersionLast="47" xr6:coauthVersionMax="47" xr10:uidLastSave="{00000000-0000-0000-0000-000000000000}"/>
  <bookViews>
    <workbookView xWindow="-19290" yWindow="-90" windowWidth="19380" windowHeight="102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3" i="1"/>
  <c r="F13" i="1"/>
</calcChain>
</file>

<file path=xl/sharedStrings.xml><?xml version="1.0" encoding="utf-8"?>
<sst xmlns="http://schemas.openxmlformats.org/spreadsheetml/2006/main" count="82" uniqueCount="65">
  <si>
    <t>Year</t>
  </si>
  <si>
    <t>Articles</t>
  </si>
  <si>
    <t>Annual Production</t>
  </si>
  <si>
    <t>Country</t>
  </si>
  <si>
    <t>TC</t>
  </si>
  <si>
    <t>CHINA</t>
  </si>
  <si>
    <t>KOREA</t>
  </si>
  <si>
    <t>SPAIN</t>
  </si>
  <si>
    <t>INDIA</t>
  </si>
  <si>
    <t>USA</t>
  </si>
  <si>
    <t>ITALY</t>
  </si>
  <si>
    <t>GREECE</t>
  </si>
  <si>
    <t>AUSTRALIA</t>
  </si>
  <si>
    <t>CANADA</t>
  </si>
  <si>
    <t>Most Cited Countries</t>
  </si>
  <si>
    <t>Affiliation</t>
  </si>
  <si>
    <t>NATIONAL INSTITUTE OF TECHNOLOGY (NIT SYSTEM)</t>
  </si>
  <si>
    <t>UNIVERSITAT POLITECNICA DE VALENCIA</t>
  </si>
  <si>
    <t>INDIAN INSTITUTE OF TECHNOLOGY SYSTEM (IIT SYSTEM)</t>
  </si>
  <si>
    <t>EGYPTIAN KNOWLEDGE BANK (EKB)</t>
  </si>
  <si>
    <t>KING ABDULAZIZ UNIVERSITY</t>
  </si>
  <si>
    <t>STATE UNIVERSITY SYSTEM OF FLORIDA</t>
  </si>
  <si>
    <t>DUY TAN UNIVERSITY</t>
  </si>
  <si>
    <t>VELLORE INSTITUTE OF TECHNOLOGY (VIT)</t>
  </si>
  <si>
    <t>CENTRE NATIONAL DE LA RECHERCHE SCIENTIFIQUE (CNRS)</t>
  </si>
  <si>
    <t>KING KHALID UNIVERSITY</t>
  </si>
  <si>
    <t xml:space="preserve"> Most Relevant Affiliations</t>
  </si>
  <si>
    <t>Authors</t>
  </si>
  <si>
    <t>LLORET J</t>
  </si>
  <si>
    <t>MIRZAVAND R</t>
  </si>
  <si>
    <t>HONARI MM</t>
  </si>
  <si>
    <t>MOUSAVI P</t>
  </si>
  <si>
    <t>ABDULLAH NF</t>
  </si>
  <si>
    <t>ALOBAIDY HAH</t>
  </si>
  <si>
    <t>GANDOMI AH</t>
  </si>
  <si>
    <t>GUPTA D</t>
  </si>
  <si>
    <t>JIMENEZ JM</t>
  </si>
  <si>
    <t>KHALID N</t>
  </si>
  <si>
    <t>Most Relevant Author</t>
  </si>
  <si>
    <t>Sources</t>
  </si>
  <si>
    <t>SENSORS</t>
  </si>
  <si>
    <t>IEEE ACCESS</t>
  </si>
  <si>
    <t>IEEE INTERNET OF THINGS JOURNAL</t>
  </si>
  <si>
    <t>INTERNET OF THINGS</t>
  </si>
  <si>
    <t>IEEE SENSORS JOURNAL</t>
  </si>
  <si>
    <t>WIRELESS PERSONAL COMMUNICATIONS</t>
  </si>
  <si>
    <t>ELECTRONICS</t>
  </si>
  <si>
    <t>CMC-COMPUTERS MATERIALS &amp; CONTINUA</t>
  </si>
  <si>
    <t>COMPUTER NETWORKS</t>
  </si>
  <si>
    <t>MICROPROCESSORS AND MICROSYSTEMS</t>
  </si>
  <si>
    <t>Most Relevant Sources</t>
  </si>
  <si>
    <t>U.K</t>
  </si>
  <si>
    <t>Total Citations</t>
  </si>
  <si>
    <t>MAIA RF</t>
  </si>
  <si>
    <t>CINNOTI TS</t>
  </si>
  <si>
    <t>DANTAR R</t>
  </si>
  <si>
    <t>KAMIENSKI C</t>
  </si>
  <si>
    <t>NETO AT</t>
  </si>
  <si>
    <t>SOININEN JP</t>
  </si>
  <si>
    <t>TAUMBERGER M</t>
  </si>
  <si>
    <t>TOSCANO</t>
  </si>
  <si>
    <t>Cites</t>
  </si>
  <si>
    <t>SAHEED YK</t>
  </si>
  <si>
    <t>QUIAO J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</si>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</sst>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name val="Calibri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7030A0"/>
      <name val="Calibri"/>
      <family val="2"/>
    </font>
    <font>
      <sz val="11"/>
      <color rgb="FF7030A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Medium4"/>
  <colors>
    <mruColors>
      <color rgb="FFEBECBA"/>
      <color rgb="FFD3DCB6"/>
      <color rgb="FF000000"/>
      <color rgb="FFE75E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Articles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Sheet1!$A$3:$A$12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xVal>
          <c:yVal>
            <c:numRef>
              <c:f>Sheet1!$B$3:$B$12</c:f>
              <c:numCache>
                <c:formatCode>General</c:formatCode>
                <c:ptCount val="10"/>
                <c:pt idx="0">
                  <c:v>5</c:v>
                </c:pt>
                <c:pt idx="1">
                  <c:v>8</c:v>
                </c:pt>
                <c:pt idx="2">
                  <c:v>10</c:v>
                </c:pt>
                <c:pt idx="3">
                  <c:v>25</c:v>
                </c:pt>
                <c:pt idx="4">
                  <c:v>38</c:v>
                </c:pt>
                <c:pt idx="5">
                  <c:v>57</c:v>
                </c:pt>
                <c:pt idx="6">
                  <c:v>71</c:v>
                </c:pt>
                <c:pt idx="7">
                  <c:v>105</c:v>
                </c:pt>
                <c:pt idx="8">
                  <c:v>80</c:v>
                </c:pt>
                <c:pt idx="9">
                  <c:v>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74-486A-AC7D-6DB74EEC5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0974687"/>
        <c:axId val="1630975647"/>
      </c:scatterChart>
      <c:valAx>
        <c:axId val="1630974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30975647"/>
        <c:crosses val="autoZero"/>
        <c:crossBetween val="midCat"/>
      </c:valAx>
      <c:valAx>
        <c:axId val="163097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3097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TC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E75E19"/>
              </a:solidFill>
              <a:ln w="9525" cap="flat" cmpd="sng" algn="ctr">
                <a:solidFill>
                  <a:srgbClr val="002060"/>
                </a:solidFill>
                <a:round/>
              </a:ln>
              <a:effectLst/>
              <a:sp3d contourW="9525">
                <a:contourClr>
                  <a:srgbClr val="00206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0-AEAD-4324-8096-5D50015F8733}"/>
              </c:ext>
            </c:extLst>
          </c:dPt>
          <c:cat>
            <c:strRef>
              <c:f>Sheet1!$E$3:$E$12</c:f>
              <c:strCache>
                <c:ptCount val="10"/>
                <c:pt idx="0">
                  <c:v>CHINA</c:v>
                </c:pt>
                <c:pt idx="1">
                  <c:v>KOREA</c:v>
                </c:pt>
                <c:pt idx="2">
                  <c:v>SPAIN</c:v>
                </c:pt>
                <c:pt idx="3">
                  <c:v>INDIA</c:v>
                </c:pt>
                <c:pt idx="4">
                  <c:v>U.K</c:v>
                </c:pt>
                <c:pt idx="5">
                  <c:v>USA</c:v>
                </c:pt>
                <c:pt idx="6">
                  <c:v>ITALY</c:v>
                </c:pt>
                <c:pt idx="7">
                  <c:v>GREECE</c:v>
                </c:pt>
                <c:pt idx="8">
                  <c:v>AUSTRALIA</c:v>
                </c:pt>
                <c:pt idx="9">
                  <c:v>CANADA</c:v>
                </c:pt>
              </c:strCache>
            </c:strRef>
          </c:cat>
          <c:val>
            <c:numRef>
              <c:f>Sheet1!$F$3:$F$12</c:f>
              <c:numCache>
                <c:formatCode>General</c:formatCode>
                <c:ptCount val="10"/>
                <c:pt idx="0">
                  <c:v>1440</c:v>
                </c:pt>
                <c:pt idx="1">
                  <c:v>896</c:v>
                </c:pt>
                <c:pt idx="2">
                  <c:v>863</c:v>
                </c:pt>
                <c:pt idx="3">
                  <c:v>773</c:v>
                </c:pt>
                <c:pt idx="4">
                  <c:v>512</c:v>
                </c:pt>
                <c:pt idx="5">
                  <c:v>500</c:v>
                </c:pt>
                <c:pt idx="6">
                  <c:v>455</c:v>
                </c:pt>
                <c:pt idx="7">
                  <c:v>441</c:v>
                </c:pt>
                <c:pt idx="8">
                  <c:v>411</c:v>
                </c:pt>
                <c:pt idx="9">
                  <c:v>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B6-4B3B-80A8-EBB048893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23287215"/>
        <c:axId val="1623283855"/>
        <c:axId val="0"/>
      </c:bar3DChart>
      <c:catAx>
        <c:axId val="162328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23283855"/>
        <c:crosses val="autoZero"/>
        <c:auto val="1"/>
        <c:lblAlgn val="ctr"/>
        <c:lblOffset val="100"/>
        <c:noMultiLvlLbl val="0"/>
      </c:catAx>
      <c:valAx>
        <c:axId val="162328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23287215"/>
        <c:crosses val="autoZero"/>
        <c:crossBetween val="between"/>
        <c:majorUnit val="4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Sheet1!$P$2</c:f>
              <c:strCache>
                <c:ptCount val="1"/>
                <c:pt idx="0">
                  <c:v>Articles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Sheet1!$O$3:$O$12</c:f>
              <c:strCache>
                <c:ptCount val="10"/>
                <c:pt idx="0">
                  <c:v>SENSORS</c:v>
                </c:pt>
                <c:pt idx="1">
                  <c:v>IEEE ACCESS</c:v>
                </c:pt>
                <c:pt idx="2">
                  <c:v>IEEE INTERNET OF THINGS JOURNAL</c:v>
                </c:pt>
                <c:pt idx="3">
                  <c:v>INTERNET OF THINGS</c:v>
                </c:pt>
                <c:pt idx="4">
                  <c:v>IEEE SENSORS JOURNAL</c:v>
                </c:pt>
                <c:pt idx="5">
                  <c:v>WIRELESS PERSONAL COMMUNICATIONS</c:v>
                </c:pt>
                <c:pt idx="6">
                  <c:v>ELECTRONICS</c:v>
                </c:pt>
                <c:pt idx="7">
                  <c:v>CMC-COMPUTERS MATERIALS &amp; CONTINUA</c:v>
                </c:pt>
                <c:pt idx="8">
                  <c:v>COMPUTER NETWORKS</c:v>
                </c:pt>
                <c:pt idx="9">
                  <c:v>MICROPROCESSORS AND MICROSYSTEMS</c:v>
                </c:pt>
              </c:strCache>
            </c:strRef>
          </c:cat>
          <c:val>
            <c:numRef>
              <c:f>Sheet1!$P$3:$P$12</c:f>
              <c:numCache>
                <c:formatCode>General</c:formatCode>
                <c:ptCount val="10"/>
                <c:pt idx="0">
                  <c:v>91</c:v>
                </c:pt>
                <c:pt idx="1">
                  <c:v>55</c:v>
                </c:pt>
                <c:pt idx="2">
                  <c:v>43</c:v>
                </c:pt>
                <c:pt idx="3">
                  <c:v>16</c:v>
                </c:pt>
                <c:pt idx="4">
                  <c:v>15</c:v>
                </c:pt>
                <c:pt idx="5">
                  <c:v>14</c:v>
                </c:pt>
                <c:pt idx="6">
                  <c:v>12</c:v>
                </c:pt>
                <c:pt idx="7">
                  <c:v>9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42-4F80-9254-E19F2D8FB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39283407"/>
        <c:axId val="469152847"/>
        <c:axId val="0"/>
      </c:bar3DChart>
      <c:catAx>
        <c:axId val="103928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69152847"/>
        <c:crosses val="autoZero"/>
        <c:auto val="1"/>
        <c:lblAlgn val="ctr"/>
        <c:lblOffset val="100"/>
        <c:noMultiLvlLbl val="0"/>
      </c:catAx>
      <c:valAx>
        <c:axId val="469152847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9283407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Sheet1!$M$2</c:f>
              <c:strCache>
                <c:ptCount val="1"/>
                <c:pt idx="0">
                  <c:v>Articles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Sheet1!$L$3:$L$12</c:f>
              <c:strCache>
                <c:ptCount val="10"/>
                <c:pt idx="0">
                  <c:v>NATIONAL INSTITUTE OF TECHNOLOGY (NIT SYSTEM)</c:v>
                </c:pt>
                <c:pt idx="1">
                  <c:v>UNIVERSITAT POLITECNICA DE VALENCIA</c:v>
                </c:pt>
                <c:pt idx="2">
                  <c:v>INDIAN INSTITUTE OF TECHNOLOGY SYSTEM (IIT SYSTEM)</c:v>
                </c:pt>
                <c:pt idx="3">
                  <c:v>EGYPTIAN KNOWLEDGE BANK (EKB)</c:v>
                </c:pt>
                <c:pt idx="4">
                  <c:v>KING ABDULAZIZ UNIVERSITY</c:v>
                </c:pt>
                <c:pt idx="5">
                  <c:v>STATE UNIVERSITY SYSTEM OF FLORIDA</c:v>
                </c:pt>
                <c:pt idx="6">
                  <c:v>DUY TAN UNIVERSITY</c:v>
                </c:pt>
                <c:pt idx="7">
                  <c:v>VELLORE INSTITUTE OF TECHNOLOGY (VIT)</c:v>
                </c:pt>
                <c:pt idx="8">
                  <c:v>CENTRE NATIONAL DE LA RECHERCHE SCIENTIFIQUE (CNRS)</c:v>
                </c:pt>
                <c:pt idx="9">
                  <c:v>KING KHALID UNIVERSITY</c:v>
                </c:pt>
              </c:strCache>
            </c:strRef>
          </c:cat>
          <c:val>
            <c:numRef>
              <c:f>Sheet1!$M$3:$M$12</c:f>
              <c:numCache>
                <c:formatCode>General</c:formatCode>
                <c:ptCount val="10"/>
                <c:pt idx="0">
                  <c:v>14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10</c:v>
                </c:pt>
                <c:pt idx="7">
                  <c:v>10</c:v>
                </c:pt>
                <c:pt idx="8">
                  <c:v>9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7F-4DE7-A6E5-778F8C9EE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31751167"/>
        <c:axId val="1631750687"/>
      </c:barChart>
      <c:catAx>
        <c:axId val="1631751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31750687"/>
        <c:crosses val="autoZero"/>
        <c:auto val="1"/>
        <c:lblAlgn val="ctr"/>
        <c:lblOffset val="100"/>
        <c:noMultiLvlLbl val="0"/>
      </c:catAx>
      <c:valAx>
        <c:axId val="1631750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31751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242784713322452E-2"/>
          <c:y val="4.0592789683536051E-2"/>
          <c:w val="0.96151443057335506"/>
          <c:h val="0.78273801385126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Articles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25400" cap="flat" cmpd="sng" algn="ctr">
                <a:solidFill>
                  <a:srgbClr val="FF0000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0-93FD-4136-BD88-17EAB529EF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Sheet1!$C$3:$C$12</c:f>
              <c:strCache>
                <c:ptCount val="10"/>
                <c:pt idx="0">
                  <c:v>LLORET J</c:v>
                </c:pt>
                <c:pt idx="1">
                  <c:v>MIRZAVAND R</c:v>
                </c:pt>
                <c:pt idx="2">
                  <c:v>HONARI MM</c:v>
                </c:pt>
                <c:pt idx="3">
                  <c:v>MOUSAVI P</c:v>
                </c:pt>
                <c:pt idx="4">
                  <c:v>ABDULLAH NF</c:v>
                </c:pt>
                <c:pt idx="5">
                  <c:v>ALOBAIDY HAH</c:v>
                </c:pt>
                <c:pt idx="6">
                  <c:v>GANDOMI AH</c:v>
                </c:pt>
                <c:pt idx="7">
                  <c:v>GUPTA D</c:v>
                </c:pt>
                <c:pt idx="8">
                  <c:v>JIMENEZ JM</c:v>
                </c:pt>
                <c:pt idx="9">
                  <c:v>KHALID N</c:v>
                </c:pt>
              </c:strCache>
            </c:strRef>
          </c:cat>
          <c:val>
            <c:numRef>
              <c:f>Sheet1!$D$3:$D$12</c:f>
              <c:numCache>
                <c:formatCode>General</c:formatCode>
                <c:ptCount val="10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E8-4760-9A47-B41E9E210AB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35"/>
        <c:axId val="684528671"/>
        <c:axId val="684529151"/>
      </c:barChart>
      <c:catAx>
        <c:axId val="68452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84529151"/>
        <c:crosses val="autoZero"/>
        <c:auto val="1"/>
        <c:lblAlgn val="ctr"/>
        <c:lblOffset val="100"/>
        <c:noMultiLvlLbl val="0"/>
      </c:catAx>
      <c:valAx>
        <c:axId val="68452915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84528671"/>
        <c:crosses val="autoZero"/>
        <c:crossBetween val="between"/>
      </c:valAx>
      <c:spPr>
        <a:noFill/>
        <a:ln w="1905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Sheet1!$P$34</c:f>
              <c:strCache>
                <c:ptCount val="1"/>
                <c:pt idx="0">
                  <c:v>Cites</c:v>
                </c:pt>
              </c:strCache>
            </c:strRef>
          </c:tx>
          <c:spPr>
            <a:solidFill>
              <a:srgbClr val="EBECBA"/>
            </a:solidFill>
            <a:ln w="19050" cap="flat" cmpd="sng" algn="ctr">
              <a:solidFill>
                <a:schemeClr val="tx1"/>
              </a:solidFill>
              <a:miter lim="800000"/>
            </a:ln>
            <a:effectLst/>
          </c:spPr>
          <c:invertIfNegative val="0"/>
          <c:cat>
            <c:strRef>
              <c:f>Sheet1!$O$35:$O$44</c:f>
              <c:strCache>
                <c:ptCount val="10"/>
                <c:pt idx="0">
                  <c:v>SAHEED YK</c:v>
                </c:pt>
                <c:pt idx="1">
                  <c:v>QUIAO J</c:v>
                </c:pt>
                <c:pt idx="2">
                  <c:v>MAIA RF</c:v>
                </c:pt>
                <c:pt idx="3">
                  <c:v>CINNOTI TS</c:v>
                </c:pt>
                <c:pt idx="4">
                  <c:v>DANTAR R</c:v>
                </c:pt>
                <c:pt idx="5">
                  <c:v>KAMIENSKI C</c:v>
                </c:pt>
                <c:pt idx="6">
                  <c:v>NETO AT</c:v>
                </c:pt>
                <c:pt idx="7">
                  <c:v>SOININEN JP</c:v>
                </c:pt>
                <c:pt idx="8">
                  <c:v>TAUMBERGER M</c:v>
                </c:pt>
                <c:pt idx="9">
                  <c:v>TOSCANO</c:v>
                </c:pt>
              </c:strCache>
            </c:strRef>
          </c:cat>
          <c:val>
            <c:numRef>
              <c:f>Sheet1!$P$35:$P$44</c:f>
              <c:numCache>
                <c:formatCode>General</c:formatCode>
                <c:ptCount val="10"/>
                <c:pt idx="0">
                  <c:v>32</c:v>
                </c:pt>
                <c:pt idx="1">
                  <c:v>23</c:v>
                </c:pt>
                <c:pt idx="2">
                  <c:v>21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7C-41E0-95AF-AB0A9B2ED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35"/>
        <c:axId val="876976960"/>
        <c:axId val="876977440"/>
      </c:barChart>
      <c:catAx>
        <c:axId val="87697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6977440"/>
        <c:crosses val="autoZero"/>
        <c:auto val="1"/>
        <c:lblAlgn val="ctr"/>
        <c:lblOffset val="100"/>
        <c:noMultiLvlLbl val="0"/>
      </c:catAx>
      <c:valAx>
        <c:axId val="876977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697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86179</xdr:rowOff>
    </xdr:from>
    <xdr:to>
      <xdr:col>5</xdr:col>
      <xdr:colOff>564243</xdr:colOff>
      <xdr:row>29</xdr:row>
      <xdr:rowOff>67129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923C805-8C62-B3C0-1239-C0F5FDD189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86178</xdr:colOff>
      <xdr:row>15</xdr:row>
      <xdr:rowOff>75293</xdr:rowOff>
    </xdr:from>
    <xdr:to>
      <xdr:col>14</xdr:col>
      <xdr:colOff>267606</xdr:colOff>
      <xdr:row>30</xdr:row>
      <xdr:rowOff>97065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301EBC9-7747-5D07-9983-31AF8619AE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449035</xdr:colOff>
      <xdr:row>13</xdr:row>
      <xdr:rowOff>102508</xdr:rowOff>
    </xdr:from>
    <xdr:to>
      <xdr:col>19</xdr:col>
      <xdr:colOff>31750</xdr:colOff>
      <xdr:row>28</xdr:row>
      <xdr:rowOff>124279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1688753-2CCD-4C82-08CD-2D2697F8F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394607</xdr:colOff>
      <xdr:row>0</xdr:row>
      <xdr:rowOff>156935</xdr:rowOff>
    </xdr:from>
    <xdr:to>
      <xdr:col>25</xdr:col>
      <xdr:colOff>154214</xdr:colOff>
      <xdr:row>15</xdr:row>
      <xdr:rowOff>178706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5F04C04-212A-2634-8B47-983D54E67F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385537</xdr:colOff>
      <xdr:row>30</xdr:row>
      <xdr:rowOff>93436</xdr:rowOff>
    </xdr:from>
    <xdr:to>
      <xdr:col>11</xdr:col>
      <xdr:colOff>279401</xdr:colOff>
      <xdr:row>45</xdr:row>
      <xdr:rowOff>115207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40233F5-EBFE-A162-3B98-FB6D287D2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201237</xdr:colOff>
      <xdr:row>30</xdr:row>
      <xdr:rowOff>84073</xdr:rowOff>
    </xdr:from>
    <xdr:to>
      <xdr:col>12</xdr:col>
      <xdr:colOff>113126</xdr:colOff>
      <xdr:row>48</xdr:row>
      <xdr:rowOff>120881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D05C35-20B0-DD4A-F6FD-6944E4C892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4"/>
  <sheetViews>
    <sheetView tabSelected="1" topLeftCell="A4" zoomScale="50" zoomScaleNormal="50" workbookViewId="0">
      <selection activeCell="I18" sqref="I18"/>
    </sheetView>
  </sheetViews>
  <sheetFormatPr baseColWidth="10" defaultRowHeight="14.4" x14ac:dyDescent="0.3"/>
  <cols>
    <col min="1" max="1" width="6" style="3" customWidth="1"/>
    <col min="2" max="2" width="10.77734375" style="3" customWidth="1"/>
    <col min="3" max="3" width="13.44140625" style="3" bestFit="1" customWidth="1"/>
    <col min="4" max="4" width="10.88671875" style="3"/>
    <col min="5" max="5" width="16.21875" style="3" bestFit="1" customWidth="1"/>
    <col min="6" max="6" width="10.88671875" style="3"/>
    <col min="7" max="7" width="6.44140625" style="3" customWidth="1"/>
    <col min="8" max="8" width="12.33203125" style="3" customWidth="1"/>
    <col min="9" max="9" width="13" style="3" bestFit="1" customWidth="1"/>
    <col min="10" max="10" width="10.88671875" style="3"/>
    <col min="11" max="11" width="1.44140625" style="3" customWidth="1"/>
    <col min="12" max="12" width="50.5546875" style="3" bestFit="1" customWidth="1"/>
    <col min="13" max="13" width="10.88671875" style="3"/>
    <col min="14" max="14" width="1.33203125" style="3" customWidth="1"/>
    <col min="15" max="15" width="22.109375" customWidth="1"/>
    <col min="16" max="16" width="10.88671875" style="2"/>
    <col min="17" max="17" width="2" customWidth="1"/>
    <col min="18" max="18" width="14.88671875" customWidth="1"/>
  </cols>
  <sheetData>
    <row r="1" spans="1:16" s="4" customFormat="1" x14ac:dyDescent="0.3">
      <c r="A1" s="16" t="s">
        <v>2</v>
      </c>
      <c r="B1" s="16"/>
      <c r="C1" s="17" t="s">
        <v>38</v>
      </c>
      <c r="D1" s="17"/>
      <c r="E1" s="17" t="s">
        <v>14</v>
      </c>
      <c r="F1" s="17"/>
      <c r="G1" s="13"/>
      <c r="H1" s="13"/>
      <c r="I1" s="13"/>
      <c r="J1" s="13"/>
      <c r="K1" s="13"/>
      <c r="L1" s="16" t="s">
        <v>26</v>
      </c>
      <c r="M1" s="16"/>
      <c r="O1" s="16" t="s">
        <v>50</v>
      </c>
      <c r="P1" s="16"/>
    </row>
    <row r="2" spans="1:16" x14ac:dyDescent="0.3">
      <c r="A2" s="5" t="s">
        <v>0</v>
      </c>
      <c r="B2" s="5" t="s">
        <v>1</v>
      </c>
      <c r="C2" s="7" t="s">
        <v>27</v>
      </c>
      <c r="D2" s="7" t="s">
        <v>1</v>
      </c>
      <c r="E2" s="7" t="s">
        <v>3</v>
      </c>
      <c r="F2" s="7" t="s">
        <v>4</v>
      </c>
      <c r="G2" s="14" t="s">
        <v>64</v>
      </c>
      <c r="H2" s="12" t="s">
        <v>0</v>
      </c>
      <c r="I2" s="12" t="s">
        <v>52</v>
      </c>
      <c r="J2" s="12"/>
      <c r="L2" s="7" t="s">
        <v>15</v>
      </c>
      <c r="M2" s="7" t="s">
        <v>1</v>
      </c>
      <c r="O2" s="8" t="s">
        <v>39</v>
      </c>
      <c r="P2" s="10" t="s">
        <v>1</v>
      </c>
    </row>
    <row r="3" spans="1:16" x14ac:dyDescent="0.3">
      <c r="A3" s="6">
        <v>2015</v>
      </c>
      <c r="B3" s="6">
        <v>5</v>
      </c>
      <c r="C3" s="1" t="s">
        <v>28</v>
      </c>
      <c r="D3" s="6">
        <v>6</v>
      </c>
      <c r="E3" s="9" t="s">
        <v>5</v>
      </c>
      <c r="F3" s="6">
        <v>1440</v>
      </c>
      <c r="G3" s="15">
        <f>F3/$F$13</f>
        <v>0.21667168221486607</v>
      </c>
      <c r="H3" s="6">
        <v>2015</v>
      </c>
      <c r="I3" s="6">
        <v>45</v>
      </c>
      <c r="L3" s="9" t="s">
        <v>16</v>
      </c>
      <c r="M3" s="6">
        <v>14</v>
      </c>
      <c r="O3" s="1" t="s">
        <v>40</v>
      </c>
      <c r="P3" s="11">
        <v>91</v>
      </c>
    </row>
    <row r="4" spans="1:16" x14ac:dyDescent="0.3">
      <c r="A4" s="6">
        <v>2016</v>
      </c>
      <c r="B4" s="6">
        <v>8</v>
      </c>
      <c r="C4" s="1" t="s">
        <v>29</v>
      </c>
      <c r="D4" s="6">
        <v>5</v>
      </c>
      <c r="E4" s="9" t="s">
        <v>6</v>
      </c>
      <c r="F4" s="6">
        <v>896</v>
      </c>
      <c r="G4" s="15">
        <f t="shared" ref="G4:G12" si="0">F4/$F$13</f>
        <v>0.13481793560036112</v>
      </c>
      <c r="H4" s="6">
        <v>2016</v>
      </c>
      <c r="I4" s="6">
        <v>154</v>
      </c>
      <c r="L4" s="9" t="s">
        <v>17</v>
      </c>
      <c r="M4" s="6">
        <v>14</v>
      </c>
      <c r="O4" s="1" t="s">
        <v>41</v>
      </c>
      <c r="P4" s="11">
        <v>55</v>
      </c>
    </row>
    <row r="5" spans="1:16" x14ac:dyDescent="0.3">
      <c r="A5" s="6">
        <v>2017</v>
      </c>
      <c r="B5" s="6">
        <v>10</v>
      </c>
      <c r="C5" s="1" t="s">
        <v>30</v>
      </c>
      <c r="D5" s="6">
        <v>4</v>
      </c>
      <c r="E5" s="9" t="s">
        <v>7</v>
      </c>
      <c r="F5" s="6">
        <v>863</v>
      </c>
      <c r="G5" s="15">
        <f t="shared" si="0"/>
        <v>0.1298525428829371</v>
      </c>
      <c r="H5" s="6">
        <v>2017</v>
      </c>
      <c r="I5" s="6">
        <v>65</v>
      </c>
      <c r="L5" s="9" t="s">
        <v>18</v>
      </c>
      <c r="M5" s="6">
        <v>13</v>
      </c>
      <c r="O5" s="1" t="s">
        <v>42</v>
      </c>
      <c r="P5" s="11">
        <v>43</v>
      </c>
    </row>
    <row r="6" spans="1:16" x14ac:dyDescent="0.3">
      <c r="A6" s="6">
        <v>2018</v>
      </c>
      <c r="B6" s="6">
        <v>25</v>
      </c>
      <c r="C6" s="1" t="s">
        <v>31</v>
      </c>
      <c r="D6" s="6">
        <v>4</v>
      </c>
      <c r="E6" s="9" t="s">
        <v>8</v>
      </c>
      <c r="F6" s="6">
        <v>773</v>
      </c>
      <c r="G6" s="15">
        <f t="shared" si="0"/>
        <v>0.11631056274450798</v>
      </c>
      <c r="H6" s="6">
        <v>2018</v>
      </c>
      <c r="I6" s="6">
        <v>268</v>
      </c>
      <c r="L6" s="9" t="s">
        <v>19</v>
      </c>
      <c r="M6" s="6">
        <v>12</v>
      </c>
      <c r="O6" s="1" t="s">
        <v>43</v>
      </c>
      <c r="P6" s="11">
        <v>16</v>
      </c>
    </row>
    <row r="7" spans="1:16" x14ac:dyDescent="0.3">
      <c r="A7" s="6">
        <v>2019</v>
      </c>
      <c r="B7" s="6">
        <v>38</v>
      </c>
      <c r="C7" s="1" t="s">
        <v>32</v>
      </c>
      <c r="D7" s="6">
        <v>3</v>
      </c>
      <c r="E7" s="9" t="s">
        <v>51</v>
      </c>
      <c r="F7" s="6">
        <v>512</v>
      </c>
      <c r="G7" s="15">
        <f t="shared" si="0"/>
        <v>7.7038820343063502E-2</v>
      </c>
      <c r="H7" s="6">
        <v>2019</v>
      </c>
      <c r="I7" s="6">
        <v>195</v>
      </c>
      <c r="L7" s="9" t="s">
        <v>20</v>
      </c>
      <c r="M7" s="6">
        <v>11</v>
      </c>
      <c r="O7" s="1" t="s">
        <v>44</v>
      </c>
      <c r="P7" s="11">
        <v>15</v>
      </c>
    </row>
    <row r="8" spans="1:16" x14ac:dyDescent="0.3">
      <c r="A8" s="6">
        <v>2020</v>
      </c>
      <c r="B8" s="6">
        <v>57</v>
      </c>
      <c r="C8" s="1" t="s">
        <v>33</v>
      </c>
      <c r="D8" s="6">
        <v>3</v>
      </c>
      <c r="E8" s="9" t="s">
        <v>9</v>
      </c>
      <c r="F8" s="6">
        <v>500</v>
      </c>
      <c r="G8" s="15">
        <f t="shared" si="0"/>
        <v>7.5233222991272941E-2</v>
      </c>
      <c r="H8" s="6">
        <v>2020</v>
      </c>
      <c r="I8" s="6">
        <v>155</v>
      </c>
      <c r="L8" s="9" t="s">
        <v>21</v>
      </c>
      <c r="M8" s="6">
        <v>11</v>
      </c>
      <c r="O8" s="1" t="s">
        <v>45</v>
      </c>
      <c r="P8" s="11">
        <v>14</v>
      </c>
    </row>
    <row r="9" spans="1:16" x14ac:dyDescent="0.3">
      <c r="A9" s="6">
        <v>2021</v>
      </c>
      <c r="B9" s="6">
        <v>71</v>
      </c>
      <c r="C9" s="1" t="s">
        <v>34</v>
      </c>
      <c r="D9" s="6">
        <v>3</v>
      </c>
      <c r="E9" s="9" t="s">
        <v>10</v>
      </c>
      <c r="F9" s="6">
        <v>455</v>
      </c>
      <c r="G9" s="15">
        <f t="shared" si="0"/>
        <v>6.8462232922058386E-2</v>
      </c>
      <c r="H9" s="6">
        <v>2021</v>
      </c>
      <c r="I9" s="6">
        <v>450</v>
      </c>
      <c r="L9" s="9" t="s">
        <v>22</v>
      </c>
      <c r="M9" s="6">
        <v>10</v>
      </c>
      <c r="O9" s="1" t="s">
        <v>46</v>
      </c>
      <c r="P9" s="11">
        <v>12</v>
      </c>
    </row>
    <row r="10" spans="1:16" x14ac:dyDescent="0.3">
      <c r="A10" s="6">
        <v>2022</v>
      </c>
      <c r="B10" s="6">
        <v>105</v>
      </c>
      <c r="C10" s="1" t="s">
        <v>35</v>
      </c>
      <c r="D10" s="6">
        <v>3</v>
      </c>
      <c r="E10" s="9" t="s">
        <v>11</v>
      </c>
      <c r="F10" s="6">
        <v>441</v>
      </c>
      <c r="G10" s="15">
        <f t="shared" si="0"/>
        <v>6.6355702678302736E-2</v>
      </c>
      <c r="H10" s="6">
        <v>2022</v>
      </c>
      <c r="I10" s="6">
        <v>783</v>
      </c>
      <c r="L10" s="9" t="s">
        <v>23</v>
      </c>
      <c r="M10" s="6">
        <v>10</v>
      </c>
      <c r="O10" s="1" t="s">
        <v>47</v>
      </c>
      <c r="P10" s="11">
        <v>9</v>
      </c>
    </row>
    <row r="11" spans="1:16" x14ac:dyDescent="0.3">
      <c r="A11" s="6">
        <v>2023</v>
      </c>
      <c r="B11" s="6">
        <v>80</v>
      </c>
      <c r="C11" s="1" t="s">
        <v>36</v>
      </c>
      <c r="D11" s="6">
        <v>3</v>
      </c>
      <c r="E11" s="9" t="s">
        <v>12</v>
      </c>
      <c r="F11" s="6">
        <v>411</v>
      </c>
      <c r="G11" s="15">
        <f t="shared" si="0"/>
        <v>6.1841709298826361E-2</v>
      </c>
      <c r="H11" s="6">
        <v>2023</v>
      </c>
      <c r="I11" s="6">
        <v>719</v>
      </c>
      <c r="L11" s="9" t="s">
        <v>24</v>
      </c>
      <c r="M11" s="6">
        <v>9</v>
      </c>
      <c r="O11" s="1" t="s">
        <v>48</v>
      </c>
      <c r="P11" s="11">
        <v>7</v>
      </c>
    </row>
    <row r="12" spans="1:16" x14ac:dyDescent="0.3">
      <c r="A12" s="6">
        <v>2024</v>
      </c>
      <c r="B12" s="6">
        <v>59</v>
      </c>
      <c r="C12" s="1" t="s">
        <v>37</v>
      </c>
      <c r="D12" s="6">
        <v>3</v>
      </c>
      <c r="E12" s="9" t="s">
        <v>13</v>
      </c>
      <c r="F12" s="6">
        <v>355</v>
      </c>
      <c r="G12" s="15">
        <f t="shared" si="0"/>
        <v>5.3415588323803789E-2</v>
      </c>
      <c r="H12" s="6">
        <v>2024</v>
      </c>
      <c r="I12" s="6">
        <v>1113</v>
      </c>
      <c r="L12" s="9" t="s">
        <v>25</v>
      </c>
      <c r="M12" s="6">
        <v>9</v>
      </c>
      <c r="O12" s="1" t="s">
        <v>49</v>
      </c>
      <c r="P12" s="11">
        <v>7</v>
      </c>
    </row>
    <row r="13" spans="1:16" x14ac:dyDescent="0.3">
      <c r="F13" s="3">
        <f>SUM(F3:F12)</f>
        <v>6646</v>
      </c>
    </row>
    <row r="34" spans="15:19" x14ac:dyDescent="0.3">
      <c r="O34" s="7" t="s">
        <v>27</v>
      </c>
      <c r="P34" s="7" t="s">
        <v>61</v>
      </c>
      <c r="R34" s="7" t="s">
        <v>27</v>
      </c>
      <c r="S34" s="7" t="s">
        <v>1</v>
      </c>
    </row>
    <row r="35" spans="15:19" x14ac:dyDescent="0.3">
      <c r="O35" s="1" t="s">
        <v>62</v>
      </c>
      <c r="P35" s="11">
        <v>32</v>
      </c>
      <c r="R35" s="1" t="s">
        <v>28</v>
      </c>
      <c r="S35" s="6">
        <v>6</v>
      </c>
    </row>
    <row r="36" spans="15:19" x14ac:dyDescent="0.3">
      <c r="O36" s="1" t="s">
        <v>63</v>
      </c>
      <c r="P36" s="11">
        <v>23</v>
      </c>
      <c r="R36" s="1" t="s">
        <v>29</v>
      </c>
      <c r="S36" s="6">
        <v>5</v>
      </c>
    </row>
    <row r="37" spans="15:19" x14ac:dyDescent="0.3">
      <c r="O37" s="1" t="s">
        <v>53</v>
      </c>
      <c r="P37" s="11">
        <v>21</v>
      </c>
      <c r="R37" s="1" t="s">
        <v>30</v>
      </c>
      <c r="S37" s="6">
        <v>4</v>
      </c>
    </row>
    <row r="38" spans="15:19" x14ac:dyDescent="0.3">
      <c r="O38" s="1" t="s">
        <v>54</v>
      </c>
      <c r="P38" s="11">
        <v>20</v>
      </c>
      <c r="R38" s="1" t="s">
        <v>31</v>
      </c>
      <c r="S38" s="6">
        <v>4</v>
      </c>
    </row>
    <row r="39" spans="15:19" x14ac:dyDescent="0.3">
      <c r="O39" s="1" t="s">
        <v>55</v>
      </c>
      <c r="P39" s="11">
        <v>20</v>
      </c>
      <c r="R39" s="1" t="s">
        <v>32</v>
      </c>
      <c r="S39" s="6">
        <v>3</v>
      </c>
    </row>
    <row r="40" spans="15:19" x14ac:dyDescent="0.3">
      <c r="O40" s="1" t="s">
        <v>56</v>
      </c>
      <c r="P40" s="11">
        <v>20</v>
      </c>
      <c r="R40" s="1" t="s">
        <v>33</v>
      </c>
      <c r="S40" s="6">
        <v>3</v>
      </c>
    </row>
    <row r="41" spans="15:19" x14ac:dyDescent="0.3">
      <c r="O41" s="1" t="s">
        <v>57</v>
      </c>
      <c r="P41" s="11">
        <v>20</v>
      </c>
      <c r="R41" s="1" t="s">
        <v>34</v>
      </c>
      <c r="S41" s="6">
        <v>3</v>
      </c>
    </row>
    <row r="42" spans="15:19" x14ac:dyDescent="0.3">
      <c r="O42" s="1" t="s">
        <v>58</v>
      </c>
      <c r="P42" s="11">
        <v>20</v>
      </c>
      <c r="R42" s="1" t="s">
        <v>35</v>
      </c>
      <c r="S42" s="6">
        <v>3</v>
      </c>
    </row>
    <row r="43" spans="15:19" x14ac:dyDescent="0.3">
      <c r="O43" s="1" t="s">
        <v>59</v>
      </c>
      <c r="P43" s="11">
        <v>20</v>
      </c>
      <c r="R43" s="1" t="s">
        <v>36</v>
      </c>
      <c r="S43" s="6">
        <v>3</v>
      </c>
    </row>
    <row r="44" spans="15:19" x14ac:dyDescent="0.3">
      <c r="O44" s="1" t="s">
        <v>60</v>
      </c>
      <c r="P44" s="11">
        <v>20</v>
      </c>
      <c r="R44" s="1" t="s">
        <v>37</v>
      </c>
      <c r="S44" s="6">
        <v>3</v>
      </c>
    </row>
  </sheetData>
  <mergeCells count="5">
    <mergeCell ref="A1:B1"/>
    <mergeCell ref="L1:M1"/>
    <mergeCell ref="C1:D1"/>
    <mergeCell ref="O1:P1"/>
    <mergeCell ref="E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ENERGETICA20301</dc:creator>
  <cp:lastModifiedBy>Carlos Segundo Cohen Manrique</cp:lastModifiedBy>
  <dcterms:created xsi:type="dcterms:W3CDTF">2026-05-22T15:41:01Z</dcterms:created>
  <dcterms:modified xsi:type="dcterms:W3CDTF">2026-05-22T15:41:01Z</dcterms:modified>
</cp:coreProperties>
</file>
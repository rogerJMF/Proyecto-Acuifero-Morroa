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formation Ccohen\PC Ccohen Data Rescue\Disk D\ISem26\PhD\Repositorio\Patentes IoT\"/>
    </mc:Choice>
  </mc:AlternateContent>
  <xr:revisionPtr revIDLastSave="0" documentId="8_{DB994BB3-533E-44A2-AE82-9457B52C484C}" xr6:coauthVersionLast="47" xr6:coauthVersionMax="47" xr10:uidLastSave="{00000000-0000-0000-0000-000000000000}"/>
  <bookViews>
    <workbookView xWindow="-19290" yWindow="-90" windowWidth="19380" windowHeight="10260" xr2:uid="{EB7982D9-97FE-46D3-A738-79AE156DA4C6}"/>
  </bookViews>
  <sheets>
    <sheet name="Filtring gp-search-20260516-205" sheetId="1" r:id="rId1"/>
    <sheet name="Resumen" sheetId="2" r:id="rId2"/>
    <sheet name="Clasificación tecnológic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3" i="2" l="1"/>
  <c r="N38" i="2"/>
  <c r="C24" i="3"/>
  <c r="C28" i="3"/>
  <c r="C26" i="3"/>
  <c r="C25" i="3"/>
  <c r="B21" i="3"/>
  <c r="I30" i="2"/>
  <c r="H29" i="2"/>
  <c r="G29" i="2"/>
  <c r="F29" i="2"/>
  <c r="E29" i="2"/>
  <c r="D29" i="2"/>
  <c r="C29" i="2"/>
  <c r="B29" i="2"/>
  <c r="H26" i="2"/>
  <c r="G26" i="2"/>
  <c r="F26" i="2"/>
  <c r="E26" i="2"/>
  <c r="D26" i="2"/>
  <c r="C26" i="2"/>
  <c r="B26" i="2"/>
  <c r="I25" i="2"/>
  <c r="I24" i="2"/>
  <c r="I23" i="2"/>
  <c r="I22" i="2"/>
  <c r="I21" i="2"/>
  <c r="B10" i="2"/>
  <c r="N41" i="2" l="1"/>
  <c r="N40" i="2"/>
  <c r="N39" i="2"/>
  <c r="C30" i="3"/>
  <c r="I26" i="2"/>
  <c r="N43" i="2" l="1"/>
  <c r="E27" i="2"/>
  <c r="F27" i="2"/>
  <c r="G27" i="2"/>
  <c r="H27" i="2"/>
  <c r="B27" i="2"/>
  <c r="J22" i="2"/>
  <c r="J23" i="2"/>
  <c r="J24" i="2"/>
  <c r="J25" i="2"/>
  <c r="D27" i="2"/>
  <c r="C27" i="2"/>
  <c r="J21" i="2"/>
  <c r="J26" i="2" l="1"/>
</calcChain>
</file>

<file path=xl/sharedStrings.xml><?xml version="1.0" encoding="utf-8"?>
<sst xmlns="http://schemas.openxmlformats.org/spreadsheetml/2006/main" count="5293" uniqueCount="5014">
  <si>
    <t>search URL:</t>
  </si>
  <si>
    <t>https://patents.google.com/?q=%28%22internet+of+things%22+AND+groundwater+AND+monitoring%29&amp;before=priority:20260101&amp;after=priority:20200101&amp;status=GRANT&amp;type=PATENT&amp;language=ENGLISH&amp;oq=%28%22internet+of+things%22+AND+groundwater+AND+monitoring%29+before:priority:20260101+after:priority:20200101+status:GRANT+language:ENGLISH+type:PATENT</t>
  </si>
  <si>
    <t>id</t>
  </si>
  <si>
    <t>title</t>
  </si>
  <si>
    <t>assignee</t>
  </si>
  <si>
    <t>inventor/author</t>
  </si>
  <si>
    <t>priority date</t>
  </si>
  <si>
    <t>filing/creation date</t>
  </si>
  <si>
    <t>publication date</t>
  </si>
  <si>
    <t>grant date</t>
  </si>
  <si>
    <t>result link</t>
  </si>
  <si>
    <t>representative figure link</t>
  </si>
  <si>
    <t>CN-112288275-B</t>
  </si>
  <si>
    <t xml:space="preserve">Groundwater quality analysis and evaluation system and method based on Internet of things </t>
  </si>
  <si>
    <t>ä¸­æ°´ä¸‰ç«‹æ•°æ®æŠ€æœ¯è‚¡ä»½æœ‰é™å…¬å¸</t>
  </si>
  <si>
    <t>å¸¸ä»å‡¯, å¸¸å¤§æµ·, æ¢äº‘, å¾æ™´æ™´, åˆ˜è‰³çº¢</t>
  </si>
  <si>
    <t>https://patents.google.com/patent/CN112288275B/en</t>
  </si>
  <si>
    <t>CN-118533224-B</t>
  </si>
  <si>
    <t xml:space="preserve">A foundation pit safety monitoring system based on the Internet of Things </t>
  </si>
  <si>
    <t>å”å±±å¸‚ç¥žå·žç§‘è´¸æœ‰é™å…¬å¸</t>
  </si>
  <si>
    <t>é©¬äº‘é¾™, é©¬å²·æˆ, å·©ç«‹æ–Œ, æˆ¿å½¬, æŽæ–‡è´¤, çŽ‹è·ƒå†›, é™ˆåˆš, å¼ æ˜ŽåŽ, åˆ˜ç£Š, é™ˆä¹”</t>
  </si>
  <si>
    <t>https://patents.google.com/patent/CN118533224B/en</t>
  </si>
  <si>
    <t>CN-114529226-B</t>
  </si>
  <si>
    <t xml:space="preserve">Underground water pollution monitoring method and system based on industrial Internet of things </t>
  </si>
  <si>
    <t>å—é€šè…¾å®‡çŽ¯ä¿è®¾å¤‡æœ‰é™å…¬å¸</t>
  </si>
  <si>
    <t>æ›¹è½©å®‡</t>
  </si>
  <si>
    <t>https://patents.google.com/patent/CN114529226B/en</t>
  </si>
  <si>
    <t>https://patentimages.storage.googleapis.com/7e/d3/3c/64a5cbf1210716/220420213222.png</t>
  </si>
  <si>
    <t>CN-220729376-U</t>
  </si>
  <si>
    <t xml:space="preserve">Integrated maintenance-free water level monitoring station based on Internet of things </t>
  </si>
  <si>
    <t>åŒ—äº¬è‰¾åŠ›æ³°å°”ä¿¡æ¯æŠ€æœ¯è‚¡ä»½æœ‰é™å…¬å¸</t>
  </si>
  <si>
    <t>æŽçŽ‰å¥Ž, å°¹åš, å°¹å®ªæ–‡, ä¸¥ä¼ è¾‰</t>
  </si>
  <si>
    <t>https://patents.google.com/patent/CN220729376U/en</t>
  </si>
  <si>
    <t>CN-121357047-B</t>
  </si>
  <si>
    <t xml:space="preserve">Internet of Things-based monitoring method and system for karst aquifers </t>
  </si>
  <si>
    <t>ä¸­å›½æµ·æ´‹å¤§å­¦</t>
  </si>
  <si>
    <t>å­™æ–Œ, éƒ­ç§€å†›, äºŽå¤§æ½ž, å¾èªèª</t>
  </si>
  <si>
    <t>https://patents.google.com/patent/CN121357047B/en</t>
  </si>
  <si>
    <t>CN-214954630-U</t>
  </si>
  <si>
    <t xml:space="preserve">Intelligent well lid monitoring system of underground water monitoring well based on Internet of things technology </t>
  </si>
  <si>
    <t>æ²³åŒ—çœæ°´æ–‡å·¥ç¨‹åœ°è´¨å‹˜æŸ¥é™¢(æ²³åŒ—çœé¥æ„Ÿä¸­å¿ƒã€æ²³åŒ—çœåœ°çŸ¿å±€ç§‘æŠ€ä¿¡æ¯ä¸­å¿ƒ)</t>
  </si>
  <si>
    <t>æ»¡å…µ, é³æ˜¥æ±Ÿ, æŽæµ·å†›, è±†å…‰æ™®, åˆ˜é‘«é¾™</t>
  </si>
  <si>
    <t>https://patents.google.com/patent/CN214954630U/en</t>
  </si>
  <si>
    <t>https://patentimages.storage.googleapis.com/35/a5/16/67184a6168380e/HDA0003138269410000011.png</t>
  </si>
  <si>
    <t>CN-114993249-B</t>
  </si>
  <si>
    <t xml:space="preserve">A pavement subgrade settlement monitoring, analysis and early warning system based on Internet of Things technology </t>
  </si>
  <si>
    <t>å¾®çºµè”åˆç½‘ç»œç§‘æŠ€(æ­¦æ±‰)æœ‰é™å…¬å¸</t>
  </si>
  <si>
    <t>æŽé£ž</t>
  </si>
  <si>
    <t>https://patents.google.com/patent/CN114993249B/en</t>
  </si>
  <si>
    <t>CN-223678534-U</t>
  </si>
  <si>
    <t xml:space="preserve">IoT-based integrated groundwater monitoring instrument </t>
  </si>
  <si>
    <t>æ²³åŒ—ä¼æµšç§‘æŠ€æœ‰é™å…¬å¸</t>
  </si>
  <si>
    <t>æ®·æˆå†›, çŽ‹è¶…, å­Ÿäºšæ€, å­™ä¿Šå¨ˆ</t>
  </si>
  <si>
    <t>https://patents.google.com/patent/CN223678534U/en</t>
  </si>
  <si>
    <t>CN-121276647-B</t>
  </si>
  <si>
    <t xml:space="preserve">A method and system for real-time monitoring of groundwater in tailings ponds based on the Internet of Things </t>
  </si>
  <si>
    <t>ä¸­å›½åœ°è´¨è°ƒæŸ¥å±€æ°´æ–‡åœ°è´¨çŽ¯å¢ƒåœ°è´¨è°ƒæŸ¥ä¸­å¿ƒ</t>
  </si>
  <si>
    <t>åºžä¸½ä¸½, è‘£ç¿°å·, éƒæ–‡æ°, å²å½¦æ–°, èµµå­¦äº®</t>
  </si>
  <si>
    <t>https://patents.google.com/patent/CN121276647B/en</t>
  </si>
  <si>
    <t>CN-214703573-U</t>
  </si>
  <si>
    <t xml:space="preserve">An automatic monitoring system for groundwater quality based on the Internet of Things </t>
  </si>
  <si>
    <t>æ±Ÿè‹åŽåˆ›çŽ¯å¢ƒä¿®å¤æœ‰é™å…¬å¸</t>
  </si>
  <si>
    <t>æŽå¿—ç³, äºŽç£Š, å¼ æ–°å©·, é’±ä¹¾</t>
  </si>
  <si>
    <t>https://patents.google.com/patent/CN214703573U/en</t>
  </si>
  <si>
    <t>https://patentimages.storage.googleapis.com/c6/65/45/63e66dd9cf3d15/HDA0002900786340000011.png</t>
  </si>
  <si>
    <t>CN-215005328-U</t>
  </si>
  <si>
    <t xml:space="preserve">Underground water monitoring well monitoring, stagnant water cleaning and sampling device </t>
  </si>
  <si>
    <t>ä¸­å›½åœ°è´¨è°ƒæŸ¥å±€å—äº¬åœ°è´¨è°ƒæŸ¥ä¸­å¿ƒ(åŽä¸œåœ°è´¨ç§‘æŠ€åˆ›æ–°ä¸­å¿ƒ)</t>
  </si>
  <si>
    <t>é™¶å°è™Ž, é¾šå»ºå¸ˆ, çŽ‹èµ«ç”Ÿ, å‘¨é”´é”·, å¶æ°¸çº¢, æŽäº®, æœ±æ˜¥èŠ³, è®¸ä¹ƒæ”¿, æª€æ¢¦çšŽ</t>
  </si>
  <si>
    <t>https://patents.google.com/patent/CN215005328U/en</t>
  </si>
  <si>
    <t>https://patentimages.storage.googleapis.com/e8/f9/ee/160fcb470c8112/HDA0003027509290000011.png</t>
  </si>
  <si>
    <t>CN-114858987-B</t>
  </si>
  <si>
    <t xml:space="preserve">River and lake water quantity and quality monitoring and management system based on Internet of things </t>
  </si>
  <si>
    <t>æ²³æµ·å¤§å­¦</t>
  </si>
  <si>
    <t>éž èŒ‚æ£®, å´å®¸æ™–, å­™é“­å£®</t>
  </si>
  <si>
    <t>https://patents.google.com/patent/CN114858987B/en</t>
  </si>
  <si>
    <t>CN-117094473-B</t>
  </si>
  <si>
    <t xml:space="preserve">Environment-friendly data acquisition and monitoring control method and system based on industrial Internet of things </t>
  </si>
  <si>
    <t>æ±Ÿè‹é˜¿å…‹æ›¼çŽ¯ä¿ç§‘æŠ€æœ‰é™å…¬å¸</t>
  </si>
  <si>
    <t>è°·è¾‰å®, é‚µå›½ä¹‰, è°¢æµ·æ˜Ÿ, ä½•æ™“åˆ›</t>
  </si>
  <si>
    <t>https://patents.google.com/patent/CN117094473B/en</t>
  </si>
  <si>
    <t>CN-119539487-B</t>
  </si>
  <si>
    <t xml:space="preserve">Data risk analysis method and system based on Internet of things </t>
  </si>
  <si>
    <t>æ­¦æ±‰ä¹å¾ä¹ç§‘æŠ€æœ‰é™è´£ä»»å…¬å¸</t>
  </si>
  <si>
    <t>å´å…‹å…µ, å®‰æ™‹, å´å…‹ä¼Ÿ, é«˜æµ©ç„¶, é™ˆå…†å¨, çŸ³å‡¡</t>
  </si>
  <si>
    <t>https://patents.google.com/patent/CN119539487B/en</t>
  </si>
  <si>
    <t>CN-118654633-B</t>
  </si>
  <si>
    <t xml:space="preserve">Electric power tower subsides real-time supervision system based on thing networking </t>
  </si>
  <si>
    <t>å›½ç½‘ç”˜è‚ƒçœç”µåŠ›å…¬å¸å¼ æŽ–ä¾›ç”µå…¬å¸</t>
  </si>
  <si>
    <t>é©¬é¹é£ž, å§œäºšå†›, é™ˆé£ž, å§œé¹è¿œ, æ–½æ˜Œæ±Ÿ</t>
  </si>
  <si>
    <t>https://patents.google.com/patent/CN118654633B/en</t>
  </si>
  <si>
    <t>CN-119642123-B</t>
  </si>
  <si>
    <t xml:space="preserve">A method and system for locating pipe leaks based on audio Internet of Things </t>
  </si>
  <si>
    <t>æ¹–å—æ™®å¥‡æ°´çŽ¯å¢ƒç ”ç©¶é™¢æœ‰é™å…¬å¸, é•¿æ²™å­¦é™¢</t>
  </si>
  <si>
    <t>æ¨è¿½, è‚–è·ƒé£ž, åˆ˜è¾‰, é™ˆä¼Ÿ</t>
  </si>
  <si>
    <t>https://patents.google.com/patent/CN119642123B/en</t>
  </si>
  <si>
    <t>CN-217212670-U</t>
  </si>
  <si>
    <t xml:space="preserve">Water level and water quality online monitoring device with multiple monitoring wells </t>
  </si>
  <si>
    <t>é™¶å°è™Ž, æœ±æ˜¥èŠ³, æª€æ¢¦çšŽ, è®¸ä¹ƒæ”¿, é¾šå»ºå¸ˆ, çŽ‹èµ«ç”Ÿ, å‘¨é”´é”·, æŽäº®, å¶æ°¸çº¢</t>
  </si>
  <si>
    <t>https://patents.google.com/patent/CN217212670U/en</t>
  </si>
  <si>
    <t>https://patentimages.storage.googleapis.com/37/4f/ab/60d0a7a0d149a9/220420161453.png</t>
  </si>
  <si>
    <t>CN-114844922-B</t>
  </si>
  <si>
    <t xml:space="preserve">Foundation pit safety monitoring system based on Internet of Things </t>
  </si>
  <si>
    <t>æµ·å—æ°´æ–‡åœ°è´¨å·¥ç¨‹åœ°è´¨å‹˜å¯Ÿé™¢, ä¸œåŒ—å¤§å­¦, ä¸­å›½åœ°è´¨å¤§å­¦ï¼ˆæ­¦æ±‰ï¼‰</t>
  </si>
  <si>
    <t>åˆ˜ç¼, é­æ‹æ¬¢, æŽæ˜¾å·¨, æ›¾ä¸œçµ, æ¨å‹‡æ˜Œ, é»„å“é›„</t>
  </si>
  <si>
    <t>https://patents.google.com/patent/CN114844922B/en</t>
  </si>
  <si>
    <t>CN-115507313-B</t>
  </si>
  <si>
    <t xml:space="preserve">Drainage pipe network joint arrangement joint adjustment monitoring system based on Internet of things </t>
  </si>
  <si>
    <t>å®æ³¢ç‚¹æºªçŽ¯ä¿ç§‘æŠ€æœ‰é™å…¬å¸</t>
  </si>
  <si>
    <t>é»„æ™“ä¸œ</t>
  </si>
  <si>
    <t>https://patents.google.com/patent/CN115507313B/en</t>
  </si>
  <si>
    <t>CN-117868191-B</t>
  </si>
  <si>
    <t xml:space="preserve">Water level adjusting device for deep foundation pit based on Internet of things and application method of water level adjusting device </t>
  </si>
  <si>
    <t>ä¸­äº¤å¹¿å·žèˆªé“å±€æœ‰é™å…¬å¸, æ±Ÿè‹å›½ä¿¡æ»¨æµ·æ¸¯å‘ç”µæœ‰é™å…¬å¸, ä¸­äº¤åŽå—å‹˜å¯Ÿæµ‹ç»˜ç§‘æŠ€æœ‰é™å…¬å¸</t>
  </si>
  <si>
    <t>ç²Ÿå­¦å¹³, é»„åŒé£ž, å²³æ­£é£ž, æ²ˆå¦‚å¥, åˆ˜æ™“æ…§, é™ˆåŒä¹‰, æŸ´å† å†›, å­™åŒæ–°, äºŽå®—æ˜Ž, å¼ è‰³æ³¢</t>
  </si>
  <si>
    <t>https://patents.google.com/patent/CN117868191B/en</t>
  </si>
  <si>
    <t>CN-120808943-B</t>
  </si>
  <si>
    <t xml:space="preserve">Intelligent agriculture monitoring method and system based on Internet of things </t>
  </si>
  <si>
    <t>æˆéƒ½ä¸­æ™ºæ¸¸ç§‘æŠ€æœ‰é™å…¬å¸</t>
  </si>
  <si>
    <t>ä½•å–„æˆ, é‡‘å¹¿å³°, å¼ æ–°æ°‘, ç”³çŽ‰èŠ³, å”æµ·æ³¢, æ¨é™å¨Ÿ, å“ç¾Žè¡Œ, æ¨é‚µç«¥, åˆ˜ç»§æ¢…</t>
  </si>
  <si>
    <t>https://patents.google.com/patent/CN120808943B/en</t>
  </si>
  <si>
    <t>CN-214252971-U</t>
  </si>
  <si>
    <t xml:space="preserve">Underground tunnel environmental monitoring system based on Zigbee Internet of Things technology </t>
  </si>
  <si>
    <t>æˆéƒ½ä¿¡æ¯å·¥ç¨‹å¤§å­¦</t>
  </si>
  <si>
    <t>å¼ å›½æ´‹, ç†Šæµ©çŽ®, çŽ‹å˜‰æ¯“, ä½•æ–Œ, ä½•æž—æ³¢</t>
  </si>
  <si>
    <t>https://patents.google.com/patent/CN214252971U/en</t>
  </si>
  <si>
    <t>https://patentimages.storage.googleapis.com/18/25/7d/522d835d78a7ed/HDA0002990377110000011.png</t>
  </si>
  <si>
    <t>US-11812705-B2</t>
  </si>
  <si>
    <t xml:space="preserve">Internet of things (IoT)-based microwell solution for irrigation </t>
  </si>
  <si>
    <t>Centurylink Intellectual Property Llc</t>
  </si>
  <si>
    <t>William Benassi</t>
  </si>
  <si>
    <t>https://patents.google.com/patent/US11812705B2/en</t>
  </si>
  <si>
    <t>https://patentimages.storage.googleapis.com/65/dc/4d/c1f6c379477d9a/US11812705-20231114-D00000.png</t>
  </si>
  <si>
    <t>CN-115452488-B</t>
  </si>
  <si>
    <t xml:space="preserve">Method and system for collecting and monitoring gas from groundwater wells </t>
  </si>
  <si>
    <t>æ±Ÿè‹çœçŽ¯å¢ƒç§‘å­¦ç ”ç©¶é™¢</t>
  </si>
  <si>
    <t>çŽ‹æ°´, å•å®—ç¥¥, æŽå˜‰æ˜Ž, å¼ ç¾½è¥¿, é’Ÿé“æ—­</t>
  </si>
  <si>
    <t>https://patents.google.com/patent/CN115452488B/en</t>
  </si>
  <si>
    <t>CN-121118692-B</t>
  </si>
  <si>
    <t xml:space="preserve">A Dynamic Analysis Method and System for Well Site Fracturing Based on the Internet of Things </t>
  </si>
  <si>
    <t>å…‹æ‹‰çŽ›ä¾å¸‚ç™½ç¢±æ»©åŒº(å…‹æ‹‰çŽ›ä¾é«˜æ–°åŒº)çŸ³æ²¹å·¥ç¨‹çŽ°åœº(ä¸­è¯•)å®žéªŒå®¤</t>
  </si>
  <si>
    <t>çŸ³å–„å¿—, æŽè½¶, å¼ ç»§å“, å”ä¼Ÿ, çŽ‹æ¶›, è‚–é¹, çŽ‹å‰æˆ</t>
  </si>
  <si>
    <t>https://patents.google.com/patent/CN121118692B/en</t>
  </si>
  <si>
    <t>CN-113960268-B</t>
  </si>
  <si>
    <t xml:space="preserve">Ecological low carbon monitoring system based on thing networking </t>
  </si>
  <si>
    <t>æ­¦æ±‰äº‘éº’è”ç½‘ç§‘æŠ€æœ‰é™å…¬å¸</t>
  </si>
  <si>
    <t>åˆ˜æ˜¥æ¡ƒ</t>
  </si>
  <si>
    <t>https://patents.google.com/patent/CN113960268B/en</t>
  </si>
  <si>
    <t>https://patentimages.storage.googleapis.com/15/76/eb/b897d934d85a76/211207153424.png</t>
  </si>
  <si>
    <t>CN-113039915-B</t>
  </si>
  <si>
    <t xml:space="preserve">Farmland irrigation system based on Internet of things and data calculation and analysis </t>
  </si>
  <si>
    <t>ä¸­æ…§é«˜èŠ¯æŠ€æœ¯(å±±ä¸œ)æœ‰é™å…¬å¸</t>
  </si>
  <si>
    <t>å¼ ä¿å¿ , äºŽå…†ç¥¥, éƒ‘æ¡ è¥¿</t>
  </si>
  <si>
    <t>https://patents.google.com/patent/CN113039915B/en</t>
  </si>
  <si>
    <t>https://patentimages.storage.googleapis.com/02/80/f2/5d0bf94655ae6c/210330154400.png</t>
  </si>
  <si>
    <t>CN-117037432-B</t>
  </si>
  <si>
    <t xml:space="preserve">Risk assessment and geological disaster early warning method based on multi-method collaboration </t>
  </si>
  <si>
    <t>å››å·çœå…¬è·¯è§„åˆ’å‹˜å¯Ÿè®¾è®¡ç ”ç©¶é™¢æœ‰é™å…¬å¸</t>
  </si>
  <si>
    <t>æŽå‡ç”«, çŽ‹æ¯…, æŽå®‡, å¼ é¸¿, è°¢å¯Œåˆš, éƒ‘é‡‘é¾™, è’‹ç‘œé˜³, è´¾æ´‹, ä»»ä¿Šè°¦, æ±ªè‡´æ’</t>
  </si>
  <si>
    <t>https://patents.google.com/patent/CN117037432B/en</t>
  </si>
  <si>
    <t>CN-121032148-B</t>
  </si>
  <si>
    <t xml:space="preserve">An intelligent mine management system and method based on the Internet of Things </t>
  </si>
  <si>
    <t>å±±ä¸œçœåœ°è´¨ç§‘å­¦ç ”ç©¶é™¢</t>
  </si>
  <si>
    <t>æ¢å¤ªæ¶›, ç¨‹è“‰è“‰, æŽæ³¢, çŽ‹ä¸½å¨œ, éŸ©æ·‘æ•, å­™è¡ä¸œ, æ±¤å¯äº‘</t>
  </si>
  <si>
    <t>https://patents.google.com/patent/CN121032148B/en</t>
  </si>
  <si>
    <t>KR-102842104-B1</t>
  </si>
  <si>
    <t xml:space="preserve">System of construction, safety, diagnosis, supervision, measurement, works, monitoring </t>
  </si>
  <si>
    <t>ì£¼ì‹íšŒì‚¬ í•œêµ­ì‚°ì—…ê¸°ìˆ ì›</t>
  </si>
  <si>
    <t>ì •í•˜ìµ</t>
  </si>
  <si>
    <t>https://patents.google.com/patent/KR102842104B1/en</t>
  </si>
  <si>
    <t>CN-112581725-B</t>
  </si>
  <si>
    <t xml:space="preserve">A landslide warning and monitoring system based on NBIOT and LoRa dual-mode communication </t>
  </si>
  <si>
    <t>é‡åº†é‚®ç”µå¤§å­¦</t>
  </si>
  <si>
    <t>å±ˆæ´ªæ˜¥, æŽå…ƒä¸œ, å¼ å…´æˆ, å‘è•Š, å”æ™“é“­</t>
  </si>
  <si>
    <t>https://patents.google.com/patent/CN112581725B/en</t>
  </si>
  <si>
    <t>https://patentimages.storage.googleapis.com/21/23/18/e0c5404d3e9567/HDA0002823543900000011.png</t>
  </si>
  <si>
    <t>CN-120181586-B</t>
  </si>
  <si>
    <t xml:space="preserve">A method and system for intelligent assessment of safety risks at construction sites </t>
  </si>
  <si>
    <t>æ²³å—å°æµ·å¸¦æ•°æ®ç§‘æŠ€æœ‰é™å…¬å¸, æµ·å¤©å·¥ç¨‹å’¨è¯¢æœ‰é™å…¬å¸</t>
  </si>
  <si>
    <t>é«˜æœè¾‰, ç”°å å²­, æŽæ˜Žä¹, è°¢éŸ¶é—ª, é—«è²è², å´æµ©æ°, äºŽäºšå¨Ÿ</t>
  </si>
  <si>
    <t>https://patents.google.com/patent/CN120181586B/en</t>
  </si>
  <si>
    <t>KR-102786434-B1</t>
  </si>
  <si>
    <t xml:space="preserve">System of diagnosis, measurement, supervision, works, construction, safety, monitoring </t>
  </si>
  <si>
    <t>https://patents.google.com/patent/KR102786434B1/en</t>
  </si>
  <si>
    <t>KR-102940627-B1</t>
  </si>
  <si>
    <t xml:space="preserve">Drone, robot, system for inspection, observation, measurement and detection </t>
  </si>
  <si>
    <t>ì—ì½”ì‚°ì—… ì£¼ì‹íšŒì‚¬</t>
  </si>
  <si>
    <t>https://patents.google.com/patent/KR102940627B1/en</t>
  </si>
  <si>
    <t>CN-114252923-B</t>
  </si>
  <si>
    <t xml:space="preserve">A network monitoring system and method for dynamic time-shift electric field of groundwater in mine tunnels </t>
  </si>
  <si>
    <t>å‰æž—å¤§å­¦</t>
  </si>
  <si>
    <t>å‘¨é€¢é“, çŽ‹ç«žä¸€, å‘¨æµ·æ ¹, éƒ­æ˜Žç¿, æŽé’Šæ´‹, é—«é€¸è¾°, çŽ‹çªç‘ž</t>
  </si>
  <si>
    <t>https://patents.google.com/patent/CN114252923B/en</t>
  </si>
  <si>
    <t>CN-117592809-B</t>
  </si>
  <si>
    <t xml:space="preserve">Municipal engineering construction scheme optimization method and system based on artificial intelligence </t>
  </si>
  <si>
    <t>å¹¿å·žå¸‚ç›¾å»ºå»ºè®¾æœ‰é™å…¬å¸</t>
  </si>
  <si>
    <t>é»„æ’å„’, é’Ÿåš, é™ˆä¼Š, æ›¹æ˜Žç£Š, åˆ˜å°šè¿œ, å¼ æ¸…ç§€, è°­å¿ƒæ€¡</t>
  </si>
  <si>
    <t>https://patents.google.com/patent/CN117592809B/en</t>
  </si>
  <si>
    <t>KR-102928494-B1</t>
  </si>
  <si>
    <t xml:space="preserve">AI, IoT, Meta works, construction, inspection, management method </t>
  </si>
  <si>
    <t>https://patents.google.com/patent/KR102928494B1/en</t>
  </si>
  <si>
    <t>CN-116681243-B</t>
  </si>
  <si>
    <t xml:space="preserve">Intelligent agricultural equipment management system and method based on Internet of things </t>
  </si>
  <si>
    <t>ä¸Šæµ·åŽç»´å¯æŽ§å†œä¸šç§‘æŠ€é›†å›¢è‚¡ä»½æœ‰é™å…¬å¸</t>
  </si>
  <si>
    <t>å•åç¤¼, å¤é¸½é£ž, å´ç«¹, å¼ å“²ï¿½, æŸ’æ°æ˜Ž</t>
  </si>
  <si>
    <t>https://patents.google.com/patent/CN116681243B/en</t>
  </si>
  <si>
    <t>CN-112330002-B</t>
  </si>
  <si>
    <t xml:space="preserve">Urban ground collapse disaster comprehensive monitoring and early warning method and system </t>
  </si>
  <si>
    <t>åˆè‚¥æ³½ä¼—åŸŽå¸‚æ™ºèƒ½ç§‘æŠ€æœ‰é™å…¬å¸</t>
  </si>
  <si>
    <t>å‡¡ä¼Ÿä¼Ÿ, å‘¨æ ‡, éƒ‘å®ä¸­, è‘£æ¯“è‰¯, ä»˜æ˜Ž</t>
  </si>
  <si>
    <t>https://patents.google.com/patent/CN112330002B/en</t>
  </si>
  <si>
    <t>CN-114201798-B</t>
  </si>
  <si>
    <t xml:space="preserve">Long and large tunnel digital twin system and method based on BIM+GIS technology </t>
  </si>
  <si>
    <t>åŽå—ç†å·¥å¤§å­¦</t>
  </si>
  <si>
    <t>å‘¨å»ºæ˜¥, æŽå«æ°‘, æ¢è€€èª, æŽæ½‡èª, é»„æµ©å¿—, å·¦ä», é»„èˆª, éƒ­è´µå·</t>
  </si>
  <si>
    <t>https://patents.google.com/patent/CN114201798B/en</t>
  </si>
  <si>
    <t>CN-113222283-B</t>
  </si>
  <si>
    <t xml:space="preserve">Mountain torrent forecasting and early warning method and system based on digital twinning </t>
  </si>
  <si>
    <t>ä¸­å›½æ°´åˆ©æ°´ç”µç§‘å­¦ç ”ç©¶é™¢</t>
  </si>
  <si>
    <t>çŽ‹æµ©, æ¨æ˜Žç¥¥, è’‹äº‘é’Ÿ, è‘£å®æ¾Ž, åˆ˜ç’‡, çŽ‹è´ºä½³</t>
  </si>
  <si>
    <t>https://patents.google.com/patent/CN113222283B/en</t>
  </si>
  <si>
    <t>CN-118504939-B</t>
  </si>
  <si>
    <t xml:space="preserve">Power grid fault electricity protection maintenance plan making method, device, equipment and medium </t>
  </si>
  <si>
    <t>å›½ç½‘æµ™æ±Ÿçœç”µåŠ›æœ‰é™å…¬å¸æ­å·žä¾›ç”µå…¬å¸</t>
  </si>
  <si>
    <t>çŽ‹å³°æ¸Š, åˆ˜ä¼Ÿæµ©, æ¨Šç«‹æ³¢, éŸ©è£æ°, é™ˆç‚œ, éƒ­å¤§ç¦, å”é“è‹±, å­™æ™ºå¿, æ¥ç›Šåš, é»„æ±Ÿå®, ä¿žéš½äºš</t>
  </si>
  <si>
    <t>https://patents.google.com/patent/CN118504939B/en</t>
  </si>
  <si>
    <t>CN-119129077-B</t>
  </si>
  <si>
    <t xml:space="preserve">Multi-source twin data fusion tunnel structure health monitoring and early warning method and system </t>
  </si>
  <si>
    <t>æ·±åœ³å¤§å­¦</t>
  </si>
  <si>
    <t>ä»˜è‰³æ–Œ, é»„çƒ¨ç£Š, é‚¬æ³½, å½­æ–Œ, æ¢å®, å½­åš, é»Žå°å¹³</t>
  </si>
  <si>
    <t>https://patents.google.com/patent/CN119129077B/en</t>
  </si>
  <si>
    <t>CN-118037047-B</t>
  </si>
  <si>
    <t xml:space="preserve">AI-based mine safety monitoring system </t>
  </si>
  <si>
    <t>é„‚å°”å¤šæ–¯å¸‚è§†è¾¾ç§‘æŠ€æœ‰é™å…¬å¸</t>
  </si>
  <si>
    <t>æŠ˜æ°¸åˆš, æŽæ˜¥è‰³, æŠ˜äº‘å²—</t>
  </si>
  <si>
    <t>https://patents.google.com/patent/CN118037047B/en</t>
  </si>
  <si>
    <t>CN-119227546-B</t>
  </si>
  <si>
    <t xml:space="preserve">Dynamic digital twin modeling method for energy efficiency optimization of ground source heat pumps </t>
  </si>
  <si>
    <t>åŒ—äº¬ç¢³è·ƒæ•°æ™ºç§‘æŠ€æœ‰é™å…¬å¸</t>
  </si>
  <si>
    <t>å§œæµ·ä¸œ, éƒ­é¢–å©·</t>
  </si>
  <si>
    <t>https://patents.google.com/patent/CN119227546B/en</t>
  </si>
  <si>
    <t>US-12198146-B2</t>
  </si>
  <si>
    <t xml:space="preserve">Method and system for wood harvest and storage, carbon sequestration and carbon management </t>
  </si>
  <si>
    <t>Ning Zeng</t>
  </si>
  <si>
    <t>https://patents.google.com/patent/US12198146B2/en</t>
  </si>
  <si>
    <t>https://patentimages.storage.googleapis.com/ac/88/f4/f5b081b8f031dc/US12198146-20250114-D00000.png</t>
  </si>
  <si>
    <t>US-11610466-B2</t>
  </si>
  <si>
    <t xml:space="preserve">Multilevel rapid warning system for landslide detection </t>
  </si>
  <si>
    <t>Amrita Vishwa Vidyapeetham</t>
  </si>
  <si>
    <t>Maneesha Vinodini Ramesh, Divya Pullarkatt, Hemalatha Thirugnanam, Nitin Kumar M., P. Venkat Rangan</t>
  </si>
  <si>
    <t>https://patents.google.com/patent/US11610466B2/en</t>
  </si>
  <si>
    <t>https://patentimages.storage.googleapis.com/66/37/61/d9a1c90d53ffad/US11610466-20230321-D00000.png</t>
  </si>
  <si>
    <t>CN-115167212-B</t>
  </si>
  <si>
    <t xml:space="preserve">Dynamic construction control system and method for foundation pit based on monitoring platform </t>
  </si>
  <si>
    <t>ä¸­äº¤ç¬¬ä¸‰èˆªåŠ¡å·¥ç¨‹å±€æœ‰é™å…¬å¸</t>
  </si>
  <si>
    <t>æŽæ—­, è°¢é”¦æ³¢, é»ŽäºšèˆŸ, è°¢æŽé’Š, é›’ä¼Ÿå‹ƒ, çŽ‹å­å¥</t>
  </si>
  <si>
    <t>https://patents.google.com/patent/CN115167212B/en</t>
  </si>
  <si>
    <t>US-11109194-B1</t>
  </si>
  <si>
    <t xml:space="preserve">Location network analysis tool for predicting contamination change </t>
  </si>
  <si>
    <t>Sas Institute Inc.</t>
  </si>
  <si>
    <t>Carlos Andre Reis Pinheiro, Matthew Victor Galati, Natalia Summerville</t>
  </si>
  <si>
    <t>https://patents.google.com/patent/US11109194B1/en</t>
  </si>
  <si>
    <t>https://patentimages.storage.googleapis.com/c1/62/07/6cc03acdd1e674/US11109194-20210831-D00000.png</t>
  </si>
  <si>
    <t>CN-112927478-B</t>
  </si>
  <si>
    <t xml:space="preserve">Geological disaster universal monitoring and early warning system </t>
  </si>
  <si>
    <t>å¹¿å·žç¿°å—å·¥ç¨‹æŠ€æœ¯æœ‰é™å…¬å¸</t>
  </si>
  <si>
    <t>èƒ¡è¾‰, æž—å…´ç«‹, å¼ ä¸–å…ƒ, èƒ¡è£</t>
  </si>
  <si>
    <t>https://patents.google.com/patent/CN112927478B/en</t>
  </si>
  <si>
    <t>https://patentimages.storage.googleapis.com/bc/37/d0/f6b3266d5993c4/HDA0003050223070000011.png</t>
  </si>
  <si>
    <t>US-12050456-B2</t>
  </si>
  <si>
    <t xml:space="preserve">Virtual simulation manufacturing platform based on automatic control </t>
  </si>
  <si>
    <t>Tianjin University</t>
  </si>
  <si>
    <t>Li He, Baixue CHEN</t>
  </si>
  <si>
    <t>https://patents.google.com/patent/US12050456B2/en</t>
  </si>
  <si>
    <t>https://patentimages.storage.googleapis.com/22/17/1d/8daaf83bc21636/US12050456-20240730-D00000.png</t>
  </si>
  <si>
    <t>US-12585971-B2</t>
  </si>
  <si>
    <t xml:space="preserve">Systems and methods for automatic environmental planning and decision support using artificial intelligence and data fusion techniques on distributed sensor network data </t>
  </si>
  <si>
    <t>Klimanovus Llc</t>
  </si>
  <si>
    <t>Venkata Reddy MODUGULA, Raghuveer Kaushik VINUKOLLU</t>
  </si>
  <si>
    <t>https://patents.google.com/patent/US12585971B2/en</t>
  </si>
  <si>
    <t>https://patentimages.storage.googleapis.com/US12585971B2/US12585971-20260324-D00000.png</t>
  </si>
  <si>
    <t>CN-114330168-B</t>
  </si>
  <si>
    <t xml:space="preserve">Method for dynamically evaluating slope safety </t>
  </si>
  <si>
    <t>ä¸­å›½ç§‘å­¦é™¢åŠ›å­¦ç ”ç©¶æ‰€</t>
  </si>
  <si>
    <t>å†¯æ˜¥, æœ±å¿ƒå¹¿, ç¨‹é¹è¾¾, å‘¨çŽ‰, èŒƒæ°¸æ³¢, å¼ ä¸½</t>
  </si>
  <si>
    <t>https://patents.google.com/patent/CN114330168B/en</t>
  </si>
  <si>
    <t>https://patentimages.storage.googleapis.com/bb/11/a0/5c6b9e7f2f8c58/HDA0003446734440000011.png</t>
  </si>
  <si>
    <t>CN-111107675-B</t>
  </si>
  <si>
    <t xml:space="preserve">Cable channel edge Internet of things terminal and method based on ubiquitous power Internet of things </t>
  </si>
  <si>
    <t>å±±ä¸œç§‘åŽç”µåŠ›æŠ€æœ¯æœ‰é™å…¬å¸</t>
  </si>
  <si>
    <t>è€¿èŠ³è¿œ, æŽå»¶è¶…, æ¸©é£ž, æŽå¯¿æ³¢, è”ºå›½å‹‡, æ˜“æ›¦å®¸, æŽåžšç£Š, ç¥åšæ°‘, èµµå‡¯, åˆ˜å…¶è‚², æ›¹ç‘žéš†, æœ±èŒèŒ</t>
  </si>
  <si>
    <t>https://patents.google.com/patent/CN111107675B/en</t>
  </si>
  <si>
    <t>https://patentimages.storage.googleapis.com/2b/8d/1d/f1522191c14c66/HDA0002377524830000011.png</t>
  </si>
  <si>
    <t>KR-102584619-B1</t>
  </si>
  <si>
    <t xml:space="preserve">Water pollution accident prediction system based on hydraulic hydrology analysis with distributed model applied </t>
  </si>
  <si>
    <t>ëŒ€í•œë¯¼êµ­</t>
  </si>
  <si>
    <t>ì•ˆì •ë¯¼, ê¹€í™íƒœ, ì •ìž¬í›ˆ, ìž¥ì£¼í˜•, ê¹€ê²½í˜„, ê¹€ìš©ì„</t>
  </si>
  <si>
    <t>https://patents.google.com/patent/KR102584619B1/en</t>
  </si>
  <si>
    <t>CN-117909667-B</t>
  </si>
  <si>
    <t xml:space="preserve">Internet of things acquisition method and acquisition device suitable for complex environment </t>
  </si>
  <si>
    <t>ä¸­é“å››å±€é›†å›¢æœ‰é™å…¬å¸, å®‰å¾½æ•°æ™ºå»ºé€ ç ”ç©¶é™¢æœ‰é™å…¬å¸</t>
  </si>
  <si>
    <t>èµµé™æ–‡, æ¢è¶…, æ…ŽèŽ‰, èµµé‚¦å›½, è‚–ä¸½å¨œ, æœ±å®åš, è´ºå¼º, ç”„é»Žæ˜Ž, åˆ˜ç£Š, æ¸¸ï¿½æ˜Ž, èˆ’å®æˆ, ç”°ç‚³å¤, åˆ˜æ¹˜, é™ˆå†¬æ¢…</t>
  </si>
  <si>
    <t>https://patents.google.com/patent/CN117909667B/en</t>
  </si>
  <si>
    <t>CN-116411550-B</t>
  </si>
  <si>
    <t xml:space="preserve">Gate linkage control method and device and parallel water supply power generation system </t>
  </si>
  <si>
    <t>ä¸­å›½é•¿æ±Ÿä¸‰å³¡é›†å›¢æœ‰é™å…¬å¸, ä¸­å›½æ°´åˆ©æ°´ç”µç§‘å­¦ç ”ç©¶é™¢</t>
  </si>
  <si>
    <t>å°šæ¯…æ¢“, åˆ˜å¿—æ­¦, è’‹å®šå›½, å°šé¢†, æŽæ™“é£ž, èµµæ³½é˜³, é¾šå®¶å›½, å†¶è¿æ¶›</t>
  </si>
  <si>
    <t>https://patents.google.com/patent/CN116411550B/en</t>
  </si>
  <si>
    <t>CN-116011291-B</t>
  </si>
  <si>
    <t xml:space="preserve">A digital evaluation platform for slope stability based on multi-source information fusion at tunnel entrance </t>
  </si>
  <si>
    <t>è¥¿å®‰å»ºç­‘ç§‘æŠ€å¤§å­¦, ä¸­å›½é“å»ºæ˜†ä»‘æŠ•èµ„é›†å›¢æœ‰é™å…¬å¸</t>
  </si>
  <si>
    <t>æŽæ—­, çŽ‹æ–°åˆš, å²³æ³¢, å®‹æˆ˜å¹³, å´æ–°æ ‹, å¼ çŽ‰å°, æŽé’¢, åˆ˜é‡‘å±±, è®¸å½¦æ—­, å¼ çŽ‰ä¼Ÿ, ç”°å°æ—­</t>
  </si>
  <si>
    <t>https://patents.google.com/patent/CN116011291B/en</t>
  </si>
  <si>
    <t>CN-115069739-B</t>
  </si>
  <si>
    <t xml:space="preserve">Kitchen waste bidirectional reinforced multi-source synergistic full-volume recycling treatment system and process </t>
  </si>
  <si>
    <t>åŒ—äº¬èˆžé¹¤çŽ¯å¢ƒå·¥ç¨‹è®¾è®¡æœ‰é™å…¬å¸</t>
  </si>
  <si>
    <t>å†¯å¹¼å¹³</t>
  </si>
  <si>
    <t>https://patents.google.com/patent/CN115069739B/en</t>
  </si>
  <si>
    <t>CN-113778967-B</t>
  </si>
  <si>
    <t xml:space="preserve">Yangtze river basin data acquisition processing and resource sharing system </t>
  </si>
  <si>
    <t>ä¸­å›½çŽ¯å¢ƒç§‘å­¦ç ”ç©¶é™¢</t>
  </si>
  <si>
    <t>æŽæµ·ç”Ÿ, çŽ‹ç»´, åˆ˜å­å¯Œ, åˆ˜æŸéŸ³, å¼ å¿—è‹—, çŽ‹èŽ¹</t>
  </si>
  <si>
    <t>https://patents.google.com/patent/CN113778967B/en</t>
  </si>
  <si>
    <t>AU-2020104126-A4</t>
  </si>
  <si>
    <t xml:space="preserve">Waste Water Management System for Smart Cities through IoT based Technology </t>
  </si>
  <si>
    <t>Arya, Leena Prof</t>
  </si>
  <si>
    <t>Leena Arya</t>
  </si>
  <si>
    <t>https://patents.google.com/patent/AU2020104126A4/en</t>
  </si>
  <si>
    <t>US-11941155-B2</t>
  </si>
  <si>
    <t xml:space="preserve">Secure data management in a network computing environment </t>
  </si>
  <si>
    <t>EMC IP Holding Company LLC</t>
  </si>
  <si>
    <t>Mohamed Sohail, Said Tabet</t>
  </si>
  <si>
    <t>https://patents.google.com/patent/US11941155B2/en</t>
  </si>
  <si>
    <t>https://patentimages.storage.googleapis.com/89/f6/5c/94d31c16b0a76b/US11941155-20240326-D00000.png</t>
  </si>
  <si>
    <t>CN-115186602-B</t>
  </si>
  <si>
    <t xml:space="preserve">An intelligent decision-making method and system for urban underground drainage network maintenance </t>
  </si>
  <si>
    <t>éƒ‘å·žå¤§å­¦</t>
  </si>
  <si>
    <t>æ–¹å®è¿œ, ç‹„ä¸¹é˜³, å­™æ–Œ, å¼ é‡‘è, æŽæ–Œ, èƒ¡æµ©å¸®, æŽæˆ, å¼ æœé˜³</t>
  </si>
  <si>
    <t>https://patents.google.com/patent/CN115186602B/en</t>
  </si>
  <si>
    <t>KR-102797411-B1</t>
  </si>
  <si>
    <t xml:space="preserve">Method and apparatus for generating model predicting soil heavy metal immobilization </t>
  </si>
  <si>
    <t>ê³ ë ¤ëŒ€í•™êµ ì‚°í•™í˜‘ë ¥ë‹¨, ë‚´ì…”ë„ ìœ ë‹ˆë²„ì‹œí‹° ì˜¤ë¸Œ ì‹±ê°€í¬ë¥´</t>
  </si>
  <si>
    <t>ì˜¥ìš©ì‹, ìƒ¤ì˜¤ë‚œ ì™•, íŒ”ëž€ìˆ˜ë¦¬ì•¼ ì¿ ë¬´ë‘ë‹ˆ, ì›ìƒì£¼, ì§€ì— ë¦¬, ì¡°ìœ ë¼</t>
  </si>
  <si>
    <t>https://patents.google.com/patent/KR102797411B1/en</t>
  </si>
  <si>
    <t>https://patentimages.storage.googleapis.com/ed/6a/31/008117de64bc26/112021148789318-pat00032.png</t>
  </si>
  <si>
    <t>CN-119107774-B</t>
  </si>
  <si>
    <t xml:space="preserve">Internet of Things intelligent monitoring and alarm method and system for water quality detection </t>
  </si>
  <si>
    <t>å¹¿ä¸œéªä¿¡ç§‘æŠ€æœ‰é™å…¬å¸, æ·±åœ³å¸‚ç”Ÿæ€çŽ¯å¢ƒæ™ºèƒ½ç®¡æŽ§ä¸­å¿ƒ</t>
  </si>
  <si>
    <t>å½­èƒœå·, å¾æ¬¢æ¬¢, è”¡æ˜Œæ‰, å‘¨æœ¨çµ, é‚å®¶æ³¢, é™ˆæµ©é’¦, å¼ é‘«, åˆ˜ä¿Šæœ‹</t>
  </si>
  <si>
    <t>https://patents.google.com/patent/CN119107774B/en</t>
  </si>
  <si>
    <t>CN-116485202-B</t>
  </si>
  <si>
    <t xml:space="preserve">Industrial pollution real-time monitoring method and system based on Internet of things </t>
  </si>
  <si>
    <t>åŒ—äº¬å»ºå·¥çŽ¯å¢ƒä¿®å¤è‚¡ä»½æœ‰é™å…¬å¸</t>
  </si>
  <si>
    <t>åŽŸæ³¢, éƒ­ä¸½èŽ‰, çŽ‹è““ä¸½, æŽäºšç§€, è®¸é“æŸ±, å¼ å­Ÿæ˜­, éŸ©äºšèŒ, çž¿å©·</t>
  </si>
  <si>
    <t>https://patents.google.com/patent/CN116485202B/en</t>
  </si>
  <si>
    <t>CN-114332713-B</t>
  </si>
  <si>
    <t xml:space="preserve">Construction area operation monitoring method, device and system based on Internet of things </t>
  </si>
  <si>
    <t>çŽ‹æ–‡å³°, å¼ å®¶é“­, æŽä¹¦é¹, éƒ­ä¸½èŽ‰, éŸ¦äº‘éœ„, å¼ ç»´ç¦, é˜Žæ€è¯º, å®‹å€©</t>
  </si>
  <si>
    <t>https://patents.google.com/patent/CN114332713B/en</t>
  </si>
  <si>
    <t>US-11715034-B2</t>
  </si>
  <si>
    <t xml:space="preserve">Training of machine learning algorithms for generating a reservoir digital twin </t>
  </si>
  <si>
    <t>Saudi Arabian Oil Company</t>
  </si>
  <si>
    <t>Mamdouh N. Al-Nasser, Ahmed A. Al Sulaiman</t>
  </si>
  <si>
    <t>https://patents.google.com/patent/US11715034B2/en</t>
  </si>
  <si>
    <t>https://patentimages.storage.googleapis.com/b1/57/b8/1ed26b3c76f81f/US11715034-20230801-D00000.png</t>
  </si>
  <si>
    <t>CN-119990553-B</t>
  </si>
  <si>
    <t xml:space="preserve">Information system engineering supervision project risk self-adaptive assessment method and system </t>
  </si>
  <si>
    <t>ä¸­è”ç¥žå¸†(åŒ—äº¬)ç§‘æŠ€æœ‰é™å…¬å¸</t>
  </si>
  <si>
    <t>é™ˆåˆš, å²³ä½³ç¦, æ¨å¸†, çŸ³æ…§é¦¨, åˆ˜å¤©å¨, æ­¦æ¡‚ç¾½, å¼ ä¹‰é¾™, é‡‘æ•æ•</t>
  </si>
  <si>
    <t>https://patents.google.com/patent/CN119990553B/en</t>
  </si>
  <si>
    <t>CN-113552076-B</t>
  </si>
  <si>
    <t xml:space="preserve">Shale gas development area deep groundwater environment monitoring and early warning method and system </t>
  </si>
  <si>
    <t>é‡åº†åœ°è´¨çŸ¿äº§ç ”ç©¶é™¢, åŒ—äº¬ç†å·¥å¤§å­¦é‡åº†åˆ›æ–°ä¸­å¿ƒ</t>
  </si>
  <si>
    <t>é™†æœæ™–, é»„æ°¸è‘µ, æŽå¤§åŽ, è®¸å»·å‘, ç¨‹ç¤¼å†›, ç§¦åº†æ—º, å¼ å¥å¼º, å¼ çƒ¨, çŽ‹é”¦å–œ, è´ºåŸ¹, è’™æ˜¥, çŽ‹å·§ä¸½</t>
  </si>
  <si>
    <t>https://patents.google.com/patent/CN113552076B/en</t>
  </si>
  <si>
    <t>CN-113945238-B</t>
  </si>
  <si>
    <t xml:space="preserve">Wireless intelligent monitoring system for deep and large foundation pits </t>
  </si>
  <si>
    <t>æ·±åœ³å®ä¸šåŸºå²©åœŸç§‘æŠ€è‚¡ä»½æœ‰é™å…¬å¸</t>
  </si>
  <si>
    <t>ä¸¥æ ‘, å‘æ°¸å›, èŽ«å»ºæ˜Ž, é­é‘«</t>
  </si>
  <si>
    <t>https://patents.google.com/patent/CN113945238B/en</t>
  </si>
  <si>
    <t>CN-113970627-B</t>
  </si>
  <si>
    <t xml:space="preserve">Water quality monitoring and early warning method and system </t>
  </si>
  <si>
    <t>é‡åº†äº¿æ£®åŠ¨åŠ›çŽ¯å¢ƒç§‘æŠ€æœ‰é™å…¬å¸</t>
  </si>
  <si>
    <t>é™ˆæµ©, å‘¨ç«‹æ˜Ž</t>
  </si>
  <si>
    <t>https://patents.google.com/patent/CN113970627B/en</t>
  </si>
  <si>
    <t>https://patentimages.storage.googleapis.com/b0/fd/b4/011694991f63bc/HDA0003316207670000011.png</t>
  </si>
  <si>
    <t>CN-116465469-B</t>
  </si>
  <si>
    <t xml:space="preserve">An automatic groundwater level monitoring system and method </t>
  </si>
  <si>
    <t>æ±Ÿè‹æ˜“æ”¿è¾¾ä¿¡æ¯ç§‘æŠ€æœ‰é™å…¬å¸, æ±Ÿé˜´å¸‚åŽå£«æ°´åˆ©å»ºè®¾å·¥ç¨‹æœ‰é™å…¬å¸</t>
  </si>
  <si>
    <t>å‘¨å‹¤åŽ, çŽ‹æ´, å¾å†›, åˆ˜ä¸–å†›, é’±èƒœåŽ, çŽ‹ä¸½å›, å¶å…µ, æŽç‡•ä¸°, æ±¤å®æ¸…, å‘¨æµ·å¿ </t>
  </si>
  <si>
    <t>https://patents.google.com/patent/CN116465469B/en</t>
  </si>
  <si>
    <t>CN-118503890-B</t>
  </si>
  <si>
    <t xml:space="preserve">Water pollution monitoring method and computer program product for seasonal drought river </t>
  </si>
  <si>
    <t>å¹¿ä¸œç²¤æµ·æ°´åŠ¡æ£€æµ‹æŠ€æœ¯æœ‰é™å…¬å¸, å¹¿ä¸œç²¤æµ·æ°´åŠ¡ç§‘æŠ€æœ‰é™å…¬å¸</t>
  </si>
  <si>
    <t>éŸ¦é›ªæŸ , å´å‡¡, å†¯å›½ä», é™†å¿ƒå‰, æˆ´æ¬¢</t>
  </si>
  <si>
    <t>https://patents.google.com/patent/CN118503890B/en</t>
  </si>
  <si>
    <t>CN-112593599-B</t>
  </si>
  <si>
    <t xml:space="preserve">Water source well water supply system based on Internet of things </t>
  </si>
  <si>
    <t>é’è›™æ³µä¸šè‚¡ä»½æœ‰é™å…¬å¸</t>
  </si>
  <si>
    <t>è‚å›½å†›, ç¨‹é¹</t>
  </si>
  <si>
    <t>https://patents.google.com/patent/CN112593599B/en</t>
  </si>
  <si>
    <t>https://patentimages.storage.googleapis.com/d0/5a/c1/f831341bb0d764/200917085656.png</t>
  </si>
  <si>
    <t>CN-115841398-B</t>
  </si>
  <si>
    <t xml:space="preserve">A method and system for leak analysis of water supply pipe network based on Internet of Things </t>
  </si>
  <si>
    <t>æˆéƒ½åŒé£žç§‘æŠ€æœ‰é™è´£ä»»å…¬å¸</t>
  </si>
  <si>
    <t>èƒ¡æ´ªç¥¥, æŽå„’å…µ, è’²ä»¥å¯Œ, å¾å¥, é‚±æžœæ˜Œ, é™ˆå·§äº‘, å¶åŸ¹, è§é˜³, å·«è‹¥æž—, æ›¹æ¨</t>
  </si>
  <si>
    <t>https://patents.google.com/patent/CN115841398B/en</t>
  </si>
  <si>
    <t>https://patentimages.storage.googleapis.com/ce/2d/6b/e30c1d53fbf912/221226143148.png</t>
  </si>
  <si>
    <t>CN-119862643-B</t>
  </si>
  <si>
    <t xml:space="preserve">Integrated collaborative design method for municipal intelligent construction </t>
  </si>
  <si>
    <t>å¹¿å·žå¸‚å¸‚æ”¿é›†å›¢è®¾è®¡é™¢æœ‰é™å…¬å¸, å¹¿å·žå¸‚å»ºç­‘é›†å›¢æœ‰é™å…¬å¸, å¹¿å·žå¸‚å¸‚æ”¿é›†å›¢æœ‰é™å…¬å¸</t>
  </si>
  <si>
    <t>å‘¨ç«‹æƒ, æŽå®, ç½—ç¾¤è‹±, åˆ˜å…‰é¹, æŽæ—¥æ¯…, å¼ æ¥ , å´è’™, æž—å¦‚ä¸½, æŽçˆ½</t>
  </si>
  <si>
    <t>https://patents.google.com/patent/CN119862643B/en</t>
  </si>
  <si>
    <t>KR-102305468-B1</t>
  </si>
  <si>
    <t xml:space="preserve">Landslide distributed detection system based on deep learning </t>
  </si>
  <si>
    <t>ì”¨í‹°ì”¨ ì£¼ì‹íšŒì‚¬</t>
  </si>
  <si>
    <t>ì´í¬í˜„, ì „ì¤€ì°½</t>
  </si>
  <si>
    <t>https://patents.google.com/patent/KR102305468B1/en</t>
  </si>
  <si>
    <t>https://patentimages.storage.googleapis.com/1a/b7/37/1aa74c9567c83a/112021055094910-pat00001.png</t>
  </si>
  <si>
    <t>CN-120408222-B</t>
  </si>
  <si>
    <t xml:space="preserve">A method and system for analyzing stratum disturbance under coupling effect of shield construction </t>
  </si>
  <si>
    <t>ä¸­é“æŠ•èµ„é›†å›¢æœ‰é™å…¬å¸, ä¸­é“æ»¨æµ·(å¤©æ´¥)è½¨é“äº¤é€šæŠ•èµ„å‘å±•æœ‰é™å…¬å¸, ä¸­é“å››å±€é›†å›¢æœ‰é™å…¬å¸</t>
  </si>
  <si>
    <t>æ˜“æ•, çŽ‹å³°, å¼ è¾°ç§‘, æŽå»ºå‹‹, åˆ˜æ°¸è¶…, èµµæ¬£æ°, ç”˜æ—­é˜³, æŽé˜³, éƒæ–‡é‘«, æŽæ™“æ¢¦, å§œæ¨</t>
  </si>
  <si>
    <t>https://patents.google.com/patent/CN120408222B/en</t>
  </si>
  <si>
    <t>CN-119004632-B</t>
  </si>
  <si>
    <t xml:space="preserve">Intelligent management system for hydraulic engineering project </t>
  </si>
  <si>
    <t>æ±Ÿè¥¿çœæ°´åˆ©ç§‘å­¦é™¢(æ±Ÿè¥¿çœå¤§åå®‰å…¨ç®¡ç†ä¸­å¿ƒã€æ±Ÿè¥¿çœæ°´èµ„æºç®¡ç†ä¸­å¿ƒ)</t>
  </si>
  <si>
    <t>å”å°‘é¾™, ç†Šå¨, æ¸¸æ–‡èª, ä¸‡å°å¼º</t>
  </si>
  <si>
    <t>https://patents.google.com/patent/CN119004632B/en</t>
  </si>
  <si>
    <t>CN-117310116-B</t>
  </si>
  <si>
    <t xml:space="preserve">Water quality on-line monitoring device and method based on Internet of things </t>
  </si>
  <si>
    <t>æ±Ÿè‹å°šç»´æ–¯çŽ¯å¢ƒç§‘æŠ€è‚¡ä»½æœ‰é™å…¬å¸</t>
  </si>
  <si>
    <t>å´ç»§æ¢…, ä¸¥æ±ŸåŽ, é¡¾å¿—å‹‡, å§œæž—æž—, å†¯å†›, å¾å®é£ž</t>
  </si>
  <si>
    <t>https://patents.google.com/patent/CN117310116B/en</t>
  </si>
  <si>
    <t>LU-602089-B1</t>
  </si>
  <si>
    <t xml:space="preserve">Method and system for geological disaster early warning based on edge computing internet of things gateway device thereof </t>
  </si>
  <si>
    <t>Univ Chongqing Three Gorges</t>
  </si>
  <si>
    <t>Zefu Tan</t>
  </si>
  <si>
    <t>https://patents.google.com/patent/LU602089B1/en</t>
  </si>
  <si>
    <t>US-12182870-B2</t>
  </si>
  <si>
    <t xml:space="preserve">Remediation site portfolio risk scoring </t>
  </si>
  <si>
    <t>Ghd, Inc.</t>
  </si>
  <si>
    <t>Jonathan Eller, Jayesh SRIVASTAVA, Brian Peters, Brett Roberts, Roy Thun, Matt Rousseau</t>
  </si>
  <si>
    <t>https://patents.google.com/patent/US12182870B2/en</t>
  </si>
  <si>
    <t>https://patentimages.storage.googleapis.com/ab/43/26/de4f61de9fcd9e/US12182870-20241231-D00000.png</t>
  </si>
  <si>
    <t>CN-115423263-B</t>
  </si>
  <si>
    <t xml:space="preserve">Prophet-LSTM-based slope risk early warning and sliding volume prediction method </t>
  </si>
  <si>
    <t>å¤©æ´¥å¤§å­¦</t>
  </si>
  <si>
    <t>å¼ ç¤¾è£, è´¾è´º, çŽ‹æž­åŽ, çŽ‹è¶…, æ¢ç†™æ–‡, ä¾¯å­å†›, èµµæ¡‚æ¸…, ç¨‹é£ž, å¤å¿—æ°, è‚–å°ä¼Ÿ, çŽ‹æ™“èŽ‰, å­”ä¹°ç¾¤</t>
  </si>
  <si>
    <t>https://patents.google.com/patent/CN115423263B/en</t>
  </si>
  <si>
    <t>CN-120450214-B</t>
  </si>
  <si>
    <t xml:space="preserve">Urban waterlogging risk management method and system based on multi-model coupling </t>
  </si>
  <si>
    <t>å®‰å¾½æ°´åˆ©æ°´ç”µèŒä¸šæŠ€æœ¯å­¦é™¢, èˆªå¤©ç§‘å·¥æ™ºæ…§äº§ä¸šå‘å±•æœ‰é™å…¬å¸</t>
  </si>
  <si>
    <t>ä»‡å¨Ÿå¨Ÿ, é™ˆå®‡ä½³</t>
  </si>
  <si>
    <t>https://patents.google.com/patent/CN120450214B/en</t>
  </si>
  <si>
    <t>CN-117634308-B</t>
  </si>
  <si>
    <t xml:space="preserve">Decision system and analysis method for analyzing rail transit engineering data </t>
  </si>
  <si>
    <t>é»„æ’å„’, é™ˆä¼Š, å¾å½¬å½¬, æ¨ç‘žåŽ, è°¢æµ©å¿—, å§œå‹‡, å‚…è¿›è´¤</t>
  </si>
  <si>
    <t>https://patents.google.com/patent/CN117634308B/en</t>
  </si>
  <si>
    <t>CN-119849713-B</t>
  </si>
  <si>
    <t xml:space="preserve">Digital twinning-based high-density urban ponding evolution and early warning method </t>
  </si>
  <si>
    <t>ç æ±Ÿæ°´åˆ©å§”å‘˜ä¼šç æ±Ÿæ°´åˆ©ç§‘å­¦ç ”ç©¶é™¢</t>
  </si>
  <si>
    <t>å§šå¸…, å¼ ç‚œ, çŽ‹æ±‰å²—, æŽé‘«, ä½•ç”¨, å®‹åˆ©ç¥¥, æ¨æ»¨, å¼ æ–‡æ™´, çŽ‹ç‘œ, èµ–å€©çŽ², æŽä¸œè±ª</t>
  </si>
  <si>
    <t>https://patents.google.com/patent/CN119849713B/en</t>
  </si>
  <si>
    <t>CN-116129612-B</t>
  </si>
  <si>
    <t xml:space="preserve">Distributed landslide monitoring and early warning system based on Internet of things </t>
  </si>
  <si>
    <t>è¥¿åŒ—å¤§å­¦</t>
  </si>
  <si>
    <t>é‚±æµ·å†›, æœ±äºšèŒ¹, åˆ˜å­æ•¬, åˆ˜é›…, ä»»å¿—åˆš, å¼ºå»ºåŽ, å”æŸ„å“²</t>
  </si>
  <si>
    <t>https://patents.google.com/patent/CN116129612B/en</t>
  </si>
  <si>
    <t>CN-115324592-B</t>
  </si>
  <si>
    <t xml:space="preserve">Dynamic monitoring and dynamic response control method of aquifer for well construction </t>
  </si>
  <si>
    <t>é™•è¥¿å»¶é•¿çŸ³æ²¹çŸ¿ä¸šæœ‰é™è´£ä»»å…¬å¸</t>
  </si>
  <si>
    <t>èŒƒäº¬é“, å°åŽ, åˆ˜å…¨è¾‰, æŽå·, æ±ªé’ä»“, é»„å…‹å†›, æƒ å­¦é½, åˆ˜æ¸­, èµµä¸€è¶…, å¼ ä¿Šæ˜Ÿ, å®‹å²³, ä½•çª</t>
  </si>
  <si>
    <t>https://patents.google.com/patent/CN115324592B/en</t>
  </si>
  <si>
    <t>CN-113464197-B</t>
  </si>
  <si>
    <t xml:space="preserve">Mine water disaster emergency management method and system </t>
  </si>
  <si>
    <t>ä¸­å›½çŸ¿ä¸šå¤§å­¦(åŒ—äº¬)</t>
  </si>
  <si>
    <t>æ­¦å¼º, èµµé¢–æ—º, å¾åŽ, å¼ å°ç‡•, éƒæ²»æœ, æœæ²…æ³½, æœå¿—ç«‹, å§šä¹‰, çŽ‹æ½‡</t>
  </si>
  <si>
    <t>https://patents.google.com/patent/CN113464197B/en</t>
  </si>
  <si>
    <t>https://patentimages.storage.googleapis.com/f7/c3/43/e3bcbdc277bef2/HDA0002430855310000011.png</t>
  </si>
  <si>
    <t>CN-117588394-B</t>
  </si>
  <si>
    <t xml:space="preserve">AIoT-based intelligent linkage control method and system for vacuum pump </t>
  </si>
  <si>
    <t>åŽåœŸæœ¨(åŽ¦é—¨)ç§‘æŠ€æœ‰é™å…¬å¸</t>
  </si>
  <si>
    <t>è‚–æœæ˜€, å‘¨å»ºçƒ½, çŽ‹æˆ, å­Ÿæ±Ÿå±±, é»„å±±æ™¯, æœ±æµ©æ°, æž—å»ºä¼Ÿ, æž—æµ·é‡‘, éƒ‘è”æž­, éƒå«, å¼ éƒ‘åŽ</t>
  </si>
  <si>
    <t>https://patents.google.com/patent/CN117588394B/en</t>
  </si>
  <si>
    <t>CN-113392523-B</t>
  </si>
  <si>
    <t xml:space="preserve">Sewage pipe network health condition diagnosis method based on long-duration multi-measuring-point </t>
  </si>
  <si>
    <t>äº‘å—çœè®¾è®¡é™¢é›†å›¢æœ‰é™å…¬å¸</t>
  </si>
  <si>
    <t>å‘ç†™, è”¡ä¿Šæ¥ , æ®µæ·‘ç’‡, æ¨ä¼Ÿ, å¾æµ©ä¸œ, è®¸ä½¶</t>
  </si>
  <si>
    <t>https://patents.google.com/patent/CN113392523B/en</t>
  </si>
  <si>
    <t>CN-119593806-B</t>
  </si>
  <si>
    <t xml:space="preserve">An intelligent support system and method for rock tunnels that adapts to geological conditions </t>
  </si>
  <si>
    <t>ä¸­é“åäº”å±€é›†å›¢æœ‰é™å…¬å¸, åŽåŒ—ç†å·¥å¤§å­¦</t>
  </si>
  <si>
    <t>åˆ˜ä¸œåˆ©, å¼ å¸†èˆ¸, æŽç¾¤, æŽä¸€å‡¡, æ¨å’ŒçŒ›, å¼ æˆ˜å‹‡, éƒ­äº‘é¾™, å¼ å…‰ç€š</t>
  </si>
  <si>
    <t>https://patents.google.com/patent/CN119593806B/en</t>
  </si>
  <si>
    <t>KR-102879234-B1</t>
  </si>
  <si>
    <t xml:space="preserve">Building information modeling(bim)-grid maintenance system for underground area of urban railway, and method for the same </t>
  </si>
  <si>
    <t>í•œêµ­ì² ë„ê¸°ìˆ ì—°êµ¬ì›</t>
  </si>
  <si>
    <t>ê¹€ë³‘ê·œ, ë°•ì˜ê³¤, ê¹€í˜„ê¸°, ìœ¤í¬íƒ, ë°°ì˜í›ˆ</t>
  </si>
  <si>
    <t>https://patents.google.com/patent/KR102879234B1/en</t>
  </si>
  <si>
    <t>CN-210983506-U</t>
  </si>
  <si>
    <t xml:space="preserve">Comprehensive informatization system for operation management of medium and small backbone water source engineering </t>
  </si>
  <si>
    <t>è´µå·žçœæ°´åˆ©æ°´ç”µå·¥ç¨‹å’¨è¯¢æœ‰é™è´£ä»»å…¬å¸, è´µå·žæ™ºæ…§æ°´åˆ©ç§‘æŠ€è‚¡ä»½æœ‰é™å…¬å¸</t>
  </si>
  <si>
    <t>æŽæ˜Žå«, å¼ å¥æ°‘, å‘¨æ­£åª›, å”è£æ–°</t>
  </si>
  <si>
    <t>https://patents.google.com/patent/CN210983506U/en</t>
  </si>
  <si>
    <t>https://patentimages.storage.googleapis.com/36/54/ed/6fe45d4751d76c/HDA0002372357930000011.png</t>
  </si>
  <si>
    <t>CN-120125036-B</t>
  </si>
  <si>
    <t xml:space="preserve">A method for evaluating the degree of ecological phreatic disturbance caused by coal mining </t>
  </si>
  <si>
    <t>å±±ä¸œæ–°å·¨é¾™èƒ½æºæœ‰é™è´£ä»»å…¬å¸</t>
  </si>
  <si>
    <t>é«˜ä¸œå¿, æ¯•åš, é«˜ä¼Ÿæ°‘, ç”„é€¢ä¿Š, é™ˆå¸Œ, ç”³æ–°æ–°, æ­¦æ–‡åˆš, å¾å‹¤è·ƒ</t>
  </si>
  <si>
    <t>https://patents.google.com/patent/CN120125036B/en</t>
  </si>
  <si>
    <t>CN-117291432-B</t>
  </si>
  <si>
    <t xml:space="preserve">A water resources dispatching and monitoring system based on artificial intelligence </t>
  </si>
  <si>
    <t>å®‰å¾½é‡‘æµ·è¿ªå°”ä¿¡æ¯æŠ€æœ¯æœ‰é™è´£ä»»å…¬å¸</t>
  </si>
  <si>
    <t>å¼ æœç¨³, è€¿å‹‡, å¼ æ˜¶, å¶èµŸ, æ›¹å«æ˜Ÿ, é«˜æ™¯å³°, çŽ‹æ™¶</t>
  </si>
  <si>
    <t>https://patents.google.com/patent/CN117291432B/en</t>
  </si>
  <si>
    <t>CN-120183158-B</t>
  </si>
  <si>
    <t xml:space="preserve">A real-time early warning method for underground engineering construction safety risks based on the Internet of Things </t>
  </si>
  <si>
    <t>å¤§è¿žéš†æºè¾¾é€šä¿¡å·¥ç¨‹æœ‰é™å…¬å¸</t>
  </si>
  <si>
    <t>é©¬éª•, å­™æ˜Ž, å¼ é›¨å©·, çŽ‹ä¸½è£</t>
  </si>
  <si>
    <t>https://patents.google.com/patent/CN120183158B/en</t>
  </si>
  <si>
    <t>CN-119204697-B</t>
  </si>
  <si>
    <t xml:space="preserve">Sewage treatment operation method, equipment and cloud platform based on Internet of things and GIS </t>
  </si>
  <si>
    <t>æ¹–åŒ—æ°¸ä¸šè¡Œè¯„ä¼°å’¨è¯¢æœ‰é™å…¬å¸</t>
  </si>
  <si>
    <t>æ–‡äº‘æ³¢, é›·å°æ˜Ž, éƒ­åŽ, æ¨å‡¤, éƒ‘æ˜€, æ›²åŒåŒ</t>
  </si>
  <si>
    <t>https://patents.google.com/patent/CN119204697B/en</t>
  </si>
  <si>
    <t>CN-118364984-B</t>
  </si>
  <si>
    <t xml:space="preserve">Remote monitoring system and method for coal mine warehouse cleaning robot based on Internet of things </t>
  </si>
  <si>
    <t>ä¸­ç…¤ç§‘å·¥æœºå™¨äººç§‘æŠ€æœ‰é™å…¬å¸</t>
  </si>
  <si>
    <t>çŽ‹é›·, æœ±çŽ‰èŠ¹, å¸¸å¥, æ¨é—¯, å¼ å¹³, å¾ç‘¶, æž—å…‰æ¨¡, æŽæ¢</t>
  </si>
  <si>
    <t>https://patents.google.com/patent/CN118364984B/en</t>
  </si>
  <si>
    <t>CN-119337290-B</t>
  </si>
  <si>
    <t xml:space="preserve">A housing safety detection method and system </t>
  </si>
  <si>
    <t>æ¹–å—è”åˆæ™ºä¸ºä¿¡æ¯æŠ€æœ¯æœ‰é™å…¬å¸</t>
  </si>
  <si>
    <t>å¾æ˜Žè½©</t>
  </si>
  <si>
    <t>https://patents.google.com/patent/CN119337290B/en</t>
  </si>
  <si>
    <t>CN-118780626-B</t>
  </si>
  <si>
    <t xml:space="preserve">Intelligent monitoring and early warning method and system for urban geological security risk </t>
  </si>
  <si>
    <t>æ±Ÿè‹çœåœ°è´¨è°ƒæŸ¥ç ”ç©¶é™¢</t>
  </si>
  <si>
    <t>æŽæ˜Ž, è’‹æ³¢, é«˜ç«‹, æŽä¼Ÿ, å¼ çºªæ˜Ÿ, çŽ‹æŒ¯æµ·</t>
  </si>
  <si>
    <t>https://patents.google.com/patent/CN118780626B/en</t>
  </si>
  <si>
    <t>CN-211121511-U</t>
  </si>
  <si>
    <t xml:space="preserve">Hydraulic engineering water level monitoring device based on thing networking </t>
  </si>
  <si>
    <t>å¼ å¾·å®</t>
  </si>
  <si>
    <t>https://patents.google.com/patent/CN211121511U/en</t>
  </si>
  <si>
    <t>https://patentimages.storage.googleapis.com/4e/92/ae/7314779cc86295/HDA0002389422200000011.png</t>
  </si>
  <si>
    <t>CN-213876979-U</t>
  </si>
  <si>
    <t xml:space="preserve">Forest fire prevention thing networking early warning device </t>
  </si>
  <si>
    <t>æ­å·žçŸ¥é›¨ç§‘æŠ€å’¨è¯¢æœ‰é™è´£ä»»å…¬å¸</t>
  </si>
  <si>
    <t>ç¨‹å˜‰ç‘ž, å§œç£Š</t>
  </si>
  <si>
    <t>https://patents.google.com/patent/CN213876979U/en</t>
  </si>
  <si>
    <t>https://patentimages.storage.googleapis.com/e3/40/f3/dcbcadcf4fde1c/DEST_PATH_HDA0003103964460000011.png</t>
  </si>
  <si>
    <t>CN-120822185-B</t>
  </si>
  <si>
    <t xml:space="preserve">Groundwater infiltration replenishment evaluation method and device based on digital twin </t>
  </si>
  <si>
    <t>æ°´åˆ©éƒ¨æ°´åˆ©æ°´ç”µè§„åˆ’è®¾è®¡æ€»é™¢</t>
  </si>
  <si>
    <t>é™ˆé£ž, é©¬è‹¥ç»®, å²æ–‡é¾™, ç¾Šè‰³, å”ä¸–å—, ç¨‹å† ä¹”, ç™½çŽ‰å ƒ</t>
  </si>
  <si>
    <t>https://patents.google.com/patent/CN120822185B/en</t>
  </si>
  <si>
    <t>LU-509312-B1</t>
  </si>
  <si>
    <t xml:space="preserve">A water resource dispatching system based on irrigation area under the condition of abnormal river flow </t>
  </si>
  <si>
    <t>Anhui Jinhai Deer Information Tech Co Ltd</t>
  </si>
  <si>
    <t>Chaowen Zhang, Jingfeng Gao, Yun Ye, Congbiao Wang, Qiang Chen, Jingtang Sun</t>
  </si>
  <si>
    <t>https://patents.google.com/patent/LU509312B1/en</t>
  </si>
  <si>
    <t>CN-120026919-B</t>
  </si>
  <si>
    <t xml:space="preserve">Intelligent control system for deep well exploitation equipment </t>
  </si>
  <si>
    <t>å±±ä¸œé»„é‡‘çŸ¿ä¸šç§‘æŠ€æœ‰é™å…¬å¸å……å¡«å·¥ç¨‹å®žéªŒå®¤åˆ†å…¬å¸, å±±ä¸œé»„é‡‘é›†å›¢è“¬èŽ±çŸ¿ä¸šæœ‰é™å…¬å¸</t>
  </si>
  <si>
    <t>å´å†æµ·, å¼ å°åˆš, åˆ˜é¹åš, å®‹é‡‘é¸¿, æœ±åºšæ°, æ¨çºªå…‰, æŽå¹¿æ³¢, æ¡‘æ¥å‘, åˆ˜æ°, éƒ­åŠ ä», æ¢æ–‡æµ·, å¯‡äº‘é¹</t>
  </si>
  <si>
    <t>https://patents.google.com/patent/CN120026919B/en</t>
  </si>
  <si>
    <t>CN-215006896-U</t>
  </si>
  <si>
    <t xml:space="preserve">Satellite-ground cooperative slope multi-risk factor combined real-time monitoring and early warning system </t>
  </si>
  <si>
    <t>æ·±åœ³é˜²ç¾å‡ç¾æŠ€æœ¯ç ”ç©¶é™¢</t>
  </si>
  <si>
    <t>æž—å¥å¯Œ, çŽ‹ç«‹æ–°, èƒ¡è£æ”€, é»„å‰‘æ¶›, èµµè´¤ä»», åˆ˜å†›é¦™, ä½•çŽ‰æ°, æ±ªç¾½å‡¡</t>
  </si>
  <si>
    <t>https://patents.google.com/patent/CN215006896U/en</t>
  </si>
  <si>
    <t>https://patentimages.storage.googleapis.com/d6/a5/4c/e5e396b68fe114/HDA0003117607120000011.png</t>
  </si>
  <si>
    <t>KR-102505765-B1</t>
  </si>
  <si>
    <t xml:space="preserve">IoT BASED WEARABLE ON SITE VISUALIZATION SYSTEM FOR SAFETY OF WORKER IN CONSTRUCTION SITE </t>
  </si>
  <si>
    <t>(ì£¼) ë‹¤ìŒê¸°ìˆ ë‹¨</t>
  </si>
  <si>
    <t>ë°•ì² , ìµœìƒì‹, ê¹€ì˜ì„, ì •í•´ìš©, ì´ìŠ¹í˜„</t>
  </si>
  <si>
    <t>https://patents.google.com/patent/KR102505765B1/en</t>
  </si>
  <si>
    <t>https://patentimages.storage.googleapis.com/d8/5d/54/7c0dbf6cec6b69/112021131959577-pat00001.png</t>
  </si>
  <si>
    <t>CN-116930457-B</t>
  </si>
  <si>
    <t xml:space="preserve">A method, equipment and medium for online monitoring of groundwater and soil pollution </t>
  </si>
  <si>
    <t>æµªæ½®äº‘æ´²å·¥ä¸šäº’è”ç½‘æœ‰é™å…¬å¸</t>
  </si>
  <si>
    <t>å­™æŒ¯æ¥, è‚–é›ª, çŽ‹åº†å®, æŽé›ªèŽ¹, äºŽé™</t>
  </si>
  <si>
    <t>https://patents.google.com/patent/CN116930457B/en</t>
  </si>
  <si>
    <t>CN-115665690-B</t>
  </si>
  <si>
    <t xml:space="preserve">River buffer zone soil restoration feedback system and restoration method </t>
  </si>
  <si>
    <t>åŒ—æ–¹å·¥ç¨‹è®¾è®¡ç ”ç©¶é™¢æœ‰é™å…¬å¸</t>
  </si>
  <si>
    <t>èµµæµ·æ˜Ž, è–›è•Š, æ›¹èƒœæ˜”, è§£æ—­ä¸œ, å®‹å¿—æ°¸, éƒœé¹, å¼ æ¶›, å­Ÿå‡¤, æ¨å®¶ç‰§</t>
  </si>
  <si>
    <t>https://patents.google.com/patent/CN115665690B/en</t>
  </si>
  <si>
    <t>https://patentimages.storage.googleapis.com/0e/87/88/07f72252f18352/221226132604.png</t>
  </si>
  <si>
    <t>CN-119538163-B</t>
  </si>
  <si>
    <t xml:space="preserve">Karst water-rich stratum large-diameter shield tunnel intelligent monitoring method </t>
  </si>
  <si>
    <t>ä¸­å›½å»ºç­‘ç¬¬å…­å·¥ç¨‹å±€æœ‰é™å…¬å¸, å¤§è¿žäº¤é€šå¤§å­¦</t>
  </si>
  <si>
    <t>è´¾å»ºä¼Ÿ, ç‰›å¥”, å¼ å»¶å¹´, å¶å‹æž—, å¼ å½¦æ ‹, æ±ªé’æ°, éƒ‘ä¹…ç¡•</t>
  </si>
  <si>
    <t>https://patents.google.com/patent/CN119538163B/en</t>
  </si>
  <si>
    <t>CN-111259335-B</t>
  </si>
  <si>
    <t xml:space="preserve">Tunnel underpass road construction risk analysis system and method </t>
  </si>
  <si>
    <t>ä¸­é“éš§é“é›†å›¢äºŒå¤„æœ‰é™å…¬å¸</t>
  </si>
  <si>
    <t>çŽ‹ä¼Ÿä¸œ, å¼ ç»å®½, å­™å–„è¾‰, å¼ æ˜†, é»„å·, é¡¾å­¦å»º, åˆ˜å¿—æƒ, æŽä¼Ÿæ°, å¼ å¿ æ°, ç®¡è•¾, æ¨éŸ¦ä¸€, å´å­”å‹‡, èµµæ´ªå½¬, å¼ ç‡•å½±, æ›¹æ™“é£ž, æ®µèµ›, æŽé“¶åŽ, åˆ˜æ¶›, æ¨å®é¾™, é«˜é•¿ä¼Ÿ</t>
  </si>
  <si>
    <t>https://patents.google.com/patent/CN111259335B/en</t>
  </si>
  <si>
    <t>CN-120105921-B</t>
  </si>
  <si>
    <t xml:space="preserve">Runoff simulation method in plain water network area </t>
  </si>
  <si>
    <t>æ°´åˆ©éƒ¨äº¤é€šè¿è¾“éƒ¨å›½å®¶èƒ½æºå±€å—äº¬æ°´åˆ©ç§‘å­¦ç ”ç©¶é™¢</t>
  </si>
  <si>
    <t>æˆ´æ±ŸçŽ‰, å´ä¿®é”‹, ç¨‹æ—­, å¾å‡†, è®¸å¬é›¨, æ¨å€©å€©, ç½—æ´, åˆ˜å€©å€©</t>
  </si>
  <si>
    <t>https://patents.google.com/patent/CN120105921B/en</t>
  </si>
  <si>
    <t>CN-120217027-B</t>
  </si>
  <si>
    <t xml:space="preserve">A Hydrogeological Dynamic Monitoring and Analysis System and Method Based on Big Data </t>
  </si>
  <si>
    <t>ä¸­å›½åœ°è´¨ç§‘å­¦é™¢å²©æº¶åœ°è´¨ç ”ç©¶æ‰€</t>
  </si>
  <si>
    <t>å·´ä¿Šæ°, å¼ åº†çŽ‰, å­£å°‘èª, è‚å›½æƒ, å¼ èŒ</t>
  </si>
  <si>
    <t>https://patents.google.com/patent/CN120217027B/en</t>
  </si>
  <si>
    <t>CN-118333423-B</t>
  </si>
  <si>
    <t xml:space="preserve">Water Conservancy Project Management Intelligent System </t>
  </si>
  <si>
    <t>é¾™å£å¸‚æ°´åˆ©å»ºç­‘å®‰è£…å·¥ç¨‹æœ‰é™å…¬å¸</t>
  </si>
  <si>
    <t>åˆ˜èŠ³, å®‹æ´‹æ´‹, çŽ‹ç´ çŽ², çŽ‹ç«‹å†›, èµµå›½å¼º, è¤šç›Šæ¸…, åˆ˜è¿Žé›ª, å²³ä¿Šç§€, åº·æ–°, å¼ å¸…, æ ¾é¹</t>
  </si>
  <si>
    <t>https://patents.google.com/patent/CN118333423B/en</t>
  </si>
  <si>
    <t>CN-113421404-B</t>
  </si>
  <si>
    <t xml:space="preserve">Satellite-ground cooperative slope multi-risk factor combined real-time monitoring and early warning method </t>
  </si>
  <si>
    <t>çŽ‹ç«‹æ–°, æž—å¥å¯Œ, èµµè´¤ä»», é»„å‰‘æ¶›, èƒ¡è£æ”€, åˆ˜å†›é¦™, æ±ªç¾½å‡¡, ä½•çŽ‰æ°</t>
  </si>
  <si>
    <t>https://patents.google.com/patent/CN113421404B/en</t>
  </si>
  <si>
    <t>https://patentimages.storage.googleapis.com/2b/03/24/55f1196c320fc2/HDA0003118135340000011.png</t>
  </si>
  <si>
    <t>CN-118627914-B</t>
  </si>
  <si>
    <t xml:space="preserve">Iron tower installation risk assessment method and system based on communication network </t>
  </si>
  <si>
    <t>åŒ—äº¬åŽè¿…é€šä¿¡æŠ€æœ¯æœ‰é™å…¬å¸</t>
  </si>
  <si>
    <t>æ¢æµ·é¾™, æž—å®œä½, åˆ˜è¶Šæ´‹</t>
  </si>
  <si>
    <t>https://patents.google.com/patent/CN118627914B/en</t>
  </si>
  <si>
    <t>CN-117433480-B</t>
  </si>
  <si>
    <t xml:space="preserve">High-precision position real-time dynamic monitoring and early warning system and method based on remote sensing monitoring </t>
  </si>
  <si>
    <t>å¹¿å·žè“å›¾åœ°ç†ä¿¡æ¯æŠ€æœ¯æœ‰é™å…¬å¸, å¹¿ä¸œå›½åœ°è§„åˆ’ç§‘æŠ€è‚¡ä»½æœ‰é™å…¬å¸</t>
  </si>
  <si>
    <t>è¢å¿—æ˜Ž, è°¢è¿å¹¿, æ¢æ–‡æ¯«, æ¨ä¸½å¨…, åˆ˜ç¦¹éº’</t>
  </si>
  <si>
    <t>https://patents.google.com/patent/CN117433480B/en</t>
  </si>
  <si>
    <t>CN-117809433-B</t>
  </si>
  <si>
    <t xml:space="preserve">Internet of things equipment-closing processing method and system supporting accurate fusion early warning </t>
  </si>
  <si>
    <t>åº”æ€¥ç®¡ç†éƒ¨å¤§æ•°æ®ä¸­å¿ƒ</t>
  </si>
  <si>
    <t>æˆ¿çŽ‰ä¸œ, æ¨ç»§æ˜Ÿ, é»„æ™“è¾‰, é½æ˜¥é›ª, çŽ‹æ¶›, å¼ å¿—ï¿½, è´¾æ³½å®‡, æŸ³æ ‘æž—, åˆ˜åµ˜</t>
  </si>
  <si>
    <t>https://patents.google.com/patent/CN117809433B/en</t>
  </si>
  <si>
    <t>CN-117751742-B</t>
  </si>
  <si>
    <t xml:space="preserve">Intelligent garden water and fertilizer irrigation optimization method and system </t>
  </si>
  <si>
    <t>æµ™æ±Ÿå›­åšæ™¯è§‚å»ºè®¾æœ‰é™å…¬å¸</t>
  </si>
  <si>
    <t>è¢åš, é‡‘å²³ç¥¥</t>
  </si>
  <si>
    <t>https://patents.google.com/patent/CN117751742B/en</t>
  </si>
  <si>
    <t>KR-102340325-B1</t>
  </si>
  <si>
    <t xml:space="preserve">Water storage tank management platform service system and method for drinking water with internet of things </t>
  </si>
  <si>
    <t>ê¸ˆë™í•œ</t>
  </si>
  <si>
    <t>ê¸ˆë™í•œ, ë°•ì„ ì˜¥</t>
  </si>
  <si>
    <t>https://patents.google.com/patent/KR102340325B1/en</t>
  </si>
  <si>
    <t>https://patentimages.storage.googleapis.com/b1/f3/c9/506209953df48d/112021111110462-pat00004.png</t>
  </si>
  <si>
    <t>CN-113762090-B</t>
  </si>
  <si>
    <t xml:space="preserve">A disaster monitoring and early warning method for UHV dense transmission channels </t>
  </si>
  <si>
    <t>å›½ç½‘æµ™æ±Ÿçœç”µåŠ›æœ‰é™å…¬å¸æ¹–å·žä¾›ç”µå…¬å¸</t>
  </si>
  <si>
    <t>æŽé¾™, æ®·å¿—æ•, è®¸å¤§ä»¤, å²³çµå¹³, é‡‘å›½äº®, å¼ é¹, æŽå“, ç¨‹äº®äº®, æŽæµ©è¨€, æˆ´å»ºåŽ</t>
  </si>
  <si>
    <t>https://patents.google.com/patent/CN113762090B/en</t>
  </si>
  <si>
    <t>CN-112982574-B</t>
  </si>
  <si>
    <t xml:space="preserve">Intelligent fire hydrant applying internet of things card </t>
  </si>
  <si>
    <t>é’Ÿæ˜Ÿå»ºè®¾é›†å›¢æœ‰é™å…¬å¸</t>
  </si>
  <si>
    <t>æŽï¿½æ°, æž—å³°, æ¨æ‰å¿—</t>
  </si>
  <si>
    <t>https://patents.google.com/patent/CN112982574B/en</t>
  </si>
  <si>
    <t>https://patentimages.storage.googleapis.com/62/c9/84/eabd6a03ec1c43/HDA0002938116720000011.png</t>
  </si>
  <si>
    <t>CN-121212746-B</t>
  </si>
  <si>
    <t xml:space="preserve">A method and system for coupled seepage control of groundwater and surface water systems in airport areas </t>
  </si>
  <si>
    <t>ä¸Šæµ·æ°‘èˆªæ–°æ—¶ä»£æœºåœºè®¾è®¡ç ”ç©¶é™¢æœ‰é™å…¬å¸</t>
  </si>
  <si>
    <t>å¼ ç”²å³°, æŽå†›ä¸–</t>
  </si>
  <si>
    <t>https://patents.google.com/patent/CN121212746B/en</t>
  </si>
  <si>
    <t>JP-7783277-B2</t>
  </si>
  <si>
    <t xml:space="preserve">Atmospheric water generation system and method </t>
  </si>
  <si>
    <t>ã‚¸ã‚§ãƒã‚·ã‚¹ ã‚·ã‚¹ãƒ†ãƒ ã‚º ãƒªãƒŸãƒ†ãƒƒãƒ‰ ãƒ©ã‚¤ã‚¢ãƒ“ãƒªãƒ†ã‚£ ã‚«ãƒ³ãƒ‘ãƒ‹ãƒ¼</t>
  </si>
  <si>
    <t>ãƒ‡ãƒ´ã‚£ãƒƒãƒ‰ ã‚¸ã‚§ãƒ¼ãƒ ã‚¹ ã‚¹ã‚¿ãƒƒã‚±ãƒ³ãƒãƒ¼ã‚°, ã‚¨ãƒªãƒƒã‚¯ ã‚­ãƒ¼ã‚¹ ã‚¦ã‚§ãƒ³ãƒˆ, ã‚ªãƒ¼ã‚¦ã‚§ãƒ³ ãƒžã‚¤ã‚±ãƒ« ã‚¨ãƒªã‚¯ã‚½ãƒ³, ã‚·ãƒ£ãƒ‹ã‚¢ ã‚µãƒžãƒ³ã‚µ ãƒžãƒ‰ãƒ©ãƒ ãƒ¼ãƒˆã‚¥ãƒ¼, ã‚¸ãƒ¥ãƒ‹ã‚¢ ãƒŸã‚²ãƒ« ã‚¢ãƒ³ãƒ˜ãƒ« ã‚¸ãƒ¥ãƒ©ãƒ‰, ã‚¤ãƒ¼ã‚µãƒ³ ã‚¨ãƒžãƒ¼ã‚½ãƒ³ ãƒ—ãƒ«ãƒ¼ãƒžãƒ¼, ã‚¸ãƒ£ã‚·ãƒ£ãƒ« ãƒ‘ãƒ†ãƒ«</t>
  </si>
  <si>
    <t>https://patents.google.com/patent/JP7783277B2/en</t>
  </si>
  <si>
    <t>CN-213638222-U</t>
  </si>
  <si>
    <t xml:space="preserve">Intelligent farmland ecological environment remote early warning and monitoring system </t>
  </si>
  <si>
    <t>é˜³å…‰å­¦é™¢</t>
  </si>
  <si>
    <t>å¼ æ˜¥çŽ², åˆ˜æ–‡æ­¦, ç¿æ™¨é›ª, å¼ çŽ²</t>
  </si>
  <si>
    <t>https://patents.google.com/patent/CN213638222U/en</t>
  </si>
  <si>
    <t>https://patentimages.storage.googleapis.com/61/29/62/f37098d2b04b78/HDA0002825624260000011.png</t>
  </si>
  <si>
    <t>CN-117952413-B</t>
  </si>
  <si>
    <t xml:space="preserve">A method and system for evaluating urban safety risks </t>
  </si>
  <si>
    <t>åŒ—äº¬æ™ºåŸŽè”åˆç§‘æŠ€å‘å±•æœ‰é™å…¬å¸</t>
  </si>
  <si>
    <t>æ¨è‰¯</t>
  </si>
  <si>
    <t>https://patents.google.com/patent/CN117952413B/en</t>
  </si>
  <si>
    <t>KR-102746139-B1</t>
  </si>
  <si>
    <t xml:space="preserve">Valve room for filtering, purifying, cleaning </t>
  </si>
  <si>
    <t>ì–‘í•´ìµ, ì–‘í˜„ì‹</t>
  </si>
  <si>
    <t>ì–‘í•´ìµ, ì–‘í˜„ì‹, ì •í•˜ìµ</t>
  </si>
  <si>
    <t>https://patents.google.com/patent/KR102746139B1/en</t>
  </si>
  <si>
    <t>CN-120807204-B</t>
  </si>
  <si>
    <t xml:space="preserve">A smart agricultural management system based on the entire chain of planting, harvesting, and distribution. </t>
  </si>
  <si>
    <t>å››å·å†œä¸šå¤§å­¦</t>
  </si>
  <si>
    <t>é˜³æ¬£ç¾½, æž—é‡Ž, å½­æ˜ŒçŒ›, å”çŽ²æ…§, çŽ‹é›¨è°¦, ç™½ä¸¹, è¢äº®, æž—ä¼Šæ·³, ç‰›å®¸å²³, æ±ªæ–‡é™, åˆ˜æ¬£æ‚¦, çŽ‹ç‚, è‚–æ£‹æ–‡</t>
  </si>
  <si>
    <t>https://patents.google.com/patent/CN120807204B/en</t>
  </si>
  <si>
    <t>KR-102788198-B1</t>
  </si>
  <si>
    <t xml:space="preserve">Facility inspection method and system </t>
  </si>
  <si>
    <t>(ì£¼)ì‹ ê¸°ì›ì´ì•¤ì”¨</t>
  </si>
  <si>
    <t>ì–‘í•´ìµ</t>
  </si>
  <si>
    <t>https://patents.google.com/patent/KR102788198B1/en</t>
  </si>
  <si>
    <t>CN-114542178-B</t>
  </si>
  <si>
    <t xml:space="preserve">Mine pump room intelligent drainage control method and system based on big data analysis </t>
  </si>
  <si>
    <t>åŒ—äº¬é¾™è½¯ç§‘æŠ€è‚¡ä»½æœ‰é™å…¬å¸, é™•è¥¿é™•ç…¤é»„é™µçŸ¿ä¸šæœ‰é™å…¬å¸</t>
  </si>
  <si>
    <t>æ¯›å–„å›, é›·è´µç”Ÿ, å§œæ–‡ç£Š, æ™¯è¶…, é»„ä¼Ÿ, è–›å›½åŽ, å®‹å¯, é«˜é¹, å¼ å…µ, å¼ æ˜¥æ™“</t>
  </si>
  <si>
    <t>https://patents.google.com/patent/CN114542178B/en</t>
  </si>
  <si>
    <t>https://patentimages.storage.googleapis.com/3a/82/d0/9fe15d64a1e51f/HDA0003504956360000011.png</t>
  </si>
  <si>
    <t>CN-119125490-B</t>
  </si>
  <si>
    <t xml:space="preserve">A groundwater sampling, analysis and monitoring system based on artificial intelligence </t>
  </si>
  <si>
    <t>å—äº¬æ°´æ³½ä¸‡ç‰©çŽ¯ä¿ç§‘æŠ€æœ‰é™å…¬å¸</t>
  </si>
  <si>
    <t>çŽ‹å‹‹, äºŽå–œå’Œ, æ¨æ…§æ•, é™¶é“¶æ­¦</t>
  </si>
  <si>
    <t>https://patents.google.com/patent/CN119125490B/en</t>
  </si>
  <si>
    <t>CN-119222840-B</t>
  </si>
  <si>
    <t xml:space="preserve">IoT-based remote monitoring and data acquisition system for cryogenic coupled heat pumps </t>
  </si>
  <si>
    <t>å¹¿ä¸œæ´¾æ²ƒæ–°èƒ½æºç§‘æŠ€æœ‰é™å…¬å¸</t>
  </si>
  <si>
    <t>æŽç›¸å®, æ½˜æ¸…å®‰, ç½—æŽå¤©</t>
  </si>
  <si>
    <t>https://patents.google.com/patent/CN119222840B/en</t>
  </si>
  <si>
    <t>CN-113625352-B</t>
  </si>
  <si>
    <t xml:space="preserve">Urban underground space resistivity sensing system based on cloud edge end cooperation and data acquisition method </t>
  </si>
  <si>
    <t>çŽ‹ä½³é¦¨</t>
  </si>
  <si>
    <t>çŽ‹ä½³é¦¨, çŽ‹å¸®å…µ</t>
  </si>
  <si>
    <t>https://patents.google.com/patent/CN113625352B/en</t>
  </si>
  <si>
    <t>CN-117147200-B</t>
  </si>
  <si>
    <t xml:space="preserve">An underground warehouse building structure operation and maintenance monitoring system based on the Internet of Things </t>
  </si>
  <si>
    <t>å¹¿ä¸œçœè£…é¥°æœ‰é™å…¬å¸</t>
  </si>
  <si>
    <t>æž—å¨çŽ‰, åˆ˜å»ºå³°</t>
  </si>
  <si>
    <t>https://patents.google.com/patent/CN117147200B/en</t>
  </si>
  <si>
    <t>CN-120851388-B</t>
  </si>
  <si>
    <t xml:space="preserve">Hydrogeological Analysis System and Method Based on Big Data </t>
  </si>
  <si>
    <t>å±±ä¸œæ­£å…ƒå»ºè®¾å·¥ç¨‹æœ‰é™è´£ä»»å…¬å¸, ä¸­å›½åœ°è´¨å¤§å­¦ï¼ˆæ­¦æ±‰ï¼‰</t>
  </si>
  <si>
    <t>éƒ­ä½³å‡, å®‹å½¬æ–Œ, å¾å¼º, å¼ ç¦å†›, çŽ‹é‡‘æ¥, å®‹äº‘é¾™, å¼ å»ºå›½, åˆ˜åŸ¹æƒ, å¼ æ´ªé£ž, åˆ˜æ½åŠ, åºžè±«è™Ž, æ­¦æ ‘æ”¿, å¾ä¼Ÿ, çºªæ°¸å½¬, å­Ÿäºš</t>
  </si>
  <si>
    <t>https://patents.google.com/patent/CN120851388B/en</t>
  </si>
  <si>
    <t>CN-213814359-U</t>
  </si>
  <si>
    <t xml:space="preserve">Intelligent farmland soil quality remote monitoring system </t>
  </si>
  <si>
    <t>å¼ æ˜¥çŽ², åˆ˜æ–‡æ­¦, å¼ çŽ², ç¿æ™¨é›ª</t>
  </si>
  <si>
    <t>https://patents.google.com/patent/CN213814359U/en</t>
  </si>
  <si>
    <t>https://patentimages.storage.googleapis.com/5f/53/15/0121659ee9d7ac/HDA0002826616120000011.png</t>
  </si>
  <si>
    <t>KR-102621072-B1</t>
  </si>
  <si>
    <t xml:space="preserve">Monitoring system for underground electric power line </t>
  </si>
  <si>
    <t>(ì£¼)í¬ìœ í…</t>
  </si>
  <si>
    <t>ì •ìˆ˜ì² </t>
  </si>
  <si>
    <t>https://patents.google.com/patent/KR102621072B1/en</t>
  </si>
  <si>
    <t>KR-102844734-B1</t>
  </si>
  <si>
    <t xml:space="preserve">Integrated system for water drainage managment of rice paddies based on internet of things </t>
  </si>
  <si>
    <t>(ì£¼)ë¹„íŠ¸ë²„ìŠ¤</t>
  </si>
  <si>
    <t>ì „ì„±í˜¸</t>
  </si>
  <si>
    <t>https://patents.google.com/patent/KR102844734B1/en</t>
  </si>
  <si>
    <t>CN-119809116-B</t>
  </si>
  <si>
    <t xml:space="preserve">Methods and apparatus for generating site pollution remediation solutions </t>
  </si>
  <si>
    <t>ç”Ÿæ€çŽ¯å¢ƒéƒ¨åœŸå£¤ä¸Žå†œä¸šå†œæ‘ç”Ÿæ€çŽ¯å¢ƒç›‘ç®¡æŠ€æœ¯ä¸­å¿ƒ</t>
  </si>
  <si>
    <t>çŽ‹èµ«å©§, é»„éƒ…, ä½™æ±Ÿ, ä½•çŽ‰æ´</t>
  </si>
  <si>
    <t>https://patents.google.com/patent/CN119809116B/en</t>
  </si>
  <si>
    <t>CN-114208627-B</t>
  </si>
  <si>
    <t xml:space="preserve">A paddy field intelligent irrigation and drainage and soil profile solution collection and monitoring system </t>
  </si>
  <si>
    <t>æ²ˆé˜³å†œä¸šå¤§å­¦</t>
  </si>
  <si>
    <t>é™ˆæ¶›æ¶›, é‡‘æ²»é›„, å¼ å§, æŽåšæ˜Š, çŽ‹åš, äºŽå»ºæ˜Ž, æŽä½³ä¼Ÿ, åˆ˜æµ©ç„¶, æŽè¶…, æ²ˆä½©ç‘¶, é™ˆå­å¥</t>
  </si>
  <si>
    <t>https://patents.google.com/patent/CN114208627B/en</t>
  </si>
  <si>
    <t>https://patentimages.storage.googleapis.com/e2/e3/a6/9ba340c0992392/HDA0003428644640000011.png</t>
  </si>
  <si>
    <t>US-12125141-B2</t>
  </si>
  <si>
    <t xml:space="preserve">Generation of a virtual three-dimensional model of a hydrocarbon reservoir </t>
  </si>
  <si>
    <t>https://patents.google.com/patent/US12125141B2/en</t>
  </si>
  <si>
    <t>https://patentimages.storage.googleapis.com/98/3b/2b/77c5171356f873/US12125141-20241022-D00000.png</t>
  </si>
  <si>
    <t>CN-119995792-B</t>
  </si>
  <si>
    <t xml:space="preserve">Electromagnetic pulse data transmission method </t>
  </si>
  <si>
    <t>é™•è¥¿æµ©å…´å¤è¾¾æ–°èƒ½æºç§‘æŠ€æœ‰é™å…¬å¸</t>
  </si>
  <si>
    <t>æŽæ˜Ž, å…°æ¶›, å…°é¹é£ž</t>
  </si>
  <si>
    <t>https://patents.google.com/patent/CN119995792B/en</t>
  </si>
  <si>
    <t>KR-102615084-B1</t>
  </si>
  <si>
    <t xml:space="preserve">IoT system for monitoring underground power line </t>
  </si>
  <si>
    <t>ì£¼ì‹íšŒì‚¬ ì„±ì‹ ì´ì—”ì§€</t>
  </si>
  <si>
    <t>ë¼ì˜ê· </t>
  </si>
  <si>
    <t>https://patents.google.com/patent/KR102615084B1/en</t>
  </si>
  <si>
    <t>CN-213938877-U</t>
  </si>
  <si>
    <t xml:space="preserve">Intelligent agricultural system </t>
  </si>
  <si>
    <t>ä¸Šæµ·å„’çŽºç³»ç»Ÿé›†æˆå·¥ç¨‹æœ‰é™å…¬å¸</t>
  </si>
  <si>
    <t>è‘›äºšå…‰</t>
  </si>
  <si>
    <t>https://patents.google.com/patent/CN213938877U/en</t>
  </si>
  <si>
    <t>https://patentimages.storage.googleapis.com/8e/1c/ba/27be83a4898d5a/HDA0002737984010000011.png</t>
  </si>
  <si>
    <t>CN-117728587-B</t>
  </si>
  <si>
    <t xml:space="preserve">A real-time monitoring system and method for operation data of new energy power generation equipment </t>
  </si>
  <si>
    <t>åŽèƒ½æ±Ÿè‹ç»¼åˆèƒ½æºæœåŠ¡æœ‰é™å…¬å¸</t>
  </si>
  <si>
    <t>æŽé”‹, å§œç»ªè‰¯, å§šæ­£é˜³, æ›¹å…‹æ¥ , éƒ­ç†™, æ¨é˜³, æ®·æ°, å®‰å°‘å¸…, å¼ è‰³é£ž, ä¸¥æœ¦, æŽé’Š</t>
  </si>
  <si>
    <t>https://patents.google.com/patent/CN117728587B/en</t>
  </si>
  <si>
    <t>CN-120564356-B</t>
  </si>
  <si>
    <t xml:space="preserve">Network monitoring and early warning methods for geological disasters </t>
  </si>
  <si>
    <t>å—äº¬å¤æ‹“åœŸæœ¨å·¥ç¨‹ç§‘æŠ€æœ‰é™å…¬å¸</t>
  </si>
  <si>
    <t>ç¨‹è·å…°, å‘¨å†›å³°, é»„ï¿½ä¿Š, å°è•´, å¼ äºŒå¼º, æ–½çƒ¨æ¶›, çŽ‹æ³½ï¿½, å‘¨æ˜Ÿ</t>
  </si>
  <si>
    <t>https://patents.google.com/patent/CN120564356B/en</t>
  </si>
  <si>
    <t>CN-216410313-U</t>
  </si>
  <si>
    <t xml:space="preserve">Thing networking deep basal pit ground water level remote monitoring system </t>
  </si>
  <si>
    <t>å›½ç½‘æ€æžé£žå¤©(å…°å·ž)äº‘æ•°ç§‘æŠ€æœ‰é™å…¬å¸</t>
  </si>
  <si>
    <t>çŽ‹å…´æ‚Ÿ, çŽ‹ç»´åŽ, å´ç›¸è£, çŽ‹è‹±ä», åˆ˜å†›å†›, èµµæ™‹å³°</t>
  </si>
  <si>
    <t>https://patents.google.com/patent/CN216410313U/en</t>
  </si>
  <si>
    <t>https://patentimages.storage.googleapis.com/56/f0/29/362653b7799e54/HDA0003241701080000011.png</t>
  </si>
  <si>
    <t>CN-120801508-B</t>
  </si>
  <si>
    <t xml:space="preserve">Concrete strength remote monitoring method and system suitable for complex environment </t>
  </si>
  <si>
    <t>ä¸­å›½æ°´åˆ©æ°´ç”µç¬¬åäºŒå·¥ç¨‹å±€æœ‰é™å…¬å¸</t>
  </si>
  <si>
    <t>å®‰é¹é£ž, çŽ‹çˆ±å†›, éƒ­å»·å‡¯, é©¬æ¬£å®‡</t>
  </si>
  <si>
    <t>https://patents.google.com/patent/CN120801508B/en</t>
  </si>
  <si>
    <t>CN-116976185-B</t>
  </si>
  <si>
    <t xml:space="preserve">A geological disaster big data early warning and assessment system based on the Internet of Things cloud platform </t>
  </si>
  <si>
    <t>ä¸­å›½å»ºç­‘ææ–™å·¥ä¸šåœ°è´¨å‹˜æŸ¥ä¸­å¿ƒç”˜è‚ƒæ€»é˜Ÿ</t>
  </si>
  <si>
    <t>è´ºæ–‡æ—­</t>
  </si>
  <si>
    <t>https://patents.google.com/patent/CN116976185B/en</t>
  </si>
  <si>
    <t>CN-111142538-B</t>
  </si>
  <si>
    <t xml:space="preserve">Unmanned ship operation strategy real-time decision-making method for water environment monitoring </t>
  </si>
  <si>
    <t>åŒ—äº¬å·¥å•†å¤§å­¦</t>
  </si>
  <si>
    <t>ç™½çŽ‰å»·, çŽ‹å°è‰º, èµµå³™å°§, é˜³è¯‘, äºŽå®¶æ–Œ, é‡‘å­¦æ³¢</t>
  </si>
  <si>
    <t>https://patents.google.com/patent/CN111142538B/en</t>
  </si>
  <si>
    <t>https://patentimages.storage.googleapis.com/6a/fe/22/9052404ad9b3cb/HDA0002359854870000011.png</t>
  </si>
  <si>
    <t>CN-119180722-B</t>
  </si>
  <si>
    <t xml:space="preserve">Remote sensing monitoring system and method for rape waterlogging disasters </t>
  </si>
  <si>
    <t>ä¸­å›½å†œä¸šç§‘å­¦é™¢å†œä¸šçŽ¯å¢ƒä¸Žå¯æŒç»­å‘å±•ç ”ç©¶æ‰€</t>
  </si>
  <si>
    <t>èµµæµ·æ ¹, é›·æ·»æ°, å¾å¾—æ³½, å‘¨æ–°å›½, çŽ‹å˜‰å®</t>
  </si>
  <si>
    <t>https://patents.google.com/patent/CN119180722B/en</t>
  </si>
  <si>
    <t>CN-115630101-B</t>
  </si>
  <si>
    <t xml:space="preserve">Hydrologic parameter intelligent monitoring and water resource big data management system </t>
  </si>
  <si>
    <t>æ·®é˜´å·¥å­¦é™¢</t>
  </si>
  <si>
    <t>çŽ‹æž—æ¶›, ä¸å”¯å³°, æŽæ–‡è½©, å­™å®æ€¡, é©¬ä»Žå›½, å­™å¨œ, é™ˆå¸…, å‘¨æ’ç‘ž, æŽäºšæ´², æŸå°é¢–, ç§¦å°èŠ¹, é‡‘å¾·é£ž, çŽ‹å»ºå›½, é©¬æµ·æ³¢, ä¸æ™“çº¢, çŽ‹è‹çª, é»„å‡¤èŠ, å¤å¥¥è¿, å®—ä½³æ–‡</t>
  </si>
  <si>
    <t>https://patents.google.com/patent/CN115630101B/en</t>
  </si>
  <si>
    <t>CN-119761807-B</t>
  </si>
  <si>
    <t xml:space="preserve">Risk assessment and control methods based on multi-scale farmland non-point source pollution monitoring </t>
  </si>
  <si>
    <t>åŽå—å†œä¸šå¤§å­¦</t>
  </si>
  <si>
    <t>æŽæ°¸æ¶›, å´å›½è±ª, å¼ æŒ¯, éƒ‘æ¹˜å»º, æ¨è¡Œå¥, æž—å­¦æ˜Ž, èŽ«ç«£ç¨‹, å´æ¬£, ä½•æ™“æ˜Ž, èƒ¡å‡Œç¡•, çŽ‹é’ä¼Ÿ, è’™é›¨</t>
  </si>
  <si>
    <t>https://patents.google.com/patent/CN119761807B/en</t>
  </si>
  <si>
    <t>CN-119227290-B</t>
  </si>
  <si>
    <t xml:space="preserve">Communication pipeline laying system of underground intelligent pipe gallery </t>
  </si>
  <si>
    <t>ä¸Šæµ·èŒ—å²³ä¿¡æ¯ç§‘æŠ€æœ‰é™å…¬å¸</t>
  </si>
  <si>
    <t>ç« å²³é’¢, æŽä¸¥, æš´æˆˆ, é™ˆè£, æŽæµ·é£ž, é™ˆä¿å«</t>
  </si>
  <si>
    <t>https://patents.google.com/patent/CN119227290B/en</t>
  </si>
  <si>
    <t>CN-120410226-B</t>
  </si>
  <si>
    <t xml:space="preserve">Intelligent weather risk early warning system for mining industry </t>
  </si>
  <si>
    <t>ç´«é‡‘çŸ¿ä¸šé›†å›¢è‚¡ä»½æœ‰é™å…¬å¸</t>
  </si>
  <si>
    <t>æŽå›½æ–Œ, å¢äºšå¹³, é™ˆä¼Ÿè´¤, é™ˆè€€æ‰, äºŽåš, å¼ åº†æµ©, æ¨ä¸€æ³¢, é™ˆå¿—ä¸œ, æŽçŽ², æŽæ–Œ, åˆ˜çŠçŠ</t>
  </si>
  <si>
    <t>https://patents.google.com/patent/CN120410226B/en</t>
  </si>
  <si>
    <t>US-12007374-B2</t>
  </si>
  <si>
    <t xml:space="preserve">Internet of flora things (IoFT) </t>
  </si>
  <si>
    <t>King Abdullah University Of Science And Technology</t>
  </si>
  <si>
    <t>Aslihan KARTCI, Quang Thang NGUYEN, Khaled Nabil Salama</t>
  </si>
  <si>
    <t>https://patents.google.com/patent/US12007374B2/en</t>
  </si>
  <si>
    <t>https://patentimages.storage.googleapis.com/00/1a/42/6608e9dbd2719c/US12007374-20240611-D00000.png</t>
  </si>
  <si>
    <t>CN-118967014-B</t>
  </si>
  <si>
    <t xml:space="preserve">A digital management system for project information based on big data </t>
  </si>
  <si>
    <t>å®‰å¾½å† è”é¡¹ç›®ç®¡ç†å’¨è¯¢æœ‰é™å…¬å¸</t>
  </si>
  <si>
    <t>é‚¹å›½åº†, å­™å°‘æ–‡, æ–‡åŽ, è‘›æ™¶, åˆ˜åœ£æž—</t>
  </si>
  <si>
    <t>https://patents.google.com/patent/CN118967014B/en</t>
  </si>
  <si>
    <t>CN-118379154-B</t>
  </si>
  <si>
    <t xml:space="preserve">Balsam pear planting analysis management method and system based on Internet of things </t>
  </si>
  <si>
    <t>æ±Ÿè¥¿çœå†œä¸šç§‘å­¦é™¢è”¬èœèŠ±å‰ç ”ç©¶æ‰€</t>
  </si>
  <si>
    <t>å…³å³°, çŸ³åš, ä¸‡æ–°å»º, å¼ æ™¯äº‘, æ¨é›ªæ¡, è°¢åª›åª›, çŽ‹å‡¯</t>
  </si>
  <si>
    <t>https://patents.google.com/patent/CN118379154B/en</t>
  </si>
  <si>
    <t>CN-118917722-B</t>
  </si>
  <si>
    <t xml:space="preserve">A method and system for tracing construction quality of prefabricated buildings </t>
  </si>
  <si>
    <t>å† æ’å»ºè®¾é›†å›¢æœ‰é™å…¬å¸</t>
  </si>
  <si>
    <t>é‚“å†›æž—, å‡Œæ³½æ¶›</t>
  </si>
  <si>
    <t>https://patents.google.com/patent/CN118917722B/en</t>
  </si>
  <si>
    <t>CN-113884142-B</t>
  </si>
  <si>
    <t xml:space="preserve">Beidou-based field environment space-time information monitoring system and method </t>
  </si>
  <si>
    <t>å±±ä¸œå†œä¸šå¤§å­¦, å±±ä¸œå†œå¤§è‚¥ä¸šç§‘æŠ€æœ‰é™å…¬å¸</t>
  </si>
  <si>
    <t>æŸ³å¹³å¢ž, åˆ˜ä¼ é¾™, åˆ˜åŠ›å®, æŽè¾‰, éƒ‘æ˜Šå—, é©¬å­¦æ–‡, ä¸æ–¹å†›, é©¬å…‹, çŽ‹å¤, èŒƒå«å¼º, åˆ˜é¹èŠ, äºŽçŽ‰å©·, çŽ‹ç…</t>
  </si>
  <si>
    <t>https://patents.google.com/patent/CN113884142B/en</t>
  </si>
  <si>
    <t>CN-220486657-U</t>
  </si>
  <si>
    <t xml:space="preserve">A zoned vacuum pressure drainage system </t>
  </si>
  <si>
    <t>å±±ä¸œå¾®çŽ¯ç”µå­ç§‘æŠ€æœ‰é™å…¬å¸</t>
  </si>
  <si>
    <t>å¾å­¦ä¸œ, é©¬è, æ±ªå»ºæ°‘, å¾æ›¼, å¾è‰³æ˜¥</t>
  </si>
  <si>
    <t>https://patents.google.com/patent/CN220486657U/en</t>
  </si>
  <si>
    <t>KR-102629579-B1</t>
  </si>
  <si>
    <t xml:space="preserve">internet of things platform-based control system for management of underground facility </t>
  </si>
  <si>
    <t>(ì£¼)ì—ìŠ¤ìœ ì§€</t>
  </si>
  <si>
    <t>ê¹€ì°½ê´€, ì„¤ë™ì² </t>
  </si>
  <si>
    <t>https://patents.google.com/patent/KR102629579B1/en</t>
  </si>
  <si>
    <t>US-11294929-B1</t>
  </si>
  <si>
    <t xml:space="preserve">Smart water data analytics </t>
  </si>
  <si>
    <t>Aeec</t>
  </si>
  <si>
    <t>Raj Patil, Anna Edstrom, Kalem Sessions</t>
  </si>
  <si>
    <t>https://patents.google.com/patent/US11294929B1/en</t>
  </si>
  <si>
    <t>https://patentimages.storage.googleapis.com/0d/2b/03/02ff58f00e7897/US11294929-20220405-D00000.png</t>
  </si>
  <si>
    <t>CN-114991225-B</t>
  </si>
  <si>
    <t xml:space="preserve">A deep foundation pit deformation monitoring method, device and server </t>
  </si>
  <si>
    <t>åŽä¸­ç§‘æŠ€å¤§å­¦, æ­¦æ±‰å¸‚åŸŽå¸‚å»ºè®¾æŠ•èµ„å¼€å‘é›†å›¢æœ‰é™å…¬å¸</t>
  </si>
  <si>
    <t>é™ˆç‚, èƒ¡ç¿åš, ä½™ç’Ÿ, éƒ‘è€€æ­¦, éª†æ±‰å®¾</t>
  </si>
  <si>
    <t>https://patents.google.com/patent/CN114991225B/en</t>
  </si>
  <si>
    <t>CN-119963297-B</t>
  </si>
  <si>
    <t xml:space="preserve">Agricultural water right distribution and transaction management method suitable for water-rich area </t>
  </si>
  <si>
    <t>é‚“å‡, å¼ åŽæ˜Ž, èƒ¡ä¼˜, ä¸‡æ€¡å›½, å¥šåŒè¡Œ, å­”ç¼èŠ, å¢æ±Ÿæµ·, é»„ä¸½ä¸½, æ¸©æ¯“ç¹, å¼ æˆ´å†›, éƒ­åº†å†°</t>
  </si>
  <si>
    <t>https://patents.google.com/patent/CN119963297B/en</t>
  </si>
  <si>
    <t>CN-120671411-B</t>
  </si>
  <si>
    <t xml:space="preserve">Wetland carbon flux assessment and management system based on three-dimensional digital twinning </t>
  </si>
  <si>
    <t>å±±ä¸œå¯°è¾¾ç”Ÿæ€çŽ¯å¢ƒç§‘æŠ€è‚¡ä»½æœ‰é™å…¬å¸, ä¸´æ²‚å¸‚å…°å±±åŒºæž—ä¸šç§‘æŠ€æŽ¨å¹¿ä¸­å¿ƒ</t>
  </si>
  <si>
    <t>å­™è‰³ä¸½, è‘£æº, èµµæ·‘é¾™, æ›¹å¿—, æ¢ç¿ ç¿ , é™ˆä¸€é¸£</t>
  </si>
  <si>
    <t>https://patents.google.com/patent/CN120671411B/en</t>
  </si>
  <si>
    <t>CN-117516636-B</t>
  </si>
  <si>
    <t xml:space="preserve">Coastal dyke safety monitoring and early warning method and system </t>
  </si>
  <si>
    <t>æŽå¹¿é›ª, æŽå­£, åˆ˜çŽ²</t>
  </si>
  <si>
    <t>https://patents.google.com/patent/CN117516636B/en</t>
  </si>
  <si>
    <t>CN-211425457-U</t>
  </si>
  <si>
    <t xml:space="preserve">Automatic groundwater permeability coefficient survey equipment of thing networking water injection formula </t>
  </si>
  <si>
    <t>æµ™æ±Ÿå“é”¦çŽ¯ä¿ç§‘æŠ€è‚¡ä»½æœ‰é™å…¬å¸</t>
  </si>
  <si>
    <t>é»„ç‡•, åˆ˜ç£Š, æœ±æ®·, æ¨æŒ¯å®‡, æ¨æ¹˜æ™º, é™¶æ—­, æ¨å°šæº, ç”°å¹³, çŽ‹å®‡å³°, å“æœªé¾™</t>
  </si>
  <si>
    <t>https://patents.google.com/patent/CN211425457U/en</t>
  </si>
  <si>
    <t>https://patentimages.storage.googleapis.com/da/93/2e/46ba8886b043fd/HDA0002361188590000011.png</t>
  </si>
  <si>
    <t>CN-120975661-B</t>
  </si>
  <si>
    <t xml:space="preserve">A method, equipment, and storage medium for calculating the gross ecosystem product based on GIS spatial analysis. </t>
  </si>
  <si>
    <t>æ·±åœ³å¸‚åŸŽå¸‚è§„åˆ’è®¾è®¡ç ”ç©¶é™¢è‚¡ä»½æœ‰é™å…¬å¸</t>
  </si>
  <si>
    <t>æŽæ‰¿æ¶›, åˆ˜å¿—åˆš, äºŽæ•, é»Žå¤©å±±, è€¿ç±³å…°, æŽä»£ä»ª, èƒ¡æ™“é£ž, é—«æ”€, ä¿žå˜‰æƒ , å†¯èˆ’</t>
  </si>
  <si>
    <t>https://patents.google.com/patent/CN120975661B/en</t>
  </si>
  <si>
    <t>CN-119005695-B</t>
  </si>
  <si>
    <t xml:space="preserve">Construction method based on dynamic evaluation model of petroleum engineering safety risk </t>
  </si>
  <si>
    <t>å•åˆ©æ°, å¼ å»ºç«‹, å¼ ç‘žæ·˜, åŒ—äº¬å®‰é‚¦å·¥ä¸šé›†å›¢æœ‰é™å…¬å¸</t>
  </si>
  <si>
    <t>å¶æ¢¦çŽ²</t>
  </si>
  <si>
    <t>https://patents.google.com/patent/CN119005695B/en</t>
  </si>
  <si>
    <t>CN-116683650-B</t>
  </si>
  <si>
    <t xml:space="preserve">An electrical equipment status monitoring system and method based on the Internet of Things </t>
  </si>
  <si>
    <t>ç æµ·åŽæŽ§ç”µæ°”æœ‰é™å…¬å¸</t>
  </si>
  <si>
    <t>è‹ŸäºŽæ˜¥, æŽåº†ä¸°, é™ˆæ¶¦å½¬, å¼ æ·¼, å¼ å‡¯é“­</t>
  </si>
  <si>
    <t>https://patents.google.com/patent/CN116683650B/en</t>
  </si>
  <si>
    <t>CN-113115701-B</t>
  </si>
  <si>
    <t xml:space="preserve">A non-arable land facility vegetable cultivation system and its applicable integrated device and application </t>
  </si>
  <si>
    <t>æ–°ç–†å†œä¸šç§‘å­¦é™¢å›­è‰ºä½œç‰©ç ”ç©¶æ‰€</t>
  </si>
  <si>
    <t>éŸ©å®ä¼Ÿ, çŽ‹æµ©, çŽ‹å¼º, åº„çº¢æ¢…, åˆ˜ä¼šèŠ³, å¼ å½©è™¹, é©¬è‰³, ä½•ä¼Ÿ, æŽä¸½</t>
  </si>
  <si>
    <t>https://patents.google.com/patent/CN113115701B/en</t>
  </si>
  <si>
    <t>JP-7668329-B2</t>
  </si>
  <si>
    <t xml:space="preserve">Robotic system and method for monitoring subsurface nitrogen leaching in agricultural fields </t>
  </si>
  <si>
    <t>ä¸­å›½è¾²æ¥­ç§‘å­¦é™¢è¾²æ¥­ä¿¡æ¯ç ”ç©¶æ‰€</t>
  </si>
  <si>
    <t>å«» æŽ, æ¹˜æ¥  è³€, ç‘ž é¡”, éœ‡ çŽ‹, å“²æ• æŽ</t>
  </si>
  <si>
    <t>https://patents.google.com/patent/JP7668329B2/en</t>
  </si>
  <si>
    <t>https://patentimages.storage.googleapis.com/91/48/98/f14e2b74d919d3/0007668329000001.png</t>
  </si>
  <si>
    <t>KR-102787740-B1</t>
  </si>
  <si>
    <t xml:space="preserve">Water Quality Managing System Using the Internet of Things and its Control Method </t>
  </si>
  <si>
    <t>í•œë™ì§„</t>
  </si>
  <si>
    <t>https://patents.google.com/patent/KR102787740B1/en</t>
  </si>
  <si>
    <t>CN-120494815-B</t>
  </si>
  <si>
    <t xml:space="preserve">Road tunnel decision maintenance system and maintenance method thereof </t>
  </si>
  <si>
    <t>è´µå·žé»”é€šå·¥ç¨‹æŠ€æœ¯æœ‰é™å…¬å¸</t>
  </si>
  <si>
    <t>æŽå…¸è±ª, ä½•å›½åŽ, æŽæ³•æ»¨, å¼ æœ‹, å¼ ä¼Ÿ, æœé“å†›, çŽ‹è¶…, å•æ¯…, æ¨ç¥–ä¹‰, éƒ­æ—‹</t>
  </si>
  <si>
    <t>https://patents.google.com/patent/CN120494815B/en</t>
  </si>
  <si>
    <t>CN-116126963-B</t>
  </si>
  <si>
    <t xml:space="preserve">Inflow infiltration diagnosis method for nonlinear multi-source heterogeneous drainage model </t>
  </si>
  <si>
    <t>å“ˆå°”æ»¨èˆªå¤©æ’æ˜Ÿæ•°æ®ç³»ç»Ÿç§‘æŠ€æœ‰é™å…¬å¸</t>
  </si>
  <si>
    <t>åˆ˜å®—çŽ¥, å¼ åšç¾¤, å‘¨å…¨, èµµè¾‰, æŽå®—é‘«, ä¾¯ä¼Ÿ</t>
  </si>
  <si>
    <t>https://patents.google.com/patent/CN116126963B/en</t>
  </si>
  <si>
    <t>CN-116777085-B</t>
  </si>
  <si>
    <t xml:space="preserve">Coal mine water damage prediction system based on data analysis and machine learning technology </t>
  </si>
  <si>
    <t>åŒ—äº¬è”åˆ›é«˜ç§‘ä¿¡æ¯æŠ€æœ¯æœ‰é™å…¬å¸, å±±è¥¿è”åˆ›å¼€å…ƒç§‘æŠ€å‘å±•æœ‰é™å…¬å¸</t>
  </si>
  <si>
    <t>æŽä¸‡è‰¯, è°¢é™ˆ, é»„æ­¦å¨, é©¬åœ†åœ†, åˆ˜ä¹‰æ€</t>
  </si>
  <si>
    <t>https://patents.google.com/patent/CN116777085B/en</t>
  </si>
  <si>
    <t>CN-116167599-B</t>
  </si>
  <si>
    <t xml:space="preserve">Information platform management method and system based on BIM data and field data </t>
  </si>
  <si>
    <t>æ²³åŒ—çœæ°´åˆ©å·¥ç¨‹å±€é›†å›¢æœ‰é™å…¬å¸</t>
  </si>
  <si>
    <t>çŽ‹ç«‹æ–°, ä¸çº¢å¼º, çŽ‹å°‘é£ž, æŽäº¬äº¬, èµµæ—­, é«˜ç¿”, è®¸åš, çŽ‹å°è¾¾, å•ä½³çª, æ›¹å‡Œå³°, èµµæµ·æº, èŒƒäº¬é›·, çŽ‹ç’ç‘¶, å­™è‹±è¶, é­è•Š</t>
  </si>
  <si>
    <t>https://patents.google.com/patent/CN116167599B/en</t>
  </si>
  <si>
    <t>CN-116227932-B</t>
  </si>
  <si>
    <t xml:space="preserve">Pit engineering health trend analysis and early warning system </t>
  </si>
  <si>
    <t>ä¸­æ ¸å¤§åœ°å‹˜å¯Ÿè®¾è®¡æœ‰é™å…¬å¸</t>
  </si>
  <si>
    <t>å‘¨çŽ‰åŽ¿, çŽ‹åšçŽ‰, åº·å‘é˜³, å¼ é”¦, å­—å‹‡, æ–¹å©§, è”¡æ–‡å†›, æŽé‘«é‘«</t>
  </si>
  <si>
    <t>https://patents.google.com/patent/CN116227932B/en</t>
  </si>
  <si>
    <t>CN-120726788-B</t>
  </si>
  <si>
    <t xml:space="preserve">Intelligent Early Warning Methods and Systems for Geological Hazards in Geotechnical Engineering </t>
  </si>
  <si>
    <t>æ¹–åŒ—çœæ°´æ–‡åœ°è´¨å·¥ç¨‹åœ°è´¨å‹˜å¯Ÿé™¢æœ‰é™å…¬å¸</t>
  </si>
  <si>
    <t>å¼ æµ·å†›, å‘¨æˆ, çŽ‹è¶…, æ¨Šç¿è´¤</t>
  </si>
  <si>
    <t>https://patents.google.com/patent/CN120726788B/en</t>
  </si>
  <si>
    <t>CN-120373612-B</t>
  </si>
  <si>
    <t xml:space="preserve">Road Disaster Early Warning Method and System Based on IoT Sensing Analysis </t>
  </si>
  <si>
    <t>å››å·ä¸­å”¯äº¤é€šç§‘æŠ€æœ‰é™å…¬å¸</t>
  </si>
  <si>
    <t>èµµå¼º, å®å¤§æƒ, æŸ³é’, åˆ˜ä»£æ•, ç™½å¾—å†›, å¢æ´ª</t>
  </si>
  <si>
    <t>https://patents.google.com/patent/CN120373612B/en</t>
  </si>
  <si>
    <t>CN-115812566-B</t>
  </si>
  <si>
    <t xml:space="preserve">Automatic watering device in gardens based on thing networking </t>
  </si>
  <si>
    <t>å¼ æ¡, é«˜å®‡, å¼ æ™º, å¼ ç»´åº·, å­Ÿç„•</t>
  </si>
  <si>
    <t>https://patents.google.com/patent/CN115812566B/en</t>
  </si>
  <si>
    <t>https://patentimages.storage.googleapis.com/aa/99/c7/16f8da712565e7/HDA0003982466190000011.png</t>
  </si>
  <si>
    <t>CN-212877002-U</t>
  </si>
  <si>
    <t xml:space="preserve">Integrated intelligent irrigation system of water, fertilizer, gas, heat and medicine in farmland irrigation area </t>
  </si>
  <si>
    <t>å®å¤å¤§å­¦</t>
  </si>
  <si>
    <t>æ²ˆæ™–, åˆ˜å¤§é“­, ç”°å†›ä»“</t>
  </si>
  <si>
    <t>https://patents.google.com/patent/CN212877002U/en</t>
  </si>
  <si>
    <t>https://patentimages.storage.googleapis.com/60/fb/5f/294c355b6eb9ba/HDA0002523414620000011.png</t>
  </si>
  <si>
    <t>US-12196737-B2</t>
  </si>
  <si>
    <t xml:space="preserve">Process to geographically associate potential water quality stressors to monitoring stations </t>
  </si>
  <si>
    <t>Philip David Griffith, Andie Hodge, Amir Naveed Lyall, Kirby Ann Thomas, Srinivas Reddy Valisekkagari, Ryan Todd Wendt</t>
  </si>
  <si>
    <t>https://patents.google.com/patent/US12196737B2/en</t>
  </si>
  <si>
    <t>https://patentimages.storage.googleapis.com/6c/80/63/94156fc4f2b481/US12196737-20250114-D00000.png</t>
  </si>
  <si>
    <t>CN-120636106-B</t>
  </si>
  <si>
    <t xml:space="preserve">Real-time early warning method for geological disasters on highway slopes using multi-source sensor fusion </t>
  </si>
  <si>
    <t>å››å·é«˜è·¯ä¿¡æ¯ç§‘æŠ€æœ‰é™å…¬å¸, å››å·ä¹è¥¿é«˜é€Ÿå…¬è·¯æœ‰é™è´£ä»»å…¬å¸</t>
  </si>
  <si>
    <t>å…°å¯Œå®‰, å»–å£®å¿—, è”¡æ±¶å‘ˆ, æŽæž—ä¸œ, æ›¾å¯æ˜Ž, é™ˆæ›¦, è–›åƒé‡Œ, èµ–ç³, å´æ¡, å®‹æ–‡è¾‰, å¼ æ¶µ, å¤ä¼Ÿå³°, è´¾æµ©ä¼Ÿ</t>
  </si>
  <si>
    <t>https://patents.google.com/patent/CN120636106B/en</t>
  </si>
  <si>
    <t>CN-115450261-B</t>
  </si>
  <si>
    <t xml:space="preserve">Electronic well lid based on electric control travel switch control </t>
  </si>
  <si>
    <t>æµŽå—è‹±åŽè‡ªåŠ¨åŒ–æŠ€æœ¯æœ‰é™å…¬å¸</t>
  </si>
  <si>
    <t>æŽå»¶è¶…, ä¸¥æ¯…, è”ºå›½å‹‡, å¼ æ™º, æŽäº‘æ³¢</t>
  </si>
  <si>
    <t>https://patents.google.com/patent/CN115450261B/en</t>
  </si>
  <si>
    <t>https://patentimages.storage.googleapis.com/af/dc/97/0f2b9f3562c7d1/221220152604.png</t>
  </si>
  <si>
    <t>CN-120747774-B</t>
  </si>
  <si>
    <t xml:space="preserve">Soil heavy metal pollution identification system </t>
  </si>
  <si>
    <t>ä¸­å›½æž—ä¸šç§‘å­¦ç ”ç©¶é™¢ç”Ÿæ€ä¿æŠ¤ä¸Žä¿®å¤ç ”ç©¶æ‰€</t>
  </si>
  <si>
    <t>å§œä¸½å¨œ, é©¬æ´, é™ˆå†›åŽ, æ‰çª</t>
  </si>
  <si>
    <t>https://patents.google.com/patent/CN120747774B/en</t>
  </si>
  <si>
    <t>CN-119541170-B</t>
  </si>
  <si>
    <t xml:space="preserve">Drought disaster prediction and early warning method and system for rural water supply engineering </t>
  </si>
  <si>
    <t>ç æ±Ÿæ°´æ–‡æ°´èµ„æºå‹˜æµ‹ä¸­å¿ƒ</t>
  </si>
  <si>
    <t>é»„ä¾ä¹‹, é©¬ç­ , é»‘äº®, ç†Šä½³, éŸ¦éœ²æ–¯, æž—èŠ¯ä¼Š, å‘¨èˆœè½©, åˆ˜çŠéœž, é™ˆé¹</t>
  </si>
  <si>
    <t>https://patents.google.com/patent/CN119541170B/en</t>
  </si>
  <si>
    <t>CN-112649031-B</t>
  </si>
  <si>
    <t xml:space="preserve">A smart park environment monitoring system and method </t>
  </si>
  <si>
    <t>å››å·ä¼—æœ›å®‰å…¨çŽ¯ä¿æŠ€æœ¯å’¨è¯¢æœ‰é™å…¬å¸</t>
  </si>
  <si>
    <t>å¼ å®ˆæ–‡, å¼ ç´ éœž, ä¸¥é”, å”è“‰å–†</t>
  </si>
  <si>
    <t>https://patents.google.com/patent/CN112649031B/en</t>
  </si>
  <si>
    <t>https://patentimages.storage.googleapis.com/54/f1/0c/b86b85ce7584a3/HDA0002860166530000011.png</t>
  </si>
  <si>
    <t>CN-120274213-B</t>
  </si>
  <si>
    <t xml:space="preserve">Urban drainage network damage detection system based on intelligent analysis </t>
  </si>
  <si>
    <t>æ­å·žå¸‚åŸŽä¹¡å»ºè®¾è®¾è®¡é™¢è‚¡ä»½æœ‰é™å…¬å¸</t>
  </si>
  <si>
    <t>é‡‘æ´›æ¥ , ä½•ç…§å‚², æŽæ´µ, åˆ˜é›ªå¨‡, çŽ‹ï¿½åŽ, å¼ æµ·æ³³, åˆ˜ç›¼, ç½—äº¬</t>
  </si>
  <si>
    <t>https://patents.google.com/patent/CN120274213B/en</t>
  </si>
  <si>
    <t>CN-220521387-U</t>
  </si>
  <si>
    <t xml:space="preserve">Intelligent monitoring and controlling equipment for foundation pit precipitation </t>
  </si>
  <si>
    <t>ç‘žæ£®æ–°å»ºç­‘æœ‰é™å…¬å¸</t>
  </si>
  <si>
    <t>å­™éœ‡, å†·æ˜Žäº®, æŽä¼Ÿ, å¾åŒ–è¥, è°¢æ´ªæ ‹, å­™æ½‡, é›·ç‡•é¹, å¼ è…¾, äºŽå»ºä¸š</t>
  </si>
  <si>
    <t>https://patents.google.com/patent/CN220521387U/en</t>
  </si>
  <si>
    <t>CN-214430541-U</t>
  </si>
  <si>
    <t xml:space="preserve">A temperature and humidity adjustment device for agricultural greenhouses based on the Internet of Things </t>
  </si>
  <si>
    <t>æ²ˆé˜³å·¥ç¨‹å­¦é™¢</t>
  </si>
  <si>
    <t>èŒƒå½¬</t>
  </si>
  <si>
    <t>https://patents.google.com/patent/CN214430541U/en</t>
  </si>
  <si>
    <t>https://patentimages.storage.googleapis.com/e8/cc/20/1393bc3a162dcc/HDA0002830101380000011.png</t>
  </si>
  <si>
    <t>CN-115146714-B</t>
  </si>
  <si>
    <t xml:space="preserve">A big data governance method related to underground space collapse </t>
  </si>
  <si>
    <t>æ­å·žæ°´åŠ¡æ•°æ™ºç§‘æŠ€è‚¡ä»½æœ‰é™å…¬å¸</t>
  </si>
  <si>
    <t>çŽ‹è•¾, ä¿žå©·å©·, é™ˆè¾‰</t>
  </si>
  <si>
    <t>https://patents.google.com/patent/CN115146714B/en</t>
  </si>
  <si>
    <t>CN-114266404-B</t>
  </si>
  <si>
    <t xml:space="preserve">An early warning system for site pollution in a chemical industry park </t>
  </si>
  <si>
    <t>çŽ‹æ°´, é’Ÿé“æ—­, æŸç«‹æ£®, å†¯äºšæ¾, çŽ‹æµ·é‘«, é™¶æ™¯å¿ , åˆ˜ä¼Ÿ, å¼ æ»¡æˆ</t>
  </si>
  <si>
    <t>https://patents.google.com/patent/CN114266404B/en</t>
  </si>
  <si>
    <t>https://patentimages.storage.googleapis.com/c8/ef/a6/3ec3270403548f/HDA0003431204130000011.png</t>
  </si>
  <si>
    <t>US-12126401-B2</t>
  </si>
  <si>
    <t xml:space="preserve">Compact surveillance system </t>
  </si>
  <si>
    <t>Brendan Hyland</t>
  </si>
  <si>
    <t>https://patents.google.com/patent/US12126401B2/en</t>
  </si>
  <si>
    <t>https://patentimages.storage.googleapis.com/86/57/bb/6a5cb3166d031d/US12126401-20241022-D00000.png</t>
  </si>
  <si>
    <t>CN-114059518-B</t>
  </si>
  <si>
    <t xml:space="preserve">Integrated multiparameter engineering monitoring device and matrix type monitoring system </t>
  </si>
  <si>
    <t>é•¿æ²™é‡‘ç æµ‹æŽ§ç§‘æŠ€è‚¡ä»½æœ‰é™å…¬å¸</t>
  </si>
  <si>
    <t>æ¨æ–‡é”¦, æ›¹é¾™, å¼ é¹, æ¨å¿—åˆš, å»–çŽ²</t>
  </si>
  <si>
    <t>https://patents.google.com/patent/CN114059518B/en</t>
  </si>
  <si>
    <t>https://patentimages.storage.googleapis.com/2c/32/1f/08562c3454f2a7/HDA0003437691020000011.png</t>
  </si>
  <si>
    <t>CN-120296584-B</t>
  </si>
  <si>
    <t xml:space="preserve">Urban flood prediction and risk assessment method based on multivariate data fusion </t>
  </si>
  <si>
    <t>æ¹˜æ±Ÿå®žéªŒå®¤</t>
  </si>
  <si>
    <t>é™ˆæ™“çº¢, é©¬ç¿è°¦, å¼ å¨å¨</t>
  </si>
  <si>
    <t>https://patents.google.com/patent/CN120296584B/en</t>
  </si>
  <si>
    <t>CN-116976679-B</t>
  </si>
  <si>
    <t xml:space="preserve">Dam break early warning method and device for barrier lake, electronic equipment and readable storage medium </t>
  </si>
  <si>
    <t>èˆªå¤©å®å›¾ä¿¡æ¯æŠ€æœ¯è‚¡ä»½æœ‰é™å…¬å¸</t>
  </si>
  <si>
    <t>å‘¨æ™“åª›, çŽ‹å®‡ç¿”, çŽ‹æ˜Š, æŽå€©, å†¯é‡‘å±±, å»–é€šé€µ, æŽæµ·æ½®</t>
  </si>
  <si>
    <t>https://patents.google.com/patent/CN116976679B/en</t>
  </si>
  <si>
    <t>CN-117158302-B</t>
  </si>
  <si>
    <t xml:space="preserve">Intelligent agriculture precise irrigation method and system </t>
  </si>
  <si>
    <t>éƒ‘å·žå¤§å­¦, æ²³å—çœé™†æµ‘æ°´åº“è¿è¡Œä¸­å¿ƒ, æ²³å—çœèµµå£å¼•é»„çŒåŒºäºŒæœŸå·¥ç¨‹å»ºè®¾ç®¡ç†å±€, æ²³å—çœå†œæ‘ä¾›æ°´æ€»ç«™</t>
  </si>
  <si>
    <t>æŽä¿Šæ°, é™ˆç››å…°, é©¬é¹, åˆ˜å®¾, çŽ‹ä»æƒ, çŽ‹ä½³ç³, ä»»çµèŠ¹</t>
  </si>
  <si>
    <t>https://patents.google.com/patent/CN117158302B/en</t>
  </si>
  <si>
    <t>CN-111866786-B</t>
  </si>
  <si>
    <t xml:space="preserve">Monitoring system and method for karst pipeline flow </t>
  </si>
  <si>
    <t>ä¸­å›½åœ°è´¨ç§‘å­¦é™¢åœ°è´¨åŠ›å­¦ç ”ç©¶æ‰€</t>
  </si>
  <si>
    <t>æŽæ»¨, çŽ‹æ™¨è¾‰, é«˜æ¨, æ®·è·ƒå¹³, è´ºå‡¯, ä¸‡ä½³å¨</t>
  </si>
  <si>
    <t>https://patents.google.com/patent/CN111866786B/en</t>
  </si>
  <si>
    <t>https://patentimages.storage.googleapis.com/bd/05/2d/e06f6d0632753d/HDA0002576604830000011.png</t>
  </si>
  <si>
    <t>CN-120403518-B</t>
  </si>
  <si>
    <t xml:space="preserve">An automatic displacement monitoring device and method for vertical retaining structures </t>
  </si>
  <si>
    <t>å¹¿ä¸œæ¾å±±èŒä¸šæŠ€æœ¯å­¦é™¢, æ°´åˆ©éƒ¨äº¤é€šè¿è¾“éƒ¨å›½å®¶èƒ½æºå±€å—äº¬æ°´åˆ©ç§‘å­¦ç ”ç©¶é™¢</t>
  </si>
  <si>
    <t>è’‹å³»å³°, èµµé²²é¹, è©¹è®­è¿›, å¼ æ·, éƒ‘æ¥šæ€¡, é»Žå£«æž—</t>
  </si>
  <si>
    <t>https://patents.google.com/patent/CN120403518B/en</t>
  </si>
  <si>
    <t>CN-114000570-B</t>
  </si>
  <si>
    <t xml:space="preserve">Clean-drain mobile multi-toilet WC system assembly </t>
  </si>
  <si>
    <t>æµ™æ±Ÿé‡‘å­—æœºæ¢°ç”µå™¨è‚¡ä»½æœ‰é™å…¬å¸</t>
  </si>
  <si>
    <t>é™ˆä»¥æµ™, ä½™æ±Ÿ, å†¯å›½å¼º, æ¨ä¼Ÿé”‹, èŒƒé«˜æ…§, ä½•æ°¸å¼º, æ–½çŽ‹å†›, å­™å†‰, å‘¨æ°¸å¼º, é™ˆå¤©æ³¯, è®¸å¿—æ¯…, ä¸æŸä½™, çŽ‹è¶…è‹±, çŽ‹å“²é‡‘, å­™æ–°å‹‡, é‚¹æŒ¯æ–Œ, æ®·çŽ®ä¹¡, åˆ˜æ•, ä»»å¹³</t>
  </si>
  <si>
    <t>https://patents.google.com/patent/CN114000570B/en</t>
  </si>
  <si>
    <t>CN-119811020-B</t>
  </si>
  <si>
    <t xml:space="preserve">Geological disaster monitoring and early warning method and system based on artificial intelligence </t>
  </si>
  <si>
    <t>åŒ—äº¬é¾™è½¯ç§‘æŠ€è‚¡ä»½æœ‰é™å…¬å¸</t>
  </si>
  <si>
    <t>é«˜å¿—èª‰</t>
  </si>
  <si>
    <t>https://patents.google.com/patent/CN119811020B/en</t>
  </si>
  <si>
    <t>CN-117236791-B</t>
  </si>
  <si>
    <t xml:space="preserve">Water conservancy real-time monitoring method and system based on GIS and BIM three-dimensional technology </t>
  </si>
  <si>
    <t>å±±ä¸œæ±‡é¢ä¿¡æ¯æŠ€æœ¯æœ‰é™å…¬å¸</t>
  </si>
  <si>
    <t>éƒ­ç¿”é“­, ä¸›å®, çŽ‹æœ‹ä¸­, èµµé¹, è´¾å…°è‹±, ä¸æ˜Œè¾‰, å¤æ ‘æ ‹, æŽï¿½æ°, å¼ å©·</t>
  </si>
  <si>
    <t>https://patents.google.com/patent/CN117236791B/en</t>
  </si>
  <si>
    <t>CN-116556490-B</t>
  </si>
  <si>
    <t xml:space="preserve">Partition type vacuum pressure drainage system and drainage method </t>
  </si>
  <si>
    <t>https://patents.google.com/patent/CN116556490B/en</t>
  </si>
  <si>
    <t>CN-213028117-U</t>
  </si>
  <si>
    <t xml:space="preserve">Iron tower safety monitoring and early warning system </t>
  </si>
  <si>
    <t>ä¸Šæµ·èˆªé¼Žç”µå­ç§‘æŠ€å‘å±•æœ‰é™å…¬å¸</t>
  </si>
  <si>
    <t>çŽ‹å–œè¶…, æ¨å³°, å”å¥æ¸…, çŽ‹é‡‘çº¢, å‘¨æµ·æ¶›, æ›¹è‚²å…µ</t>
  </si>
  <si>
    <t>https://patents.google.com/patent/CN213028117U/en</t>
  </si>
  <si>
    <t>https://patentimages.storage.googleapis.com/0c/a2/83/be209418c76bdd/HDA0002678589190000011.png</t>
  </si>
  <si>
    <t>CN-112136667-B</t>
  </si>
  <si>
    <t xml:space="preserve">An intelligent sprinkler irrigation method and system based on edge machine learning </t>
  </si>
  <si>
    <t>æ±Ÿè‹ä¹…æ™ºçŽ¯å¢ƒç§‘æŠ€æœåŠ¡æœ‰é™å…¬å¸, å—äº¬é‚®ç”µå¤§å­¦</t>
  </si>
  <si>
    <t>åˆ˜æ´ªå…¨, é™ˆè¶…, å€ªè‰ºæ´‹, å¼ å›½æ–‡, çŽ‹æ¯…, å¼ æ­£, åˆ˜å¨…ç’‡</t>
  </si>
  <si>
    <t>https://patents.google.com/patent/CN112136667B/en</t>
  </si>
  <si>
    <t>https://patentimages.storage.googleapis.com/7a/1e/ce/a39eddb841d51b/201124110110.png</t>
  </si>
  <si>
    <t>CN-120853343-B</t>
  </si>
  <si>
    <t xml:space="preserve">Intelligent Early Warning and Collaborative Control Methods and Systems for Karst Groundwater </t>
  </si>
  <si>
    <t>æ²³åŒ—çœåœ°è´¨çŸ¿äº§å‹˜æŸ¥å¼€å‘å±€ç¬¬ä¹åœ°è´¨å¤§é˜Ÿ, é‚¢å°åœ°çŸ¿åœ°è´¨å·¥ç¨‹å‹˜å¯Ÿé™¢æœ‰é™å…¬å¸</t>
  </si>
  <si>
    <t>æŽç£Š, æŽå»ºé”‹, å‘¨ç¿”å®‡, æŽæ³¢æ¶›, éƒ­é’°å¨, åˆ˜æ±Ÿ, çŽ‹é“­æ¨, åˆ˜å¤, æŽäº‘å©·, è´¾åˆ©å¡</t>
  </si>
  <si>
    <t>https://patents.google.com/patent/CN120853343B/en</t>
  </si>
  <si>
    <t>CN-117872938-B</t>
  </si>
  <si>
    <t xml:space="preserve">Method and system for realizing equipment safety control under bridge construction based on Internet of things </t>
  </si>
  <si>
    <t>è´µå·žçœå…¬è·¯å»ºè®¾å…»æŠ¤é›†å›¢æœ‰é™å…¬å¸</t>
  </si>
  <si>
    <t>æ¨è£•æˆ, æ²ˆæ¯…, æ¬§é˜³å¤é¾™, ç†Šå»¶åŽ, çŽ‹æ¶›</t>
  </si>
  <si>
    <t>https://patents.google.com/patent/CN117872938B/en</t>
  </si>
  <si>
    <t>US-12152473-B1</t>
  </si>
  <si>
    <t xml:space="preserve">Method and system for extracting water with consideration of the recharge rate and other factors to protect the aquifer </t>
  </si>
  <si>
    <t>Lamarr, Inc.</t>
  </si>
  <si>
    <t>Ofer Tenenbaum, George Stuart Richmond, Dana Myers</t>
  </si>
  <si>
    <t>https://patents.google.com/patent/US12152473B1/en</t>
  </si>
  <si>
    <t>https://patentimages.storage.googleapis.com/c2/f3/a3/c00b251d591bc2/US12152473-20241126-D00000.png</t>
  </si>
  <si>
    <t>CN-118096445-B</t>
  </si>
  <si>
    <t xml:space="preserve">Knowledge graph-driven building risk early warning method and device for groundwater </t>
  </si>
  <si>
    <t>åŒ—äº¬å¤§å­¦</t>
  </si>
  <si>
    <t>éƒ­è‰³å†›, å¤æ•, é™ˆå¹¿å³°, æ½˜æ‡‹, æŽæŒ¯å±±, é™ˆæ–Œ, åˆ˜æ¥šé›„, çŽ‹è£åŽ, çŽ‹ç’</t>
  </si>
  <si>
    <t>https://patents.google.com/patent/CN118096445B/en</t>
  </si>
  <si>
    <t>CN-118462221-B</t>
  </si>
  <si>
    <t xml:space="preserve">Tunnel shield segment with self-sensing performance and intelligent water seepage early warning method thereof </t>
  </si>
  <si>
    <t>ä¸­å›½å»ºç­‘ç¬¬å…­å·¥ç¨‹å±€æœ‰é™å…¬å¸, ä¸­å»ºå…­å±€äº¤é€šå»ºè®¾æœ‰é™å…¬å¸</t>
  </si>
  <si>
    <t>è´¾å»ºä¼Ÿ, ç‰›å¥”, åˆ˜æˆå“², å¶å‹æž—, éƒ‘ä¹…ç¡•</t>
  </si>
  <si>
    <t>https://patents.google.com/patent/CN118462221B/en</t>
  </si>
  <si>
    <t>CN-120808544-B</t>
  </si>
  <si>
    <t xml:space="preserve">Slope deformation monitoring and dynamic early warning method and system based on multi-sensor data </t>
  </si>
  <si>
    <t>å±±è¥¿å†¶é‡‘å²©åœŸå·¥ç¨‹å‹˜å¯Ÿæœ‰é™å…¬å¸</t>
  </si>
  <si>
    <t>çŽ‹é¹èƒœ, ç”³æ¬£å‡¯, è†ç¿”, æœ±æ™¨è¾‰, è–›é™†, å²æ¬¢æ¬¢, èµµé‡‘äº®, é©¬è‰³å¹³, é»„äºšè², å¼ ï¿½æ°</t>
  </si>
  <si>
    <t>https://patents.google.com/patent/CN120808544B/en</t>
  </si>
  <si>
    <t>CN-118586896-B</t>
  </si>
  <si>
    <t xml:space="preserve">Bridge maintenance management system and method based on BIM technology </t>
  </si>
  <si>
    <t>ä¸­é“æ¡¥éš§æŠ€æœ¯æœ‰é™å…¬å¸</t>
  </si>
  <si>
    <t>æ¨Šå°æž—, æ¸©æ™“å…‰, å´å®¶æ ‹, é‚¹é‘«, èµµæ ‡, å­™å¾·ä¹, æŽç¿”, æœ±æ¢æ˜±, äºŽå®ªæ”¿, è‘›å¿—ç¿”, å¼ æˆå¥‡, é©¬æµ©, é«˜å¯Œå¥, é™ˆæ–‡é¾™, é™ˆé›ªå³°</t>
  </si>
  <si>
    <t>https://patents.google.com/patent/CN118586896B/en</t>
  </si>
  <si>
    <t>CN-118013232-B</t>
  </si>
  <si>
    <t xml:space="preserve">Large hydraulic engineering water level monitoring method and system based on artificial intelligence </t>
  </si>
  <si>
    <t>å±±ä¸œé½é¸¿å·¥ç¨‹å»ºè®¾æœ‰é™å…¬å¸</t>
  </si>
  <si>
    <t>æŽæ˜Ž, å¼ ä¼Ÿ, é‚±åŽå€©, äºŽæ–°å¼º, çŽ‹å»¶æ¢…</t>
  </si>
  <si>
    <t>https://patents.google.com/patent/CN118013232B/en</t>
  </si>
  <si>
    <t>CN-121258736-B</t>
  </si>
  <si>
    <t xml:space="preserve">A Smart Management Method and System for Watershed Water Environment </t>
  </si>
  <si>
    <t>ä¸­ç§‘å®‡å›¾ç§‘æŠ€è‚¡ä»½æœ‰é™å…¬å¸</t>
  </si>
  <si>
    <t>çŽ‹æµ·çŽ²</t>
  </si>
  <si>
    <t>https://patents.google.com/patent/CN121258736B/en</t>
  </si>
  <si>
    <t>CN-115773127-B</t>
  </si>
  <si>
    <t xml:space="preserve">Intelligent decision method, system, equipment and medium for slurry balance shield </t>
  </si>
  <si>
    <t>ä¸­äº¤éš§é“å·¥ç¨‹å±€æœ‰é™å…¬å¸</t>
  </si>
  <si>
    <t>å°¹çŽ‰æž—, æˆ¿å€©, æ›¾å¾·æˆ, æŽå¥, é™¶åšæ–‡, å‹¾å¸¸æ˜¥, æŽå¯æ˜Ž</t>
  </si>
  <si>
    <t>https://patents.google.com/patent/CN115773127B/en</t>
  </si>
  <si>
    <t>CN-113944887-B</t>
  </si>
  <si>
    <t xml:space="preserve">Pipe network monitoring and tracing method, system, equipment and medium based on directed graph traversal </t>
  </si>
  <si>
    <t>ä¸­å›½ç”µå»ºé›†å›¢ä¸­å—å‹˜æµ‹è®¾è®¡ç ”ç©¶é™¢æœ‰é™å…¬å¸</t>
  </si>
  <si>
    <t>ä½™è±ª, çŽ‹ä¼Ÿ, æ®·ç”²ä¼Ÿ, å¢æ¯“ä¼Ÿ, ä¸æ´‹</t>
  </si>
  <si>
    <t>https://patents.google.com/patent/CN113944887B/en</t>
  </si>
  <si>
    <t>US-11488267-B2</t>
  </si>
  <si>
    <t xml:space="preserve">Managing transboundary water use using a distributed ledger and machine learning </t>
  </si>
  <si>
    <t>International Business Machines Coproration</t>
  </si>
  <si>
    <t>Timothy Nyota, Isaac Waweru Wambugu, Shikhar KWATRA, Komminist Weldemariam, Fred Ochieng Otieno</t>
  </si>
  <si>
    <t>https://patents.google.com/patent/US11488267B2/en</t>
  </si>
  <si>
    <t>https://patentimages.storage.googleapis.com/84/00/94/b331e4c0e100c7/US11488267-20221101-D00000.png</t>
  </si>
  <si>
    <t>KR-102777763-B1</t>
  </si>
  <si>
    <t xml:space="preserve">Reservoir water level management system using full water point image and AI function </t>
  </si>
  <si>
    <t>ì •í˜œë¦°</t>
  </si>
  <si>
    <t>https://patents.google.com/patent/KR102777763B1/en</t>
  </si>
  <si>
    <t>CN-113626648-B</t>
  </si>
  <si>
    <t xml:space="preserve">Water conservancy data processing system, method and storage medium </t>
  </si>
  <si>
    <t>è”é€š(å¹¿ä¸œ)äº§ä¸šäº’è”ç½‘æœ‰é™å…¬å¸</t>
  </si>
  <si>
    <t>é­ç´, æŽæ»¡æ»¡, ç½—æ™“è‰¯, ç†Šå‰‘é”‹, çŽ‹å¿ å‹‹, å‚…ä¸œæ¡¦, å´å®ªçˆ½, æ¢è–‡, æ–‡äº®</t>
  </si>
  <si>
    <t>https://patents.google.com/patent/CN113626648B/en</t>
  </si>
  <si>
    <t>KR-102631458-B1</t>
  </si>
  <si>
    <t xml:space="preserve">Decision support management system for determining priority of water quality critical management area and optimal locations of water quality sensor for water supply pipe network </t>
  </si>
  <si>
    <t>í•œêµ­ê±´ì„¤ê¸°ìˆ ì—°êµ¬ì›</t>
  </si>
  <si>
    <t>í™©íƒœë¬¸, ê¹€ì€ì£¼, ë‚¨ìˆ™í˜„, êµ¬ìž¬ìš±, ì‹ ìš©í˜„, ì´ì£¼ì›</t>
  </si>
  <si>
    <t>https://patents.google.com/patent/KR102631458B1/en</t>
  </si>
  <si>
    <t>CN-116611713-B</t>
  </si>
  <si>
    <t xml:space="preserve">Ecological restoration process display method, system, terminal equipment and storage medium </t>
  </si>
  <si>
    <t>å¹¿ä¸œç»˜å®‡æ™ºèƒ½å‹˜æµ‹ç§‘æŠ€æœ‰é™å…¬å¸</t>
  </si>
  <si>
    <t>è°­å†›è¾‰, çŽ‹å¤§æˆ, é™ˆç¼, æŽå›½æ¡¥, å½­è¿°åˆš, å…³å›½ç¿”, è®¸åŸ¹æ°, æ–¹å›½è¾‰, è‚–å¹²æž—, çŽ‹æ˜¥èŠ³, å¾é£žé›„</t>
  </si>
  <si>
    <t>https://patents.google.com/patent/CN116611713B/en</t>
  </si>
  <si>
    <t>CN-116296130-B</t>
  </si>
  <si>
    <t xml:space="preserve">An early warning system for detecting leakage in foundation pits </t>
  </si>
  <si>
    <t>ä¸­å›½å»ºç­‘ç¬¬ä¸ƒå·¥ç¨‹å±€æœ‰é™å…¬å¸</t>
  </si>
  <si>
    <t>æ±ªå‡¯, ç‡•è¿œå²­, èµµå“²</t>
  </si>
  <si>
    <t>https://patents.google.com/patent/CN116296130B/en</t>
  </si>
  <si>
    <t>CN-214583549-U</t>
  </si>
  <si>
    <t xml:space="preserve">Underground water level monitoring device </t>
  </si>
  <si>
    <t>æµ™æ±Ÿç½‘æ–°å¸®å¾·ä¿¡æ¯æœåŠ¡æœ‰é™å…¬å¸</t>
  </si>
  <si>
    <t>é™ˆå†›, æ–¹åˆ©çº¢, ç¨‹ä¹‹æ˜Ž</t>
  </si>
  <si>
    <t>https://patents.google.com/patent/CN214583549U/en</t>
  </si>
  <si>
    <t>https://patentimages.storage.googleapis.com/4b/41/c9/dcbee14eded2a6/HDA0002994741610000011.png</t>
  </si>
  <si>
    <t>CN-118962710-B</t>
  </si>
  <si>
    <t xml:space="preserve">Integrated slope monitoring system and method </t>
  </si>
  <si>
    <t>æ¹–å—è‡´åŠ›å·¥ç¨‹ç§‘æŠ€æœ‰é™å…¬å¸</t>
  </si>
  <si>
    <t>é²å…‰é“¶, ä¾¯ä¿Šæ•, èƒ¡æƒ åŽ, é™ˆæ˜Œå¯Œ, æž—æ­, å¼ é¹, ç™½å†¬é‘«, é›·å…‰çŒ®, å‘¨æ¹˜è¾‰, æ±¤æ–°ç¦</t>
  </si>
  <si>
    <t>https://patents.google.com/patent/CN118962710B/en</t>
  </si>
  <si>
    <t>CN-221442661-U</t>
  </si>
  <si>
    <t xml:space="preserve">Multi-parameter combined early warning system for mine water damage </t>
  </si>
  <si>
    <t>å±±ä¸œç§‘æŠ€å¤§å­¦</t>
  </si>
  <si>
    <t>å¾ä¸œæ™¶, æ›¹æ¢¦æ™´, å¼ ç‘žåº†, æ¸©å°‘å¤</t>
  </si>
  <si>
    <t>https://patents.google.com/patent/CN221442661U/en</t>
  </si>
  <si>
    <t>CN-118780179-B</t>
  </si>
  <si>
    <t xml:space="preserve">A foundation pit displacement prediction method, device, equipment, medium and product </t>
  </si>
  <si>
    <t>é’å²›ç†å·¥å¤§å­¦, é’å²›åœ°è´¨å·¥ç¨‹å‹˜å¯Ÿé™¢(é’å²›åœ°è´¨å‹˜æŸ¥å¼€å‘å±€)</t>
  </si>
  <si>
    <t>å­™æž—å¨œ, åˆ˜åœ£æ˜Œ, åˆ˜è¿Žæ¾, é—«ä¿®æ”¿, çŽ‹æ˜†, å¼ é»Žæ˜Ž</t>
  </si>
  <si>
    <t>https://patents.google.com/patent/CN118780179B/en</t>
  </si>
  <si>
    <t>CN-115333159-B</t>
  </si>
  <si>
    <t xml:space="preserve">Civil building same-floor parking space 'Gu Chuzhi soft' virtual power plant </t>
  </si>
  <si>
    <t>æ²ˆé˜³åŒ—æ–¹åŽèŒ‚å»ºè®¾æŠ€æœ¯å·¥ç¨‹æœ‰é™å…¬å¸, åŽèŒ‚(è¾½å®çœæ²ˆæŠšæ–°åŒº)å»ºè®¾æŠ€æœ¯æœ‰é™å…¬å¸</t>
  </si>
  <si>
    <t>å‘¨èŒ‚æº, ä»»éŸ¶çº¢, å‘¨ä¸€æ¶µ, èµµæ¶›</t>
  </si>
  <si>
    <t>https://patents.google.com/patent/CN115333159B/en</t>
  </si>
  <si>
    <t>https://patentimages.storage.googleapis.com/54/dc/51/6f1cad2bf2187b/2209011847321.png</t>
  </si>
  <si>
    <t>KR-102357974-B1</t>
  </si>
  <si>
    <t xml:space="preserve">System for sterilization and disinfection and infection prevention in pen using IoT and method thereof </t>
  </si>
  <si>
    <t>ì¼€ì´ì›ì‚°ì—… ì£¼ì‹íšŒì‚¬</t>
  </si>
  <si>
    <t>ê¹€ì¢…ì²œ, ë°•ëŒ€ì˜, ì‹ ë¯¸ì •</t>
  </si>
  <si>
    <t>https://patents.google.com/patent/KR102357974B1/en</t>
  </si>
  <si>
    <t>https://patentimages.storage.googleapis.com/5d/01/97/a85618f5c5fd29/112021038131957-pat00001.png</t>
  </si>
  <si>
    <t>CN-222880766-U</t>
  </si>
  <si>
    <t xml:space="preserve">Mounting bracket for groundwater level monitoring equipment </t>
  </si>
  <si>
    <t>æˆéƒ½å…°å±±äº‘ç§‘æŠ€æœ‰é™å…¬å¸</t>
  </si>
  <si>
    <t>ä½™é£ž, é¾™èŒ‚æ³½, æŽèŠ³å†›, ä¸å›½è½©</t>
  </si>
  <si>
    <t>https://patents.google.com/patent/CN222880766U/en</t>
  </si>
  <si>
    <t>CN-121366262-B</t>
  </si>
  <si>
    <t xml:space="preserve">A targeted treatment method for underground cavities in water-rich strata </t>
  </si>
  <si>
    <t>ä¸­å›½å»ºç­‘ç¬¬ä¸ƒå·¥ç¨‹å±€æœ‰é™å…¬å¸, ä¸­å»ºä¸ƒå±€ç¬¬å…­å»ºç­‘æœ‰é™å…¬å¸, å¤§è¿žäº¤é€šå¤§å­¦</t>
  </si>
  <si>
    <t>å¼ å»¶å¹´, é™ˆæ¹˜ç”Ÿ, é™ˆç§‰æ™º, èµµæ°‘èˆª, é»„å»¶é“®, æ±ªé’æ°, æŽå…´ç››, å¤é•¿é’, èµµæ”€, å¶å‹æž—, å€ªèŠƒèŠƒ, å‘¨æ¦†å›½, è´ºæ™¶æ™¶, ä¸¥æ·¦, æž—å‘é˜³, é‚±è¿å†›, å…šè¥¿é”‹, åˆ˜ç¾Žéœž, åŽæ³¢, æ¨ç›Š, éŸ©ä½³å½¤, æŽå¬æ³¢</t>
  </si>
  <si>
    <t>https://patents.google.com/patent/CN121366262B/en</t>
  </si>
  <si>
    <t>CN-118761858-B</t>
  </si>
  <si>
    <t xml:space="preserve">Irrigation water management method and system based on digital twin </t>
  </si>
  <si>
    <t>åŒ—äº¬æ¶¦åŽä¿¡é€šç§‘æŠ€æœ‰é™å…¬å¸</t>
  </si>
  <si>
    <t>ç¨‹å®‡, æŽå…´å‹‡, çŽ‹å»ºå†›, å´è‰³å­¦, é«˜æ—º, å‘¨é¹¤å—, åˆ˜æ–‡å¼º, å¾é¹</t>
  </si>
  <si>
    <t>https://patents.google.com/patent/CN118761858B/en</t>
  </si>
  <si>
    <t>CN-119619466-B</t>
  </si>
  <si>
    <t xml:space="preserve">Soil environment damage and risk assessment big data analysis system </t>
  </si>
  <si>
    <t>é™ˆå¨Ÿ, å¼ äº‘æ…§, æ¨å®¾, äºŽé–é–, éœæ±‰é‘«, éƒ­æ˜Žè¾¾</t>
  </si>
  <si>
    <t>https://patents.google.com/patent/CN119619466B/en</t>
  </si>
  <si>
    <t>AU-2021106935-A4</t>
  </si>
  <si>
    <t xml:space="preserve">Pure Water Analysis Using Near Field Technology and Internet of Things </t>
  </si>
  <si>
    <t>Gaadhe, Ajjay MR, Shirode, Ujwal Ramesh MR</t>
  </si>
  <si>
    <t>Mrunalini Bhandarkar, Nilkanth Chopade, Seema Deoghare, Ajjay Gaadhe, Swati Jagtap, Kishor Kinage, Rajani P. K., Ajit Patil, Sangita Patil, Ujwal Shirode, Prakash Sontakke, Sunil Tade</t>
  </si>
  <si>
    <t>https://patents.google.com/patent/AU2021106935A4/en</t>
  </si>
  <si>
    <t>CN-120196909-B</t>
  </si>
  <si>
    <t xml:space="preserve">A high-cut slope stability assessment method based on multi-source data fusion </t>
  </si>
  <si>
    <t>è´µå·žçœå…¬è·¯å»ºè®¾å…»æŠ¤é›†å›¢æœ‰é™å…¬å¸, è´µå·žè´µå®‰é«˜é€Ÿå…¬è·¯æœ‰é™å…¬å¸</t>
  </si>
  <si>
    <t>é›·å»ºä¼Ÿ, éŸ©è‹¹, åˆ˜å³°æº, çŽ‹æ¶›, å¼ æµª, å‚…å®šæž—, é¾™é›ªå©·, çŽ‹å¯…, è’‹å®‡æ£®, æ¨æ˜Œæµ·</t>
  </si>
  <si>
    <t>https://patents.google.com/patent/CN120196909B/en</t>
  </si>
  <si>
    <t>KR-102561220-B1</t>
  </si>
  <si>
    <t xml:space="preserve">SMART MANHOLE MANAGEMENT SYSTEM USING IoT SENSORS AND METHOD FOR PROCESSING THEREOF </t>
  </si>
  <si>
    <t>ì£¼ì‹íšŒì‚¬ ì œì´ë”ë¸”ìœ </t>
  </si>
  <si>
    <t>ì´ìƒë¯¼, ì´ì¢…í•œ</t>
  </si>
  <si>
    <t>https://patents.google.com/patent/KR102561220B1/en</t>
  </si>
  <si>
    <t>CN-113378396-B</t>
  </si>
  <si>
    <t xml:space="preserve">A method for early identification of geological hazard hidden danger points in small watersheds </t>
  </si>
  <si>
    <t>ä¸­å›½ç§‘å­¦é™¢ã€æ°´åˆ©éƒ¨æˆéƒ½å±±åœ°ç¾å®³ä¸ŽçŽ¯å¢ƒç ”ç©¶æ‰€</t>
  </si>
  <si>
    <t>é»„æ ‹, æ¨å®—ä½¶, ç”°å®å²­, å§œå…ƒä¿Š, çŽ‹èŒ</t>
  </si>
  <si>
    <t>https://patents.google.com/patent/CN113378396B/en</t>
  </si>
  <si>
    <t>KR-102305464-B1</t>
  </si>
  <si>
    <t xml:space="preserve">Landslide detecting module of field erection based on deep learning </t>
  </si>
  <si>
    <t>https://patents.google.com/patent/KR102305464B1/en</t>
  </si>
  <si>
    <t>https://patentimages.storage.googleapis.com/75/ee/72/6bc602210d5245/112021055087349-pat00001.png</t>
  </si>
  <si>
    <t>CN-216874288-U</t>
  </si>
  <si>
    <t xml:space="preserve">Rainwater storage and drought-resistance and water-saving irrigation system in arid areas </t>
  </si>
  <si>
    <t>å¡”é‡Œæœ¨å¤§å­¦</t>
  </si>
  <si>
    <t>åˆ˜å†‰, å§šå®æž—, å®‹å˜‰é›¯, å¾é›ªé›¯, å‘¨å­æ€¡</t>
  </si>
  <si>
    <t>https://patents.google.com/patent/CN216874288U/en</t>
  </si>
  <si>
    <t>https://patentimages.storage.googleapis.com/53/9f/e1/da31c6aa51f4a6/211227152817.png</t>
  </si>
  <si>
    <t>AU-2021102536-A4</t>
  </si>
  <si>
    <t xml:space="preserve">Remote Control Intelligent Electroosmosis Anti-seepage and Moisture-proof System Based on Cloud Module </t>
  </si>
  <si>
    <t>China University Of Mining And Technology</t>
  </si>
  <si>
    <t>Chunde Piao, Xiang SI, Dangliang Wang, Yuan Zhou</t>
  </si>
  <si>
    <t>https://patents.google.com/patent/AU2021102536A4/en</t>
  </si>
  <si>
    <t>CN-111504374-B</t>
  </si>
  <si>
    <t xml:space="preserve">Early warning device and early warning method for subway communication channel frozen wall intersection </t>
  </si>
  <si>
    <t>ä¸­å›½å»ºç­‘ç¬¬äºŒå·¥ç¨‹å±€æœ‰é™å…¬å¸</t>
  </si>
  <si>
    <t>å®‰å»ºæ°¸, å‘¨æ™“æ•, æŽç ”ç§‘, å¼ è¶…, å¼ ç‘žé“Ž, å’Œæ™“æ¥ , é›·æµ·æ³¢, éƒ­å®æ™º, å¼ ç¦, èƒ¡ä¸¹æž«, æ¨æ™“ä¸œ, è¢äºšå…‰, æŽé¹é£ž</t>
  </si>
  <si>
    <t>https://patents.google.com/patent/CN111504374B/en</t>
  </si>
  <si>
    <t>https://patentimages.storage.googleapis.com/26/9c/d4/33fb7be5f51332/200426091841.png</t>
  </si>
  <si>
    <t>CN-120069614-B</t>
  </si>
  <si>
    <t xml:space="preserve">A land space planning management system and method based on big data </t>
  </si>
  <si>
    <t>å±±ä¸œè´¢ç»å¤§å­¦, å±±ä¸œçœå›½åœŸç©ºé—´è§„åˆ’é™¢(å±±ä¸œçœè‡ªç„¶èµ„æºå’Œä¸åŠ¨äº§ç™»è®°ä¸­å¿ƒ)</t>
  </si>
  <si>
    <t>æ›²è¡æ³¢, å¼ å‹‡, å§œæ€€é¾™, å§œå¹¿è¾‰, çŽ‹ç«‹ä¸š, å¼ ä¸é›¨, ç¿Ÿè£æ–°, æ±ªèŠ³ç”œ, å¸çº¢è¿, åˆ˜æœæ—­</t>
  </si>
  <si>
    <t>https://patents.google.com/patent/CN120069614B/en</t>
  </si>
  <si>
    <t>CN-221035292-U</t>
  </si>
  <si>
    <t xml:space="preserve">Leakage monitoring system for vacuum drainage pipe network </t>
  </si>
  <si>
    <t>æ­å·žèšå·çŽ¯ä¿ç§‘æŠ€è‚¡ä»½æœ‰é™å…¬å¸</t>
  </si>
  <si>
    <t>æ¬§é˜³å¼€, æŽå¥æ°‘, å¼ æ­£å†›</t>
  </si>
  <si>
    <t>https://patents.google.com/patent/CN221035292U/en</t>
  </si>
  <si>
    <t>KR-102440014-B1</t>
  </si>
  <si>
    <t xml:space="preserve">Earthquake early warning system using sensor network based upon Internet of small things </t>
  </si>
  <si>
    <t>ì£¼ì‹íšŒì‚¬ ì‹œë„ˆì  </t>
  </si>
  <si>
    <t>ìœ¤ê¸ˆëž€</t>
  </si>
  <si>
    <t>https://patents.google.com/patent/KR102440014B1/en</t>
  </si>
  <si>
    <t>https://patentimages.storage.googleapis.com/ed/bd/30/47187c053d08a8/112020127859345-pat00001.png</t>
  </si>
  <si>
    <t>KR-102305467-B1</t>
  </si>
  <si>
    <t xml:space="preserve">Landslide distributed detecting method based on deep learning </t>
  </si>
  <si>
    <t>https://patents.google.com/patent/KR102305467B1/en</t>
  </si>
  <si>
    <t>https://patentimages.storage.googleapis.com/91/92/00/686def14c742ff/112021055091614-pat00001.png</t>
  </si>
  <si>
    <t>CN-213486046-U</t>
  </si>
  <si>
    <t xml:space="preserve">Agricultural thing networking irrigation equipment </t>
  </si>
  <si>
    <t>å“ˆå°”æ»¨è¿…é˜³ç‰©è”ç½‘ç§‘æŠ€æœ‰é™å…¬å¸</t>
  </si>
  <si>
    <t>ä¸å…¬å‘Šå‘æ˜Žäºº</t>
  </si>
  <si>
    <t>https://patents.google.com/patent/CN213486046U/en</t>
  </si>
  <si>
    <t>https://patentimages.storage.googleapis.com/cf/07/24/03437fe79e84c0/DEST_PATH_HDA0003021913390000011.png</t>
  </si>
  <si>
    <t>CN-119484592-B</t>
  </si>
  <si>
    <t xml:space="preserve">A monitoring point and data classification management method based on intelligent monitoring platform </t>
  </si>
  <si>
    <t>ä¸­ç”µå»ºé“è·¯å»ºè®¾æŠ•èµ„é›†å›¢æœ‰é™å…¬å¸</t>
  </si>
  <si>
    <t>å­”é”¤é’¢, å¼ å®ä¼Ÿ, æ¸©å°‘é¹</t>
  </si>
  <si>
    <t>https://patents.google.com/patent/CN119484592B/en</t>
  </si>
  <si>
    <t>CN-120090700-B</t>
  </si>
  <si>
    <t xml:space="preserve">Fault identification method and system for buried optical fiber </t>
  </si>
  <si>
    <t>é’å²›æ±‡å®‰è°·ç§‘æŠ€å‘å±•æœ‰é™å…¬å¸</t>
  </si>
  <si>
    <t>å‘¨ç´ èŠ¹, é­èŒ‚å®‰, å‘¨ç´ å©·</t>
  </si>
  <si>
    <t>https://patents.google.com/patent/CN120090700B/en</t>
  </si>
  <si>
    <t>CN-120634791-B</t>
  </si>
  <si>
    <t xml:space="preserve">Tunnel construction full life cycle management method and system under BIM drive </t>
  </si>
  <si>
    <t>ä¸­é“åå…«å±€é›†å›¢ç¬¬ä¸‰å·¥ç¨‹æœ‰é™å…¬å¸</t>
  </si>
  <si>
    <t>æ–‡å‡¯, åˆ˜ç£Š, éŸ¦ä¿Š</t>
  </si>
  <si>
    <t>https://patents.google.com/patent/CN120634791B/en</t>
  </si>
  <si>
    <t>CN-120995838-B</t>
  </si>
  <si>
    <t xml:space="preserve">Weak surrounding rock tunnel deformation risk judging method based on shear expansion-shear principal structure </t>
  </si>
  <si>
    <t>åŽä¸­ç§‘æŠ€å¤§å­¦</t>
  </si>
  <si>
    <t>éƒ‘ä¿Šæ˜Ÿ, é«˜ç³, è‹—é›¨, åˆ˜åŽåŒ—, åˆ˜ç»§å›½, å¼ ä¸œæ˜Ž, å…³æŒ¯é•¿, å®è‹±æ°</t>
  </si>
  <si>
    <t>https://patents.google.com/patent/CN120995838B/en</t>
  </si>
  <si>
    <t>CN-118565566-B</t>
  </si>
  <si>
    <t xml:space="preserve">Water resource safety monitoring system based on big data </t>
  </si>
  <si>
    <t>å±±ä¸œå˜‰æºæ£€æµ‹æŠ€æœ¯è‚¡ä»½æœ‰é™å…¬å¸</t>
  </si>
  <si>
    <t>çŽ‹ç‘žå¼º, æŽå…¨åˆ, å¼ é‡‘èŠ</t>
  </si>
  <si>
    <t>https://patents.google.com/patent/CN118565566B/en</t>
  </si>
  <si>
    <t>CN-120435969-B</t>
  </si>
  <si>
    <t xml:space="preserve">A method and system for dynamic management of farmland nutrients: Organic fertilizer application </t>
  </si>
  <si>
    <t>è¥¿åŒ—å¸ˆèŒƒå¤§å­¦, ç”˜è‚ƒå†œä¸šå¤§å­¦</t>
  </si>
  <si>
    <t>éƒ­ç‘¶, æ®·æ–‡, èµµè¿žè±ª, æŽç›¼, ä»‡æµ·é¾™, çŽ‹è²å„¿, éŸ¦é‡‘è´µ, ä¸‡å¹³å…´, çŽ‹å›½ä¸½, ç«¥ç¦¹, èµµè‰ºä½³</t>
  </si>
  <si>
    <t>https://patents.google.com/patent/CN120435969B/en</t>
  </si>
  <si>
    <t>CN-113404121-B</t>
  </si>
  <si>
    <t xml:space="preserve">Natural riverbed infiltration water extraction integrated system and its design method </t>
  </si>
  <si>
    <t>é‡åº†æ³“æºæ¸—æ»¤å–æ°´ç§‘æŠ€æœ‰é™å…¬å¸</t>
  </si>
  <si>
    <t>é­æ°‘, å®‹ç…œ, é™ˆæ¡¦</t>
  </si>
  <si>
    <t>https://patents.google.com/patent/CN113404121B/en</t>
  </si>
  <si>
    <t>CN-120609759-B</t>
  </si>
  <si>
    <t xml:space="preserve">A method and system for monitoring soil pollutants in power transmission and transformation projects </t>
  </si>
  <si>
    <t>å›½ç½‘æµ™æ±Ÿçœç”µåŠ›æœ‰é™å…¬å¸å»ºè®¾åˆ†å…¬å¸, å›½ç½‘æµ™æ±Ÿçœç”µåŠ›æœ‰é™å…¬å¸</t>
  </si>
  <si>
    <t>çŽ‹äº¦æ˜Œ, è¢å°è¶…, æˆ´èŽ‰, é»„ä¸–æ™…, åˆ˜é’, å±…çŽ‰å¤, æ‰¶è¾¾é¸¿, å•èšè‰¯, å§œç»´æ°, å± é”‹, å‘¨å³¥æ ‹, æŽçŸ¥è¿œ, å¶äº‰é¸£, æŽæ´‹é˜³, éŸ¦èˆ’å¤©</t>
  </si>
  <si>
    <t>https://patents.google.com/patent/CN120609759B/en</t>
  </si>
  <si>
    <t>CN-213336263-U</t>
  </si>
  <si>
    <t xml:space="preserve">Water meter utilizing geothermal energy based on Internet of things </t>
  </si>
  <si>
    <t>çŽ‹å°æ•</t>
  </si>
  <si>
    <t>https://patents.google.com/patent/CN213336263U/en</t>
  </si>
  <si>
    <t>https://patentimages.storage.googleapis.com/63/ce/9a/d55c35a2bc8d01/HDA0002777895580000011.png</t>
  </si>
  <si>
    <t>CN-119918946-B</t>
  </si>
  <si>
    <t xml:space="preserve">Method, device and equipment for evaluating frost heave damage risk of roadbed engineering in seasonal frozen soil area </t>
  </si>
  <si>
    <t>ä¸­å›½ç§‘å­¦é™¢è¥¿åŒ—ç”Ÿæ€çŽ¯å¢ƒèµ„æºç ”ç©¶é™¢</t>
  </si>
  <si>
    <t>é‚°åšæ–‡, é©¬æ˜¥æ¸…, å²³ç¥–æ¶¦, å‘¨å¿—ä¼Ÿ, äº“å®ˆè‡£</t>
  </si>
  <si>
    <t>https://patents.google.com/patent/CN119918946B/en</t>
  </si>
  <si>
    <t>CN-118821928-B</t>
  </si>
  <si>
    <t xml:space="preserve">Water event risk prediction method, device, computer equipment and storage medium </t>
  </si>
  <si>
    <t>é©¬å¼º, è²åˆ©æ™®Â·é¡¾åšç»´å°”, æœé¾™æ±Ÿ, æŽéƒ‘æ·¼, é™ˆå¨Ÿ, å‘¨æ¥ , éž æ™“æ™—, å¼ çŠ</t>
  </si>
  <si>
    <t>https://patents.google.com/patent/CN118821928B/en</t>
  </si>
  <si>
    <t>KR-102142133-B1</t>
  </si>
  <si>
    <t xml:space="preserve">The Module Device for Sensing a Building Structures and Controlling Method for the Same </t>
  </si>
  <si>
    <t>ë¬¸í˜•ë¯¼</t>
  </si>
  <si>
    <t>https://patents.google.com/patent/KR102142133B1/en</t>
  </si>
  <si>
    <t>https://patentimages.storage.googleapis.com/af/2b/83/b59a66b39b6939/112020033614520-pat00001.png</t>
  </si>
  <si>
    <t>CN-113756314-B</t>
  </si>
  <si>
    <t xml:space="preserve">Construction method suitable for excavation of deep large subway foundation pit of soft soil foundation in long triangular area </t>
  </si>
  <si>
    <t>ä¸­é“(ä¸Šæµ·)æŠ•èµ„é›†å›¢æœ‰é™å…¬å¸, æ²³æµ·å¤§å­¦</t>
  </si>
  <si>
    <t>åˆ˜æ±Ÿæ¶›, å¼ å½¦çº¢, èŒƒå–œå¾·, çŽ‹è€€è¾‰, æŽå­˜å†›, æœ±æµ·å†›, å¼ æ˜¥å½¬, å¼ å¤å‹‡, ä¸°åœŸæ ¹, è‚ç¾Žå†›, å¼ ç®­</t>
  </si>
  <si>
    <t>https://patents.google.com/patent/CN113756314B/en</t>
  </si>
  <si>
    <t>https://patentimages.storage.googleapis.com/52/a9/22/9b50d10784ec43/HDA0003193363120000011.png</t>
  </si>
  <si>
    <t>KR-102855954-B1</t>
  </si>
  <si>
    <t xml:space="preserve">Construction safety monitering integrated control system and construction for construction safety monitering integrated control centor structured the same </t>
  </si>
  <si>
    <t>í•œêµ­ìˆ˜ìžì›ê³µì‚¬</t>
  </si>
  <si>
    <t>ì¶”ì—°ê¸¸, ê¹€ë„í›ˆ, ê³½ë³‘í›„, ê°•ì •í›ˆ, ê¹€í˜•ì¤€</t>
  </si>
  <si>
    <t>https://patents.google.com/patent/KR102855954B1/en</t>
  </si>
  <si>
    <t>CN-119066375-B</t>
  </si>
  <si>
    <t xml:space="preserve">Ecological restoration method for large-angle steep rock slope </t>
  </si>
  <si>
    <t>å››å·äº¿æ¬£æ–°ææ–™æœ‰é™å…¬å¸</t>
  </si>
  <si>
    <t>æŽæž—å¯Œ, å½­è´µæ˜Ž, é©¬ç¿Žç€š, æœ±ä¸¹, å½­å»ºè“‰</t>
  </si>
  <si>
    <t>https://patents.google.com/patent/CN119066375B/en</t>
  </si>
  <si>
    <t>CN-120660612-B</t>
  </si>
  <si>
    <t xml:space="preserve">Irrigation dynamic control system based on meteorological forecast </t>
  </si>
  <si>
    <t>æ±Ÿè‹æ³“é‘«ç§‘æŠ€æœ‰é™å…¬å¸</t>
  </si>
  <si>
    <t>å‘¨ä¿Š, åœ£æœ‰é«˜, å¾ç´, é‡‘é¹, å‘¨è¿›, ç†Šå¤©çš“, æ›¹ä¸€å¸†, æ²ˆæ–‡æ­¦, å‘¨å¯èˆª, å¾æ€è¿œ</t>
  </si>
  <si>
    <t>https://patents.google.com/patent/CN120660612B/en</t>
  </si>
  <si>
    <t>KR-102437090-B1</t>
  </si>
  <si>
    <t xml:space="preserve">System and method for building disaster safety management </t>
  </si>
  <si>
    <t>í•œêµ­ê¸°ê³„ì—°êµ¬ì›</t>
  </si>
  <si>
    <t>ë°•ì§„ì„±, í•œí˜•ì„, í•˜ì°½ì™„, ì•ˆë³‘íƒœ, ì‹ ì˜ì‹, ì´ìž¬ê²½, ë°•ì§„ìš°, ì´ì¢…ë¯¼, ë°•ë„ì˜, ê¹€ì°½í˜„, ìž„ìž¬ì›, ê¹€ì •ì¤‘, ê³ ë‘ì—´, ì •ì„±í˜¸</t>
  </si>
  <si>
    <t>https://patents.google.com/patent/KR102437090B1/en</t>
  </si>
  <si>
    <t>https://patentimages.storage.googleapis.com/ad/37/86/0d53e7f37607c4/112020128623020-pat00001.png</t>
  </si>
  <si>
    <t>KR-102327720-B1</t>
  </si>
  <si>
    <t xml:space="preserve">Organic waste maturity management system and method thereof </t>
  </si>
  <si>
    <t>(ì£¼)ì¼€ì´ì—”ì—ìŠ¤ê¸€ë¡œë²Œ</t>
  </si>
  <si>
    <t>ì¡°ê¸°ì² , ì´ìƒì² </t>
  </si>
  <si>
    <t>https://patents.google.com/patent/KR102327720B1/en</t>
  </si>
  <si>
    <t>https://patentimages.storage.googleapis.com/50/78/c6/d51ac1455dd239/112021027980519-pat00001.png</t>
  </si>
  <si>
    <t>CN-114492233-B</t>
  </si>
  <si>
    <t xml:space="preserve">A watershed simulation method based on webGIS platform and considering comprehensive utilization requirements </t>
  </si>
  <si>
    <t>ä¸­å›½é•¿æ±Ÿä¸‰å³¡é›†å›¢æœ‰é™å…¬å¸, å—ç‘žé›†å›¢æœ‰é™å…¬å¸</t>
  </si>
  <si>
    <t>å‘¨æ›¼, èƒ¡æŒº, å¼ é‡‘åŽ, çŽ‹èƒœå‡¯, è‚–æ‰¬å¸†, æŽçŽ‰é‘«, èƒ¡è…¾è…¾, åˆ˜æ¶›, æ—¶çŽ‰é¾™</t>
  </si>
  <si>
    <t>https://patents.google.com/patent/CN114492233B/en</t>
  </si>
  <si>
    <t>CN-115067045-B</t>
  </si>
  <si>
    <t xml:space="preserve">A water-fertilizer-bacteria integrated intelligent irrigation equipment and its application </t>
  </si>
  <si>
    <t>ç¦å»ºçœå†œä¸šç§‘å­¦é™¢å†œä¸šç”Ÿç‰©èµ„æºç ”ç©¶æ‰€</t>
  </si>
  <si>
    <t>é™ˆå³¥, åˆ˜æ³¢, åˆ˜æ¬£, çŽ‹é˜¶å¹³, å¼ æµ·å³°, æˆ´æ–‡éœ„, åŒ…å…´èƒœ</t>
  </si>
  <si>
    <t>https://patents.google.com/patent/CN115067045B/en</t>
  </si>
  <si>
    <t>CN-116508624-B</t>
  </si>
  <si>
    <t xml:space="preserve">Multi-water source water supply method and system and spray irrigation method and system </t>
  </si>
  <si>
    <t>æ±Ÿè‹å¤§å­¦</t>
  </si>
  <si>
    <t>è’‹è·ƒ, æ¨å¸†, æŽçº¢</t>
  </si>
  <si>
    <t>https://patents.google.com/patent/CN116508624B/en</t>
  </si>
  <si>
    <t>CN-119962373-B</t>
  </si>
  <si>
    <t xml:space="preserve">Comprehensive methods, systems, and electronic equipment for field observation of precipitation, soil water, and groundwater responses. </t>
  </si>
  <si>
    <t>æ°´åˆ©éƒ¨ç‰§åŒºæ°´åˆ©ç§‘å­¦ç ”ç©¶æ‰€</t>
  </si>
  <si>
    <t>çŽ‹å­æ²³, å»–æ¢“é¾™, çŽ‹æ˜Žæ–°, é‚“è…¾æž—, æŽå›½åŽ, æœæ™“å³°, æ±ªé¦¨ç«¹, çŽ‹æ–‡å©·, é‡‘å©§, å¼ å¿—å¤«, å¼ æ™¶, äºŽå‘å‰, åˆ˜è¿ª, èµµä¹‰å¹³, éƒä¼Ÿç½¡, æŽæ–‡é›…, è®¸æ¥ , åˆ˜ä¼Ÿ, å¼ é‘«å»º</t>
  </si>
  <si>
    <t>https://patents.google.com/patent/CN119962373B/en</t>
  </si>
  <si>
    <t>CN-118643457-B</t>
  </si>
  <si>
    <t xml:space="preserve">A parallel operation and maintenance method, device and medium for multi-source data of soil-covered storage tanks </t>
  </si>
  <si>
    <t>å±±ä¸œäº¬åšæŽ§è‚¡é›†å›¢æœ‰é™å…¬å¸, å±±ä¸œäº¬åšè£…å¤‡åˆ¶é€ å®‰è£…æœ‰é™å…¬å¸</t>
  </si>
  <si>
    <t>é©¬éŸµå‡, è€¿ç»§å¼º, é‚¹é›„, èµµç«‹ç§‹, åˆ˜æŒ¯å­¦, å¼ æ‰¿è´º, é­åœ£å¯, è€¿å…´é£ž, æ¨æ©æ€, å§œå¤©å‡¯</t>
  </si>
  <si>
    <t>https://patents.google.com/patent/CN118643457B/en</t>
  </si>
  <si>
    <t>CN-112012306-B</t>
  </si>
  <si>
    <t xml:space="preserve">Sewage intercepting well for residential area and application method thereof </t>
  </si>
  <si>
    <t>æ¹–åŒ—ç¥ºæ¶¦ç”Ÿæ€å»ºè®¾æœ‰é™å…¬å¸</t>
  </si>
  <si>
    <t>å­™å‹‡, é—µå¿—æˆ, å­™æµ©éœ–, å‡ƒæŒ¯å›½, éª†æ¯…, æœ±ä¹, å‘¨æ¢…</t>
  </si>
  <si>
    <t>https://patents.google.com/patent/CN112012306B/en</t>
  </si>
  <si>
    <t>CN-118607790-B</t>
  </si>
  <si>
    <t xml:space="preserve">River and lake aquatic product value accounting system construction method and system </t>
  </si>
  <si>
    <t>æˆ´æ±ŸçŽ‰, å´ä¿®é”‹, å´æ—¶å¼º, è–›ä¸‡äº‘, çŽ‹èŠ³èŠ³, é«˜æ˜‚, ç”°ä»˜çŽ®, æŸ¥ä¼Ÿ, è®¸å¬é›¨, å¼ å“²çª</t>
  </si>
  <si>
    <t>https://patents.google.com/patent/CN118607790B/en</t>
  </si>
  <si>
    <t>CN-117874893-B</t>
  </si>
  <si>
    <t xml:space="preserve">Chemical pipeline visualization method based on BIM and UE5 </t>
  </si>
  <si>
    <t>æ±Ÿè‹å¤§å¡”ç§‘æŠ€æœ‰é™å…¬å¸</t>
  </si>
  <si>
    <t>å•ç”°æ¸…, ç¥æ˜Œæ¨, çŽ‹æ·ž, è’‹é‡‘é¾™, å¼ åŠ›æ´</t>
  </si>
  <si>
    <t>https://patents.google.com/patent/CN117874893B/en</t>
  </si>
  <si>
    <t>CN-120430591-B</t>
  </si>
  <si>
    <t xml:space="preserve">Carbon reduction and synergy optimization operation method and system for water network system in agriculture and animal husbandry </t>
  </si>
  <si>
    <t>æ°´åˆ©éƒ¨æ°´åˆ©æ°´ç”µè§„åˆ’è®¾è®¡æ€»é™¢, å†…è’™å¤å†œä¸šå¤§å­¦</t>
  </si>
  <si>
    <t>åˆ˜ä¸ºé”‹, éƒ­æ—­å®, æŽäº‘çŽ², é©¬é¾™, åˆ‘è¥¿åˆš, é»„æ˜Ÿ, å­™æŸæž—, æŽæ´çŽ‰, çŽ‹å»ºæ–‡, å¼ è‡ªè‡£, è‹—å¹³</t>
  </si>
  <si>
    <t>https://patents.google.com/patent/CN120430591B/en</t>
  </si>
  <si>
    <t>CN-220038211-U</t>
  </si>
  <si>
    <t xml:space="preserve">Multi-point type pipe network groundwater infiltration monitoring device based on temperature </t>
  </si>
  <si>
    <t>ä¸‰å³¡æ™ºæ…§æ°´åŠ¡ç§‘æŠ€æœ‰é™å…¬å¸</t>
  </si>
  <si>
    <t>é™ˆç‘žå¼˜, éƒ­å®‡å³°, æŽå½¤, è®¸çŽ‹è¾°, éƒ­æ—»ç¿, éƒ‘å°ä¸œ, å¾æ˜Šæ—»</t>
  </si>
  <si>
    <t>https://patents.google.com/patent/CN220038211U/en</t>
  </si>
  <si>
    <t>JP-7737536-B2</t>
  </si>
  <si>
    <t xml:space="preserve">System and method for generating atmospheric water by absorption using ultrasound or microwave for solvent regeneration </t>
  </si>
  <si>
    <t>ãƒ‡ãƒ´ã‚£ãƒƒãƒ‰ ã‚¸ã‚§ãƒ¼ãƒ ã‚¹ ã‚¹ã‚¿ãƒƒã‚±ãƒ³ãƒãƒ¼ã‚°, ã‚¨ãƒªãƒƒã‚¯ ã‚­ãƒ¼ã‚¹ ã‚¦ã‚§ãƒ³ãƒˆ, ã‚ªãƒ¼ã‚¦ã‚§ãƒ³ ãƒžã‚¤ã‚±ãƒ« ã‚¨ãƒªã‚¯ã‚½ãƒ³, ãƒ´ã‚§ãƒ³ã‚«ãƒ†ã‚¹ãƒ¯ãƒ© ãƒ©ã‚ª ã‚³ãƒ¼ãƒ‰</t>
  </si>
  <si>
    <t>https://patents.google.com/patent/JP7737536B2/en</t>
  </si>
  <si>
    <t>CN-113642765-B</t>
  </si>
  <si>
    <t xml:space="preserve">Mine monitoring equipment optimization deployment method, equipment, electronic equipment and storage medium </t>
  </si>
  <si>
    <t>é™•ç…¤é›†å›¢ç¥žæœ¨å¼ å®¶å³çŸ¿ä¸šæœ‰é™å…¬å¸, ä¸­å›½çŸ¿ä¸šå¤§å­¦(åŒ—äº¬)</t>
  </si>
  <si>
    <t>æ­¦å¼º, èµµé¢–æ—º, å¼ å»ºå®‰, èƒ¡ä¿­, éƒ‘æ°¸é£ž, æ¨å¸†, å¼ æ± , å­™æ–‡, çŽ‹é–å‡¯, æœ±ä¿¡é¾™, é«˜å½¬, å‘¼å°‘å¹³, çŽ‹å®ç§‘, åˆ˜è¾‰, ç”°æ°´è±¹, è°¢æ²›</t>
  </si>
  <si>
    <t>https://patents.google.com/patent/CN113642765B/en</t>
  </si>
  <si>
    <t>CN-120338527-B</t>
  </si>
  <si>
    <t xml:space="preserve">A method for analyzing and evaluating farmland tailwater pollution load </t>
  </si>
  <si>
    <t>ä¸Šæµ·å¸‚å†œä¸šç§‘å­¦é™¢</t>
  </si>
  <si>
    <t>ä¹”çº¢éœž, åˆ˜ç¦å…´, ä»˜å­è½¼, çŽ‹ä¿ŠåŠ›</t>
  </si>
  <si>
    <t>https://patents.google.com/patent/CN120338527B/en</t>
  </si>
  <si>
    <t>CN-211555107-U</t>
  </si>
  <si>
    <t xml:space="preserve">Road collapse wireless monitoring device and system thereof </t>
  </si>
  <si>
    <t>é«˜é¡ºå–œ, æ¨å³°, çŽ‹å–œè¶…, å”å¥æ¸…, æ›¹è‚²å…µ, ä½•é“</t>
  </si>
  <si>
    <t>https://patents.google.com/patent/CN211555107U/en</t>
  </si>
  <si>
    <t>https://patentimages.storage.googleapis.com/bd/a7/b9/3d153dc577796f/HDA0002401266440000011.png</t>
  </si>
  <si>
    <t>CN-216748476-U</t>
  </si>
  <si>
    <t xml:space="preserve">Intelligent water taking controller </t>
  </si>
  <si>
    <t>ä¿¡åˆ›(å¤©æ´¥)æ™ºèƒ½ç§‘æŠ€æœ‰é™å…¬å¸</t>
  </si>
  <si>
    <t>æŽæµ·æ—¥, å¾ç¾Žå…°, æŽæ¸…æ·‘, é«˜å¿—é‘«, å¤æ°¸ç”Ÿ</t>
  </si>
  <si>
    <t>https://patents.google.com/patent/CN216748476U/en</t>
  </si>
  <si>
    <t>https://patentimages.storage.googleapis.com/35/22/9b/28e427b663f667/HDA0003391938830000011.png</t>
  </si>
  <si>
    <t>CN-119933109-B</t>
  </si>
  <si>
    <t xml:space="preserve">Spoil yard side slope stability monitoring system </t>
  </si>
  <si>
    <t>é•¿å®‰å¤§å­¦</t>
  </si>
  <si>
    <t>è‚–çŽ®, å®‹è‰º</t>
  </si>
  <si>
    <t>https://patents.google.com/patent/CN119933109B/en</t>
  </si>
  <si>
    <t>US-12599849-B2</t>
  </si>
  <si>
    <t xml:space="preserve">Atmospheric water generation systems and methods utilizing membrane-based water extraction </t>
  </si>
  <si>
    <t>Genesis Systems Llc</t>
  </si>
  <si>
    <t>David James Stuckenberg, Erick Keith Went, Owen Michael Erickson, Jashal Patel, Ethan Emerson Plumer, Shania Samantha Madramootoo</t>
  </si>
  <si>
    <t>https://patents.google.com/patent/US12599849B2/en</t>
  </si>
  <si>
    <t>https://patentimages.storage.googleapis.com/US12599849B2/US12599849-20260414-D00000.png</t>
  </si>
  <si>
    <t>KR-102327788-B1</t>
  </si>
  <si>
    <t xml:space="preserve">Disaster prediction system using IoT device and disaster prediction method using the same </t>
  </si>
  <si>
    <t>ëŒ€ì§„ëŒ€í•™êµ ì‚°í•™í˜‘ë ¥ë‹¨</t>
  </si>
  <si>
    <t>ìž¥ì„í™˜</t>
  </si>
  <si>
    <t>https://patents.google.com/patent/KR102327788B1/en</t>
  </si>
  <si>
    <t>https://patentimages.storage.googleapis.com/f6/14/42/0384f47471caae/112020038783263-pat00001.png</t>
  </si>
  <si>
    <t>CN-213147838-U</t>
  </si>
  <si>
    <t xml:space="preserve">A construction security protection system for wisdom building site </t>
  </si>
  <si>
    <t>ä¸­ä¿¡å›½å®‰å»ºå·¥é›†å›¢æœ‰é™å…¬å¸</t>
  </si>
  <si>
    <t>æŽå®, æ¨è’™æ©, é«˜å‡¯å½¬, æ¢åˆ©æ˜Œ, è‘£å“æ ©, å¤äº‘å–œ</t>
  </si>
  <si>
    <t>https://patents.google.com/patent/CN213147838U/en</t>
  </si>
  <si>
    <t>https://patentimages.storage.googleapis.com/7c/c7/43/0c62f04d474754/HDA0002740706380000011.png</t>
  </si>
  <si>
    <t>CN-120163454-B</t>
  </si>
  <si>
    <t xml:space="preserve">Safety risk assessment system based on slope construction </t>
  </si>
  <si>
    <t>é›·å»ºä¼Ÿ, éŸ©è‹¹, èµµå³¥åµ˜, åˆ˜å³°æº, çŽ‹æ¶›, å‚…å®šæž—, å®‰å®¶æ´‹, è’‹å®‡æ£®, é¾™é›ªå©·, åˆ˜å°é£ž</t>
  </si>
  <si>
    <t>https://patents.google.com/patent/CN120163454B/en</t>
  </si>
  <si>
    <t>CN-118674735-B</t>
  </si>
  <si>
    <t xml:space="preserve">Intelligent tunnel comprehensive control method, device, medium and equipment for tunnel construction </t>
  </si>
  <si>
    <t>å››å·æ™ºæ…§é«˜é€Ÿç§‘æŠ€æœ‰é™å…¬å¸</t>
  </si>
  <si>
    <t>å¼ éªž, åˆ˜æ¯…, å®‹å‘¨æž—, æ¢ç¾½å²‘, å´è¿å¼º, åˆ˜æ¸¯, é™ˆèŸå®‡, ä»£æ´‹</t>
  </si>
  <si>
    <t>https://patents.google.com/patent/CN118674735B/en</t>
  </si>
  <si>
    <t>CN-119849342-B</t>
  </si>
  <si>
    <t xml:space="preserve">Method and equipment for determining prestress value of pipe pile </t>
  </si>
  <si>
    <t>æ±Ÿè¥¿ä¸­æ³°æ¥æ··å‡åœŸç®¡æ¡©æœ‰é™å…¬å¸</t>
  </si>
  <si>
    <t>é™ˆé˜³äº®</t>
  </si>
  <si>
    <t>https://patents.google.com/patent/CN119849342B/en</t>
  </si>
  <si>
    <t>CN-119625563-B</t>
  </si>
  <si>
    <t xml:space="preserve">Forestry resource collection method based on GIS technology </t>
  </si>
  <si>
    <t>æˆéƒ½ç¥¥é¾™åŽåˆ›ç§‘æŠ€æœ‰é™å…¬å¸, é˜¿åå·žæž—ä¸šå’Œè‰åŽŸç§‘å­¦æŠ€æœ¯ç ”ç©¶æ‰€</t>
  </si>
  <si>
    <t>å¼ å¯, ä»˜æ¢¦åª›, æŽæž—, å±ˆå©·å©·, å€™æ™“, æ±ªæ¯…ç©, å¾ä¸œæ—­, è¢æ¢“çŽ², é™ˆäº®, æŽæ³¢, å¼ åˆ©</t>
  </si>
  <si>
    <t>https://patents.google.com/patent/CN119625563B/en</t>
  </si>
  <si>
    <t>KR-102504241-B1</t>
  </si>
  <si>
    <t xml:space="preserve">Method and system for monitoring water quality based on artificial intelligence </t>
  </si>
  <si>
    <t>(ì£¼)ë™ì•„ì”¨ì•¤ì§€</t>
  </si>
  <si>
    <t>ì‹ ì°½êµ­, ì •ìš´ê·¼, ì¡°ê·œë“, ì´ì„ ë¯¸</t>
  </si>
  <si>
    <t>https://patents.google.com/patent/KR102504241B1/en</t>
  </si>
  <si>
    <t>https://patentimages.storage.googleapis.com/20/7b/7f/fe1b59f6a87619/112022104802867-pat00001.png</t>
  </si>
  <si>
    <t>KR-102315987-B1</t>
  </si>
  <si>
    <t xml:space="preserve">REAL-TIME MONITORING AND MANAGEMENT SYSTEM FOR VIAN INFLUENZA AND FOOT AND MOUTH DISEASE VIRUS USING IoT SMART TECHNOLOGY </t>
  </si>
  <si>
    <t>https://patents.google.com/patent/KR102315987B1/en</t>
  </si>
  <si>
    <t>https://patentimages.storage.googleapis.com/db/d4/29/af5eb8915d14b9/112021002524134-pat00020.png</t>
  </si>
  <si>
    <t>US-11946218-B1</t>
  </si>
  <si>
    <t xml:space="preserve">System and method for robotics-assisted foundation installation </t>
  </si>
  <si>
    <t>SITU-Places Inc.</t>
  </si>
  <si>
    <t>Stephen W. Jaycox, Quentin Topping, Michael Goldin, Johnny Lee</t>
  </si>
  <si>
    <t>https://patents.google.com/patent/US11946218B1/en</t>
  </si>
  <si>
    <t>https://patentimages.storage.googleapis.com/40/fb/6a/09bf59f72b2f21/US11946218-20240402-D00000.png</t>
  </si>
  <si>
    <t>CN-114372496-B</t>
  </si>
  <si>
    <t xml:space="preserve">Method for decision tree computation and system for implementing decision tree </t>
  </si>
  <si>
    <t>æ…§ä¸Žå‘å±•æœ‰é™è´£ä»»åˆä¼™ä¼ä¸š</t>
  </si>
  <si>
    <t>CÂ·æ ¼é›·å¤«æ–¯, æŽï¿½ç¿, KÂ·æ²ƒä½çº³ç‰¹, JÂ·PÂ·æ–¯ç‰¹ç½—æ©</t>
  </si>
  <si>
    <t>https://patents.google.com/patent/CN114372496B/en</t>
  </si>
  <si>
    <t>US-12558649-B2</t>
  </si>
  <si>
    <t>David James Stuckenberg, Venkateswara Rao Kode, Erick Keith Went</t>
  </si>
  <si>
    <t>https://patents.google.com/patent/US12558649B2/en</t>
  </si>
  <si>
    <t>https://patentimages.storage.googleapis.com/US12558649B2/US12558649-20260224-D00000.png</t>
  </si>
  <si>
    <t>CN-116862703-B</t>
  </si>
  <si>
    <t xml:space="preserve">Multi-port non-coal mine safety monitoring information control system and method </t>
  </si>
  <si>
    <t>ä¸­å›½å®‰å…¨ç”Ÿäº§ç§‘å­¦ç ”ç©¶é™¢</t>
  </si>
  <si>
    <t>é­æ°, ä»˜å£«æ ¹, ä»˜ææ¶›, è¤šè¡çŽ‰, æ¨é˜³, é»„äºšè¾‰</t>
  </si>
  <si>
    <t>https://patents.google.com/patent/CN116862703B/en</t>
  </si>
  <si>
    <t>CN-119046693-B</t>
  </si>
  <si>
    <t xml:space="preserve">Migration method of slope displacement prediction model </t>
  </si>
  <si>
    <t>å®æ³¢æœ—è¾¾ç§‘æŠ€æœ‰é™å…¬å¸</t>
  </si>
  <si>
    <t>åº”å›½åˆš, å”ç¤¼ä¹‰, é™ˆæ˜Žæ°</t>
  </si>
  <si>
    <t>https://patents.google.com/patent/CN119046693B/en</t>
  </si>
  <si>
    <t>CN-120972177-B</t>
  </si>
  <si>
    <t xml:space="preserve">A method, system, and early warning device for early warning and investigation of dam bank slope deformation trends </t>
  </si>
  <si>
    <t>ä¸­å›½ç”µå»ºé›†å›¢æ±Ÿè¥¿çœç”µåŠ›è®¾è®¡é™¢æœ‰é™å…¬å¸</t>
  </si>
  <si>
    <t>æ¨å‹¤é¹, çŽ‹ç†¹, æœ±é›„å‰‘, æ®µè°Ÿä¸œ, åˆ˜å¿—è…¾</t>
  </si>
  <si>
    <t>https://patents.google.com/patent/CN120972177B/en</t>
  </si>
  <si>
    <t>CN-118410903-B</t>
  </si>
  <si>
    <t xml:space="preserve">Slope deformation prediction and interpretation method based on fuzzy echo state network and SHAP </t>
  </si>
  <si>
    <t>å†…è’™å¤é«˜æ–°ç§‘æŠ€æŽ§è‚¡æœ‰é™è´£ä»»å…¬å¸, ä¸­åŒ—é€šä¿¡æ¯æŠ€æœ¯æœ‰é™å…¬å¸, åˆè‚¥å·¥ä¸šå¤§å­¦</t>
  </si>
  <si>
    <t>å•æµ·ç‘ž, ç™½æ¨, å¼ å®¶æ–Œ, çŽ‹ä¼Ÿé”ž, è´¹é›¯æ¬£, ä¸‡å®¶å±±, å¤å¨œ, å´æŒ¯æ˜Š</t>
  </si>
  <si>
    <t>https://patents.google.com/patent/CN118410903B/en</t>
  </si>
  <si>
    <t>CN-115437023-B</t>
  </si>
  <si>
    <t xml:space="preserve">Stratum water-rich detection method and system based on wide-area electromagnetic method and electronic equipment </t>
  </si>
  <si>
    <t>ä¸­å›½ç…¤ç‚­åœ°è´¨æ€»å±€åœ°çƒç‰©ç†å‹˜æŽ¢ç ”ç©¶é™¢</t>
  </si>
  <si>
    <t>å­Ÿå‡¡å½¬, é½æœåŽ, åˆ˜é¹, ç½—å›½å¹³, èµµäº‘, æŽå¿ , åˆ˜é•œç«¹, åˆ˜é¹ç¾¤</t>
  </si>
  <si>
    <t>https://patents.google.com/patent/CN115437023B/en</t>
  </si>
  <si>
    <t>CN-120995230-B</t>
  </si>
  <si>
    <t xml:space="preserve">Method and system for rapidly identifying dangerous embankment situation </t>
  </si>
  <si>
    <t>ç†Šå¨, æ¸¸æ–‡èª, çŽ‹å§£, èƒ¡å¼º, è™žæ…§, å½­åœ£å†›, ä¸‡æ€æº, æŽæ–‡æ¬¢</t>
  </si>
  <si>
    <t>https://patents.google.com/patent/CN120995230B/en</t>
  </si>
  <si>
    <t>CN-119244206-B</t>
  </si>
  <si>
    <t xml:space="preserve">A method and system for automatically measuring and adjusting flow rate of intelligent injection wells </t>
  </si>
  <si>
    <t>å—äº¬å—å¤§æ•°å­—ç§‘æŠ€æœ‰é™è´£ä»»å…¬å¸</t>
  </si>
  <si>
    <t>ç››ç‚œç‚œ, æŽç€šæ¶›, ä½™å®, å¤è‹±, é»„æ˜¥æµ·</t>
  </si>
  <si>
    <t>https://patents.google.com/patent/CN119244206B/en</t>
  </si>
  <si>
    <t>CN-112232981-B</t>
  </si>
  <si>
    <t xml:space="preserve">Hydraulic engineering power supply unit based on thing networking </t>
  </si>
  <si>
    <t>å±±ä¸œæ°´æ€»æœ‰é™å…¬å¸</t>
  </si>
  <si>
    <t>å’Œäº®</t>
  </si>
  <si>
    <t>https://patents.google.com/patent/CN112232981B/en</t>
  </si>
  <si>
    <t>https://patentimages.storage.googleapis.com/48/88/c9/b67d00382872bf/HDA0002714215460000011.png</t>
  </si>
  <si>
    <t>US-11644220-B1</t>
  </si>
  <si>
    <t xml:space="preserve">Multiple well pairs for scaling the output of geothermal energy power plants </t>
  </si>
  <si>
    <t>Geothermal Technologies, Inc.</t>
  </si>
  <si>
    <t>Bruce D. Marsh, Saman KARIMI, James Hollis, J. Gary McDaniel</t>
  </si>
  <si>
    <t>https://patents.google.com/patent/US11644220B1/en</t>
  </si>
  <si>
    <t>https://patentimages.storage.googleapis.com/14/b7/c5/af96baf14db5e2/US11644220-20230509-D00000.png</t>
  </si>
  <si>
    <t>CN-113738560-B</t>
  </si>
  <si>
    <t xml:space="preserve">Drainage pipeline spontaneous current amount and liquid level detection integrated wireless device and method </t>
  </si>
  <si>
    <t>æµ™æ±Ÿå¤§å­¦</t>
  </si>
  <si>
    <t>é»„æ–‡å›, å¤é›¨å°§, å‘¨é€Šç››, é»„æ¥šåª›</t>
  </si>
  <si>
    <t>https://patents.google.com/patent/CN113738560B/en</t>
  </si>
  <si>
    <t>https://patentimages.storage.googleapis.com/c2/9d/6a/b8d02939b0debb/220926154224.png</t>
  </si>
  <si>
    <t>CN-116911832-B</t>
  </si>
  <si>
    <t xml:space="preserve">Method and system for supervising running condition of leachate treatment equipment of waste incineration plant </t>
  </si>
  <si>
    <t>æ±Ÿè‹è¾¾æ³½èŠ‚èƒ½çŽ¯ä¿ç§‘æŠ€æœ‰é™å…¬å¸</t>
  </si>
  <si>
    <t>ä¸šä»Žå¹³, çŽ‹è´¤è£, æŽå¾·åŽ, ç¿Ÿé“ç¥¥, ä¸šæ¢“æ­, å´ä¼Ÿ</t>
  </si>
  <si>
    <t>https://patents.google.com/patent/CN116911832B/en</t>
  </si>
  <si>
    <t>CN-117969789-B</t>
  </si>
  <si>
    <t xml:space="preserve">Water regime prediction method and monitoring system for underground water resource </t>
  </si>
  <si>
    <t>å±±ä¸œçœåœ°çŸ¿å·¥ç¨‹å‹˜å¯Ÿé™¢(å±±ä¸œçœåœ°è´¨çŸ¿äº§å‹˜æŸ¥å¼€å‘å±€å…«ã€‡ä¸€æ°´æ–‡åœ°è´¨å·¥ç¨‹åœ°è´¨å¤§é˜Ÿ)</t>
  </si>
  <si>
    <t>èµµå¿—å¼º, å•æ˜ŽèŸ, æœ±åŸ¹ä»£, æ¯•é›¯é›¯, ä¸å† æ¶›, é«˜å¸…</t>
  </si>
  <si>
    <t>https://patents.google.com/patent/CN117969789B/en</t>
  </si>
  <si>
    <t>CN-215833533-U</t>
  </si>
  <si>
    <t xml:space="preserve">Intelligent diagnosis and accurate positioning device for high-voltage cable state </t>
  </si>
  <si>
    <t>å¹¿å·žå‹æ™ºç”µæ°”æŠ€æœ¯æœ‰é™å…¬å¸</t>
  </si>
  <si>
    <t>æ¬§é˜³å»ºå†›, è¦ƒå»¶ä½³</t>
  </si>
  <si>
    <t>https://patents.google.com/patent/CN215833533U/en</t>
  </si>
  <si>
    <t>https://patentimages.storage.googleapis.com/00/4c/d0/cec42165880622/210511151544.png</t>
  </si>
  <si>
    <t>KR-102417224-B1</t>
  </si>
  <si>
    <t xml:space="preserve">IoT sensor for floating matter detection of water supply system and method of providing water supply information using it </t>
  </si>
  <si>
    <t>ë¶€ê²½ì—”ì§€ë‹ˆì–´ë§ì£¼ì‹íšŒì‚¬</t>
  </si>
  <si>
    <t>êµ¬ìžìš©, êµ¬ì¢…íšŒ, êµ¬ë³¸ê²°</t>
  </si>
  <si>
    <t>https://patents.google.com/patent/KR102417224B1/en</t>
  </si>
  <si>
    <t>https://patentimages.storage.googleapis.com/8d/93/a9/e6dacfcda41e44/112021089124887-pat00001.png</t>
  </si>
  <si>
    <t>CN-214955283-U</t>
  </si>
  <si>
    <t xml:space="preserve">Geological monitoring terminal </t>
  </si>
  <si>
    <t>æ·±åœ³å¸‚å®‰æ³°æ•°æ®ç›‘æµ‹ç§‘æŠ€æœ‰é™å…¬å¸</t>
  </si>
  <si>
    <t>å½’ä¸€æ’, ç¿æµ©é£ž, æœ±ä¿Šæ°, èƒ¡å¿—æ–‡, æŸ³æœ¯æƒ</t>
  </si>
  <si>
    <t>https://patents.google.com/patent/CN214955283U/en</t>
  </si>
  <si>
    <t>https://patentimages.storage.googleapis.com/b5/13/1c/7879ca6d0f00c6/HDA0003065474650000011.png</t>
  </si>
  <si>
    <t>CN-220926412-U</t>
  </si>
  <si>
    <t xml:space="preserve">Intelligent sewage treatment structure for construction site </t>
  </si>
  <si>
    <t>ä¸­å»ºå…«å±€è½¨é“äº¤é€šå»ºè®¾æœ‰é™å…¬å¸</t>
  </si>
  <si>
    <t>æŽæ ‹, éƒ­æ¸…æ¶›, é’Ÿæ¯…, å¼ æ²»é¼Ž, è‹Ÿä¸œ, é˜³æ°, çŽ‹å‘å¥Ž, èµµå…‰å†›, æ•¬ç«£å‡¯, çŽ‹äº¦å˜‰, ä»˜æ™ºå¤š, æŽé£ž</t>
  </si>
  <si>
    <t>https://patents.google.com/patent/CN220926412U/en</t>
  </si>
  <si>
    <t>US-11873628-B2</t>
  </si>
  <si>
    <t xml:space="preserve">Robust water trading and irrigation performance meter measurement system </t>
  </si>
  <si>
    <t>The Board Of Trustees Of The University Of Arkansas</t>
  </si>
  <si>
    <t>Christopher G. Henry</t>
  </si>
  <si>
    <t>https://patents.google.com/patent/US11873628B2/en</t>
  </si>
  <si>
    <t>https://patentimages.storage.googleapis.com/fa/c8/49/e65670f2a89d7d/US11873628-20240116-D00000.png</t>
  </si>
  <si>
    <t>CN-116929487-B</t>
  </si>
  <si>
    <t xml:space="preserve">Underground water level dynamic trend prediction algorithm based on well engineering operation </t>
  </si>
  <si>
    <t>æ¹–åŒ—ç…¤ç‚­åœ°è´¨å‹˜æŸ¥é™¢</t>
  </si>
  <si>
    <t>å¼ å·, æ–‡è°Ÿäº‘, æ¨å¥, æ±ªå°šæ˜€, ç†Šæ˜Œé“¶, æ¨ä»æ¶›, æ²ˆå®å­˜, è‚–æ˜Žå®</t>
  </si>
  <si>
    <t>https://patents.google.com/patent/CN116929487B/en</t>
  </si>
  <si>
    <t>CN-219996233-U</t>
  </si>
  <si>
    <t xml:space="preserve">Small and medium-sized reservoir earth-rock dam integrated safety monitoring system </t>
  </si>
  <si>
    <t>æµ™æ±Ÿå¹¿å·å·¥ç¨‹å’¨è¯¢æœ‰é™å…¬å¸</t>
  </si>
  <si>
    <t>å²ç‡•å—, ä¿žç‚¯å¥‡, èƒ¡æ™“æ˜Ž, ä½•æ³½å…´, éƒ‘å°‘é€¸, å²å¥”éª, è©¹æ•æ°, å½­å¼º</t>
  </si>
  <si>
    <t>https://patents.google.com/patent/CN219996233U/en</t>
  </si>
  <si>
    <t>CN-114965923-B</t>
  </si>
  <si>
    <t xml:space="preserve">Online water quality environment monitoring device convenient to clearance </t>
  </si>
  <si>
    <t>æ±Ÿè‹åŽé£žç”µå­ç§‘æŠ€æœ‰é™å…¬å¸</t>
  </si>
  <si>
    <t>æœæ°¸æŒ¯, ä¹”åˆšçº¢</t>
  </si>
  <si>
    <t>https://patents.google.com/patent/CN114965923B/en</t>
  </si>
  <si>
    <t>CN-218403873-U</t>
  </si>
  <si>
    <t xml:space="preserve">Organic pollution groundwater multiphase is taken out and is mentioned microbial remediation automation intelligent device </t>
  </si>
  <si>
    <t>å®æ­¦é›†å›¢çŽ¯å¢ƒèµ„æºç§‘æŠ€æœ‰é™å…¬å¸, ä¸Šæµ·å®å‘çŽ¯ç§‘æŠ€æœ¯æœ‰é™å…¬å¸</t>
  </si>
  <si>
    <t>åˆ˜å°š, é«˜å«å›½</t>
  </si>
  <si>
    <t>https://patents.google.com/patent/CN218403873U/en</t>
  </si>
  <si>
    <t>https://patentimages.storage.googleapis.com/e8/86/89/b95a2fb649c2ca/HDA0003618138240000011.png</t>
  </si>
  <si>
    <t>CN-118036420-B</t>
  </si>
  <si>
    <t xml:space="preserve">A method and system for estimating the disaster chain of landslide surge impacting floating ships </t>
  </si>
  <si>
    <t>æ­¦æ±‰å¤§å­¦</t>
  </si>
  <si>
    <t>æŽå…¸åº†, è‹æ­£æ´‹, çŽ‹é¡º, è®¸å®µ, éƒ­å“²æ’</t>
  </si>
  <si>
    <t>https://patents.google.com/patent/CN118036420B/en</t>
  </si>
  <si>
    <t>US-12535388-B2</t>
  </si>
  <si>
    <t xml:space="preserve">Apparatus, method and system for assessing field conditions </t>
  </si>
  <si>
    <t>Deere &amp; Company</t>
  </si>
  <si>
    <t>Mandar M. Kale, Rahul G. Gunda, Dipankar D. Dongare</t>
  </si>
  <si>
    <t>https://patents.google.com/patent/US12535388B2/en</t>
  </si>
  <si>
    <t>https://patentimages.storage.googleapis.com/US12535388B2/US12535388-20260127-D00000.png</t>
  </si>
  <si>
    <t>CN-221687043-U</t>
  </si>
  <si>
    <t xml:space="preserve">Soil landslide monitoring and early warning system </t>
  </si>
  <si>
    <t>ä½™é£ž, ç™½é©å­¦, æ¨ç»´ä¿¡, ä¸‡å®å³°, æŽèŠ³å†›</t>
  </si>
  <si>
    <t>https://patents.google.com/patent/CN221687043U/en</t>
  </si>
  <si>
    <t>CN-114964131-B</t>
  </si>
  <si>
    <t xml:space="preserve">A deep foundation pit deformation detection method and device based on BIM technology </t>
  </si>
  <si>
    <t>æˆéƒ½å»ºå·¥ç¬¬ä¸‰å»ºç­‘å·¥ç¨‹æœ‰é™å…¬å¸</t>
  </si>
  <si>
    <t>å¤è‘µ, ä½•æ™“å½¤, é»„å°šç©, å†‰ç»­</t>
  </si>
  <si>
    <t>https://patents.google.com/patent/CN114964131B/en</t>
  </si>
  <si>
    <t>CN-113836775-B</t>
  </si>
  <si>
    <t xml:space="preserve">Heat balance simulation prediction method for ground source heat pump system </t>
  </si>
  <si>
    <t>æ±Ÿè‹çœåœ°è´¨è°ƒæŸ¥ç ”ç©¶é™¢, æ²³æµ·å¤§å­¦</t>
  </si>
  <si>
    <t>æœå»ºå›½, å­£å…‹å…¶, éª†ç¥–æ±Ÿ, å¼ ä¹Ÿ, æˆç£Š</t>
  </si>
  <si>
    <t>https://patents.google.com/patent/CN113836775B/en</t>
  </si>
  <si>
    <t>https://patentimages.storage.googleapis.com/bc/71/0b/fa787d94930e2b/HDA0003295688400000011.png</t>
  </si>
  <si>
    <t>CN-117939482-B</t>
  </si>
  <si>
    <t xml:space="preserve">Wireless network topology establishment method, network and optimal path calculation method </t>
  </si>
  <si>
    <t>æ¢è¶…, èµµé‚¦å›½, è€¿å¤©å®, é­äº®, ç”„é»Žæ˜Ž, æœ±åŠ›, æ±Ÿæ¶›, åˆ˜ç£Š, å¼ å¤§ä¼Ÿ, èµµé™æ–‡, è´ºå¼º, æœ±å®åš, æ¸¸ï¿½æ˜Ž</t>
  </si>
  <si>
    <t>https://patents.google.com/patent/CN117939482B/en</t>
  </si>
  <si>
    <t>CN-117037427-B</t>
  </si>
  <si>
    <t xml:space="preserve">Geological disaster networking monitoring and early warning system </t>
  </si>
  <si>
    <t>æ—ºè‹åŽ¿åœ°è´¨çŽ¯å¢ƒç›‘æµ‹ç«™</t>
  </si>
  <si>
    <t>ä½•ä¸½, ç½—å¯Œ, æ¨çº¢</t>
  </si>
  <si>
    <t>https://patents.google.com/patent/CN117037427B/en</t>
  </si>
  <si>
    <t>CN-119886973-B</t>
  </si>
  <si>
    <t xml:space="preserve">Water quality monitoring and management system and method based on municipal sewage pipeline </t>
  </si>
  <si>
    <t>æ±Ÿè¥¿æ´ªåŸŽæ°´ä¸šçŽ¯ä¿æœ‰é™å…¬å¸</t>
  </si>
  <si>
    <t>å­™æ™“èŠ¬, é­æ¬¢æ¬¢, åˆ˜çŽ‰æ‰¬, è°­æ”¿é’¢, æŽå¤©ç¿”, å®æ¾è¿›, é’Ÿä¸½æ–Œ, åˆ˜å‡¤</t>
  </si>
  <si>
    <t>https://patents.google.com/patent/CN119886973B/en</t>
  </si>
  <si>
    <t>CN-213092515-U</t>
  </si>
  <si>
    <t xml:space="preserve">Landslide monitoring and early warning system based on slope internal stress and strain monitoring </t>
  </si>
  <si>
    <t>æ¹–å—ä¿¡æ¯å­¦é™¢</t>
  </si>
  <si>
    <t>èµµäºš, ä»»çš“å®‡, åˆ˜èŠ³, å½­ç’‡</t>
  </si>
  <si>
    <t>https://patents.google.com/patent/CN213092515U/en</t>
  </si>
  <si>
    <t>https://patentimages.storage.googleapis.com/0c/39/27/78f964026de740/HDA0002732316700000011.png</t>
  </si>
  <si>
    <t>CN-118758453-B</t>
  </si>
  <si>
    <t xml:space="preserve">Freezing construction temperature monitoring system for communication channel </t>
  </si>
  <si>
    <t>ä¸­é“å››å±€é›†å›¢æœ‰é™å…¬å¸, ä¸­é“æŠ•èµ„é›†å›¢æœ‰é™å…¬å¸</t>
  </si>
  <si>
    <t>è’‹ç‡•ä¼Ÿ, é‡‘å¹³, é­æ™ºå¼º, æŽå…ˆé£ž, å´åº”å†›, æŽåº†åŽ, åˆ˜æ°¸è¶…, çŽ‹æ˜Ž, é™ˆå‹‡, é½ä¼Ÿ, ä¾¯è¿ª, å¼ è¾°ç§‘, çŽ‹å³°, è–›åº·</t>
  </si>
  <si>
    <t>https://patents.google.com/patent/CN118758453B/en</t>
  </si>
  <si>
    <t>CN-115760866-B</t>
  </si>
  <si>
    <t xml:space="preserve">Crop drought detection methods based on remote sensing images </t>
  </si>
  <si>
    <t>é’å²›å†œä¸šå¤§å­¦</t>
  </si>
  <si>
    <t>å¼ æ±Ÿå—, æŽå‰é¾™, ç¶¦å®¶è¾‰, å¼ ä¹å¹³, çŽ‹å¿—ä¹‰, å•æ–‡ç¾½, äºŽç‘·æº</t>
  </si>
  <si>
    <t>https://patents.google.com/patent/CN115760866B/en</t>
  </si>
  <si>
    <t>CN-112219702-B</t>
  </si>
  <si>
    <t xml:space="preserve">Vegetable sand culture planting method and planting system thereof </t>
  </si>
  <si>
    <t>å±±ä¸œæ±‡é‡‘æµ·æ™ºæ…§å†œä¸šç ”ç©¶é™¢æœ‰é™å…¬å¸, æ½åŠæ±‡é‡‘æµ·ç‰©è”ç½‘æŠ€æœ¯æœ‰é™å…¬å¸, é’å²›å†œä¸šå¤§å­¦</t>
  </si>
  <si>
    <t>æ¢æ–Œ, å¾å®åˆš, å¾è¿žæ³•</t>
  </si>
  <si>
    <t>https://patents.google.com/patent/CN112219702B/en</t>
  </si>
  <si>
    <t>https://patentimages.storage.googleapis.com/2b/20/31/702be9273fd0b8/201024133637.png</t>
  </si>
  <si>
    <t>CN-121094565-B</t>
  </si>
  <si>
    <t xml:space="preserve">A Multimodal Analysis and Early Warning Decision-Making Method for Mine Environmental Risk </t>
  </si>
  <si>
    <t>è”é€šï¼ˆå±±ä¸œï¼‰äº§ä¸šäº’è”ç½‘æœ‰é™å…¬å¸</t>
  </si>
  <si>
    <t>çŽ‹æ·¼, çŽ‹å¿—ä¼Ÿ, è£ä»¤å®‡, è¿Ÿæ˜Žä», å¼ æ–‡å“²</t>
  </si>
  <si>
    <t>https://patents.google.com/patent/CN121094565B/en</t>
  </si>
  <si>
    <t>CN-115104515-B</t>
  </si>
  <si>
    <t xml:space="preserve">A cloud computing method, cloud computing platform and irrigation terminal for irrigation decision-making based on maximizing rainfall utilization </t>
  </si>
  <si>
    <t>éœå›çŒæº‰å·¥ç¨‹(ä¸Šæµ·)æœ‰é™å…¬å¸</t>
  </si>
  <si>
    <t>éœå†›åŠ›, è´¹æ·‘æ…§</t>
  </si>
  <si>
    <t>https://patents.google.com/patent/CN115104515B/en</t>
  </si>
  <si>
    <t>CN-120931423-B</t>
  </si>
  <si>
    <t xml:space="preserve">A comprehensive evaluation method and system for saline-alkali land improvement based on watershed water-salt balance </t>
  </si>
  <si>
    <t>ä¸­å›½ç§‘å­¦é™¢åœ°ç†ç§‘å­¦ä¸Žèµ„æºç ”ç©¶æ‰€</t>
  </si>
  <si>
    <t>æ¢å®‰å¦®, ä¾¯ç‘žæ˜Ÿ</t>
  </si>
  <si>
    <t>https://patents.google.com/patent/CN120931423B/en</t>
  </si>
  <si>
    <t>CN-118898363-B</t>
  </si>
  <si>
    <t xml:space="preserve">Intelligent operation monitoring system and method for mining power </t>
  </si>
  <si>
    <t>æ— é”¡å†›å·¥æ™ºèƒ½ç”µæ°”è‚¡ä»½æœ‰é™å…¬å¸</t>
  </si>
  <si>
    <t>çŽ‹è”š, æŽå©·, åˆ˜å°ä¸œ, å‘¨é‘«é¾™, å¶æ‰¿å®—</t>
  </si>
  <si>
    <t>https://patents.google.com/patent/CN118898363B/en</t>
  </si>
  <si>
    <t>CN-118987551-B</t>
  </si>
  <si>
    <t xml:space="preserve">Fire emergency water supply control system and method thereof </t>
  </si>
  <si>
    <t>ä¸´æ±¾å¸‚å°§éƒ½åŒºæ–°å˜‰æ˜Ÿç§‘æŠ€æœ‰é™å…¬å¸</t>
  </si>
  <si>
    <t>å´”å®¶å…´, æŽè·ƒèƒœ, å´”å¿—è¶…</t>
  </si>
  <si>
    <t>https://patents.google.com/patent/CN118987551B/en</t>
  </si>
  <si>
    <t>CN-212694553-U</t>
  </si>
  <si>
    <t xml:space="preserve">External-breakage-preventing early warning and warning pile for underground pipeline </t>
  </si>
  <si>
    <t>åŒ—äº¬è¯ºæˆæ–°ç§‘æŠ€æœ‰é™å…¬å¸</t>
  </si>
  <si>
    <t>èµµåº†æž—, èµµæ˜Œæ–‡, å´é™, å­™æ¡‚å‹‡</t>
  </si>
  <si>
    <t>https://patents.google.com/patent/CN212694553U/en</t>
  </si>
  <si>
    <t>https://patentimages.storage.googleapis.com/e7/31/18/b5eb59794bb938/HDA0002601300880000011.png</t>
  </si>
  <si>
    <t>CN-120911980-B</t>
  </si>
  <si>
    <t xml:space="preserve">Construction environment abrupt change risk field prediction method fusing geological meteorological data </t>
  </si>
  <si>
    <t>åŒ—äº¬åŽè”ç”µåŠ›å·¥ç¨‹å’¨è¯¢æœ‰é™å…¬å¸, å›½ç½‘å†€åŒ—ç”µåŠ›æœ‰é™å…¬å¸å·¥ç¨‹ç®¡ç†åˆ†å…¬å¸, å›½å®¶ç”µç½‘æœ‰é™å…¬å¸</t>
  </si>
  <si>
    <t>åˆ˜ä¼Ÿç¥Ž, éƒ‘æ™“æ–Œ, å´å‘ˆå¨, å¼ ç…§é’, å•ä¸½ä¸½, æŽçª, æ®µæ­£é˜³, å”è¶…ç¦, ç½—çŽ®, ç½—æ¯…, å¼ å­å¥, åˆ˜æ‰¬, è°­è¾‰, æœç‡•é›„, æŽæ™º, ç« ç¨‹, é²è¶…, æ¨å«æœˆ, éƒ­è‰¯, æŽä¹ƒæ°‘, æ½˜ä¸€é£ž, æ®µæ˜¥æ˜Ž, å´”å¯’æ¾, é™ˆé¹, é²å…µ, è‹å®‡, å¼ çˆ½, é»‘å˜‰æ¬£, å¼ è¿ª, é«˜é•¿åš</t>
  </si>
  <si>
    <t>https://patents.google.com/patent/CN120911980B/en</t>
  </si>
  <si>
    <t>KR-102598271-B1</t>
  </si>
  <si>
    <t xml:space="preserve">Navigation route optimizing system for movable seawater desalination vessel based on internet of things (iot) water level sensor, and method for the same </t>
  </si>
  <si>
    <t>êµ¬ìž¬ìš±, í™©íƒœë¬¸, ë‚¨ìˆ™í˜„, ê¹€ì€ì£¼, ì‹ ìš©í˜„</t>
  </si>
  <si>
    <t>https://patents.google.com/patent/KR102598271B1/en</t>
  </si>
  <si>
    <t>CN-120951834-B</t>
  </si>
  <si>
    <t xml:space="preserve">Intelligent construction cooperative control method and system for full scene of rail transit </t>
  </si>
  <si>
    <t>å—äº¬åœ°é“è¿è¥æœ‰é™è´£ä»»å…¬å¸</t>
  </si>
  <si>
    <t>å¨„æ ‘è“‰, æ¨æ—­, æœ±ä¼ ç¿”, æ¨æ˜Šå¤</t>
  </si>
  <si>
    <t>https://patents.google.com/patent/CN120951834B/en</t>
  </si>
  <si>
    <t>TW-I744926-B</t>
  </si>
  <si>
    <t xml:space="preserve">Aquaculture system capable of detecting surface environment </t>
  </si>
  <si>
    <t>åœ‹ç«‹è‡ºç£æµ·æ´‹å¤§å­¸</t>
  </si>
  <si>
    <t>å¼µå¿ èª , èŽŠå­£é«˜, åŠ‰æ“Žè¯</t>
  </si>
  <si>
    <t>https://patents.google.com/patent/TWI744926B/en</t>
  </si>
  <si>
    <t>https://patentimages.storage.googleapis.com/63/b0/52/811f71e1c72770/109118109-A0305-03-0001-1.png</t>
  </si>
  <si>
    <t>CN-113917104-B</t>
  </si>
  <si>
    <t xml:space="preserve">Method for monitoring water quality of air-ground integrated mariculture by using unmanned aerial vehicle with winch </t>
  </si>
  <si>
    <t>ä¸­å›½å†œä¸šå¤§å­¦</t>
  </si>
  <si>
    <t>æŽæŒ¯æ³¢, æ¨æ™®, æŽè”šç„¶, å¼ æ¶µé’°, æŽä¸€é¸£, çŽ‹æ³Šå®, å¾å­æ¯“</t>
  </si>
  <si>
    <t>https://patents.google.com/patent/CN113917104B/en</t>
  </si>
  <si>
    <t>https://patentimages.storage.googleapis.com/9b/b9/e3/b94adff2ccce60/HDA0003306501350000011.png</t>
  </si>
  <si>
    <t>KR-102413573-B1</t>
  </si>
  <si>
    <t xml:space="preserve">Apparatus For Measuring Quality Of Water By Depth And Measuring Method </t>
  </si>
  <si>
    <t>ê¹€ë³‘ìš°</t>
  </si>
  <si>
    <t>https://patents.google.com/patent/KR102413573B1/en</t>
  </si>
  <si>
    <t>https://patentimages.storage.googleapis.com/0c/60/b8/1adc84dd426357/112020113443316-pat00001.png</t>
  </si>
  <si>
    <t>CN-218837759-U</t>
  </si>
  <si>
    <t xml:space="preserve">Robot is patrolled and examined in fire control of cloud management and control platform in coordination </t>
  </si>
  <si>
    <t>æ·®åŒ—çŸ¿ä¸š(é›†å›¢)æœ‰é™è´£ä»»å…¬å¸ç‰©ä¸šåˆ†å…¬å¸, æµ™æ±ŸåŽæ¶ˆç§‘æŠ€æœ‰é™å…¬å¸, ä¸­å›½çŸ¿ä¸šå¤§å­¦</t>
  </si>
  <si>
    <t>ä¸é‡‘è™Ž, è·¯æ˜Ž, å§šå°šå†›, å²åˆš, é­å¾ä¼Ÿ, å•èªèª, çŽ‹ï¿½é”‹, çŽ‹è¯—æ˜Ž, å´å°‘é›·, é™ˆæ±Ÿ, æœ±å›½åº†, ä½•è·¯, çŽ‹æ¬£å®‡, ä¾¯å† å®‡</t>
  </si>
  <si>
    <t>https://patents.google.com/patent/CN218837759U/en</t>
  </si>
  <si>
    <t>https://patentimages.storage.googleapis.com/c5/12/0b/76fa89768f7ef8/HDA0004025887390000011.png</t>
  </si>
  <si>
    <t>CN-214122794-U</t>
  </si>
  <si>
    <t xml:space="preserve">Device for controlling underground water motor-pumped well excess production through fixed-point water level sensor </t>
  </si>
  <si>
    <t>æ²³åŒ—çœæ°´èµ„æºç ”ç©¶ä¸Žæ°´åˆ©æŠ€æœ¯è¯•éªŒæŽ¨å¹¿ä¸­å¿ƒ</t>
  </si>
  <si>
    <t>å­™é›ªå³°, æŽå²©</t>
  </si>
  <si>
    <t>https://patents.google.com/patent/CN214122794U/en</t>
  </si>
  <si>
    <t>https://patentimages.storage.googleapis.com/d9/33/1c/63b308bfbce21b/HDA0002969511940000011.png</t>
  </si>
  <si>
    <t>CN-120198241-B</t>
  </si>
  <si>
    <t xml:space="preserve">Salinized farmland protection forest configuration optimization system and method thereof </t>
  </si>
  <si>
    <t>æŽç€šä¹‹, æ¨æ™“æ™–, æŽæ³½ä¸œ, æœ±åª›å›, æ—¶å¿ æ°, å¼ æ™“ï¿½, çŽ‹ä¹, è´¾å¾¡å¤«</t>
  </si>
  <si>
    <t>https://patents.google.com/patent/CN120198241B/en</t>
  </si>
  <si>
    <t>CN-212254239-U</t>
  </si>
  <si>
    <t xml:space="preserve">Based on NB-IoT height-adjustable formula liquid level detection device </t>
  </si>
  <si>
    <t>æ¹–å—ç‰¹è‡´çˆç‰©è”ç§‘æŠ€æœ‰é™å…¬å¸</t>
  </si>
  <si>
    <t>å½­æ‹¯</t>
  </si>
  <si>
    <t>https://patents.google.com/patent/CN212254239U/en</t>
  </si>
  <si>
    <t>https://patentimages.storage.googleapis.com/4a/64/d6/dfe2472ea8ce4d/HDA0002529581860000011.png</t>
  </si>
  <si>
    <t>CN-117990162-B</t>
  </si>
  <si>
    <t xml:space="preserve">Inspection well monitoring device and method based on convolutional neural network </t>
  </si>
  <si>
    <t>æ²³åŒ—å·¥ç¨‹å¤§å­¦</t>
  </si>
  <si>
    <t>ç¨‹æ¥ , é™ˆæ–‡é¾™, å¼ å³¥, ä½•ç«‹æ–°, é›·æ™“è¾‰, é¾™å²©, æ®µæ¸…, çŽ‹äºŒæœ‹, å¼ å®æ´‹, éƒ­å›¾å—</t>
  </si>
  <si>
    <t>https://patents.google.com/patent/CN117990162B/en</t>
  </si>
  <si>
    <t>CN-112355031-B</t>
  </si>
  <si>
    <t xml:space="preserve">Kitchen waste mobile treatment method and kitchen waste mobile treatment equipment </t>
  </si>
  <si>
    <t>åæµçŽ¯å¢ƒç§‘æŠ€è‚¡ä»½æœ‰é™å…¬å¸</t>
  </si>
  <si>
    <t>å‘¨æœ¬ç•™, åˆ˜æˆä¼Ÿ, ç”°çŽ‰å‰, æ±ŸåŸ¹æž—, å¼ é“æ•, è°­å­¦ç¤¼</t>
  </si>
  <si>
    <t>https://patents.google.com/patent/CN112355031B/en</t>
  </si>
  <si>
    <t>CN-116756545-B</t>
  </si>
  <si>
    <t xml:space="preserve">Semi-automatic methods for time series extraction, analysis and functional characterization of karst hydrology </t>
  </si>
  <si>
    <t>ä¸­å›½åœ°è´¨å¤§å­¦ï¼ˆæ­¦æ±‰ï¼‰</t>
  </si>
  <si>
    <t>éƒ­ç»ªç£Š, æ®µå¥‡è£, é™ˆä¸€å¸†, æŽé™é›¯, æ¨åŸ¹åŸ¹, å‘¨å®ï¿½, å¼ è‹é›…, å†µé‡Ž, ç®¡å…ˆå¨, çŽ‹ç‚œç¿”, åˆ˜æ“, åˆ˜æ€¡å¥, ç¨‹å®¶ä¹, æŽæ™“æ…§, æ¬§é˜³èŽ¹, è‘›ä½³æ–‡, å°¤å˜‰çª, å¼ é›¨è²</t>
  </si>
  <si>
    <t>https://patents.google.com/patent/CN116756545B/en</t>
  </si>
  <si>
    <t>CN-218669460-U</t>
  </si>
  <si>
    <t xml:space="preserve">Urban subway construction dewatering system </t>
  </si>
  <si>
    <t>ä¸­é“åä¸€å±€é›†å›¢æœ‰é™å…¬å¸, ä¸­é“åä¸€å±€é›†å›¢åŸŽå¸‚è½¨é“å·¥ç¨‹æœ‰é™å…¬å¸</t>
  </si>
  <si>
    <t>å†¯æ–‡, å­™ç¡•, é™ˆæŸ¯, é¾™å¹¿å±±, å»–å¸…, æŽå­æž—, ç½—æ°´ä¿</t>
  </si>
  <si>
    <t>https://patents.google.com/patent/CN218669460U/en</t>
  </si>
  <si>
    <t>https://patentimages.storage.googleapis.com/ff/d6/69/93f9f84f373ad3/HDA0003979268730000011.png</t>
  </si>
  <si>
    <t>CN-217105328-U</t>
  </si>
  <si>
    <t xml:space="preserve">Natural riverbed percolation water extraction integrated system </t>
  </si>
  <si>
    <t>é­æ°‘, é™ˆæ¡¦, å®‹ç…œ</t>
  </si>
  <si>
    <t>https://patents.google.com/patent/CN217105328U/en</t>
  </si>
  <si>
    <t>https://patentimages.storage.googleapis.com/5d/f1/15/c901c4b20fa9a4/HDA0003117401180000011.png</t>
  </si>
  <si>
    <t>CN-216387023-U</t>
  </si>
  <si>
    <t xml:space="preserve">River course quality of water thing networking monitoring system </t>
  </si>
  <si>
    <t>æŽæ•æ…§</t>
  </si>
  <si>
    <t>æŽæ•æ…§, çŽ‹å®, å¸¸æž«</t>
  </si>
  <si>
    <t>https://patents.google.com/patent/CN216387023U/en</t>
  </si>
  <si>
    <t>https://patentimages.storage.googleapis.com/f3/30/cf/d230429b642a0a/HDA0003317706310000011.png</t>
  </si>
  <si>
    <t>CN-113362586-B</t>
  </si>
  <si>
    <t xml:space="preserve">Wireless monitoring device for road collapse and system thereof </t>
  </si>
  <si>
    <t>https://patents.google.com/patent/CN113362586B/en</t>
  </si>
  <si>
    <t>CN-114925878-B</t>
  </si>
  <si>
    <t xml:space="preserve">A method for predicting the behavior response of foundation soil in power engineering projects </t>
  </si>
  <si>
    <t>æµ™æ±Ÿå·¥ä¸šå¤§å­¦</t>
  </si>
  <si>
    <t>æ½˜å­™çå¾, é™¶è¢é’¦, è™žæ¢¦è²</t>
  </si>
  <si>
    <t>https://patents.google.com/patent/CN114925878B/en</t>
  </si>
  <si>
    <t>KR-102431752-B1</t>
  </si>
  <si>
    <t xml:space="preserve">Safety monitoring system of structures using cctv image recognition technology for 3d markers </t>
  </si>
  <si>
    <t>ì£¼ì‹íšŒì‚¬ í¬ìŠ¤ì½”ê±´ì„¤, ì£¼ì‹íšŒì‚¬ ì§€ì˜¤ë©•ìŠ¤ì†Œí”„íŠ¸</t>
  </si>
  <si>
    <t>ì •ì˜ë„, ì˜ˆì •í¬, ìž¥ìš©ìˆ˜, ìœ ê· í˜¸, ì‹¬ìž¬ë¯¼, ê¹€ì§€ì„±, ì´íš¨ì§„, ê¹€ë³´ë¬µ</t>
  </si>
  <si>
    <t>https://patents.google.com/patent/KR102431752B1/en</t>
  </si>
  <si>
    <t>https://patentimages.storage.googleapis.com/50/a0/5d/8b4f8d3bfd4890/112022048491521-pat00001.png</t>
  </si>
  <si>
    <t>CN-114863645-B</t>
  </si>
  <si>
    <t xml:space="preserve">Geological disaster monitoring and early warning method and system </t>
  </si>
  <si>
    <t>å››å·çœåŽåœ°å»ºè®¾å·¥ç¨‹æœ‰é™è´£ä»»å…¬å¸, å››å·çœåœ°è´¨çŸ¿äº§å‹˜æŸ¥å¼€å‘å±€æˆéƒ½æ°´æ–‡åœ°è´¨å·¥ç¨‹åœ°è´¨ä¸­å¿ƒ</t>
  </si>
  <si>
    <t>é»„åˆš, è¦ƒäº®, åˆ˜åº·æž—, é˜³åš, å”æ¢, æ¨å­¦ä¹‹, å¼ ä¼Ÿ</t>
  </si>
  <si>
    <t>https://patents.google.com/patent/CN114863645B/en</t>
  </si>
  <si>
    <t>https://patentimages.storage.googleapis.com/93/28/02/8477f78b293b06/2206281443501.png</t>
  </si>
  <si>
    <t>US-11604088-B2</t>
  </si>
  <si>
    <t xml:space="preserve">Automated device for in-situ measurements of groundwater fluxes to surface water bodies </t>
  </si>
  <si>
    <t>The Florida State University Research Foundation, Inc.</t>
  </si>
  <si>
    <t>Ming Ye, Kyle A. Compare, Daniel J. Dominguez</t>
  </si>
  <si>
    <t>https://patents.google.com/patent/US11604088B2/en</t>
  </si>
  <si>
    <t>https://patentimages.storage.googleapis.com/b5/20/03/4bb625e97671a3/US11604088-20230314-D00000.png</t>
  </si>
  <si>
    <t>CN-212487473-U</t>
  </si>
  <si>
    <t xml:space="preserve">An IoT flower pot </t>
  </si>
  <si>
    <t>æ­å·žç”µå­ç§‘æŠ€å¤§å­¦</t>
  </si>
  <si>
    <t>æ¢æ–¯å‹‡, æ¬§å†›, è£˜ç¿, éƒ­å®¸, å‘¨æ·³è¾…, ä¸è“, ä¸é¾™ä¸€</t>
  </si>
  <si>
    <t>https://patents.google.com/patent/CN212487473U/en</t>
  </si>
  <si>
    <t>https://patentimages.storage.googleapis.com/90/bc/fb/ab6f1aec44eb85/HDA0002489949050000011.png</t>
  </si>
  <si>
    <t>CN-118967367-B</t>
  </si>
  <si>
    <t xml:space="preserve">A tunnel construction safety remote monitoring method and device </t>
  </si>
  <si>
    <t>ä¸­é“åäºŒå±€é›†å›¢æœ‰é™å…¬å¸, ä¸­é“åäºŒå±€é›†å›¢ç¬¬å››å·¥ç¨‹æœ‰é™å…¬å¸</t>
  </si>
  <si>
    <t>æ²ˆæµ·ç‘ž, å´ç‡•å‡, å¼ æ™“é£ž, å´”è¡åˆš, æŽå»ºå¹³, éš‹æ´ªæ¶›, åˆ˜æ™ºåš</t>
  </si>
  <si>
    <t>https://patents.google.com/patent/CN118967367B/en</t>
  </si>
  <si>
    <t>CN-113916183-B</t>
  </si>
  <si>
    <t xml:space="preserve">PBA structure deformation risk prediction system and application method thereof </t>
  </si>
  <si>
    <t>ä¸­é“ä¸€å±€é›†å›¢ç¬¬äºŒå·¥ç¨‹æœ‰é™å…¬å¸, ä¸­é“åŒ—æ–¹æŠ•èµ„æœ‰é™å…¬å¸, å¤§è¿žæµ·äº‹å¤§å­¦, é•¿æ˜¥å¸‚è½¨é“äº¤é€šé›†å›¢æœ‰é™å…¬å¸, é•¿æ˜¥å¸‚å»ºè®¾å·¥ç¨‹è´¨é‡ç›‘ç£ç«™</t>
  </si>
  <si>
    <t>æŽæ°¸æ˜Ž, é€„æ˜Žå¿, å§œè°™ç”·, å‘¨ç«‹é£ž, å¼ éœ„æ±‰, å¢å®‡, ç©†æ€€åˆš, é™ˆæ±‰å¹³, ä¾¯æ‹‰å¹³, é©¬æ–°å½ª, æ¯•å»ºæˆ, åˆ˜æž—æ¶›, é«˜é‘«æ·¼, æ —å°šå‡¯, çŽ‹æ˜Š</t>
  </si>
  <si>
    <t>https://patents.google.com/patent/CN113916183B/en</t>
  </si>
  <si>
    <t>CN-111747527-B</t>
  </si>
  <si>
    <t xml:space="preserve">Low-concentration village and town sewage treatment method </t>
  </si>
  <si>
    <t>é™ˆå½¤</t>
  </si>
  <si>
    <t>èƒ¡æ¸…, çŽ‹é¦™èŽ², é©¬æž—, å”ä¸€, é™ˆå½¤, å¼ æ¡, åˆ˜æ¬£</t>
  </si>
  <si>
    <t>https://patents.google.com/patent/CN111747527B/en</t>
  </si>
  <si>
    <t>https://patentimages.storage.googleapis.com/47/c1/d8/6391f01f2a2cad/HDA0002574386050000011.png</t>
  </si>
  <si>
    <t>CN-215367357-U</t>
  </si>
  <si>
    <t xml:space="preserve">Foundation pit dewatering monitoring device for water affair management platform </t>
  </si>
  <si>
    <t>å¤©æ´¥å¸‚åŽè½©ç§‘æŠ€å‘å±•æœ‰é™å…¬å¸</t>
  </si>
  <si>
    <t>æŽå­ç‘œ</t>
  </si>
  <si>
    <t>https://patents.google.com/patent/CN215367357U/en</t>
  </si>
  <si>
    <t>https://patentimages.storage.googleapis.com/fc/ff/61/f7f812fadc5078/HDA0002920661760000011.png</t>
  </si>
  <si>
    <t>CN-221785021-U</t>
  </si>
  <si>
    <t xml:space="preserve">Novel fish fertilized egg batched water-saving hatching device </t>
  </si>
  <si>
    <t>å¤©æ´¥å¸‚æ¢æ–°æ°´äº§è‰¯ç§åœº</t>
  </si>
  <si>
    <t>é‡‘ä¸‡æ˜†, é‡‘ä¼šçº¯, é‡‘åŽ</t>
  </si>
  <si>
    <t>https://patents.google.com/patent/CN221785021U/en</t>
  </si>
  <si>
    <t>CN-214895207-U</t>
  </si>
  <si>
    <t xml:space="preserve">Buoy type Internet of things water quality monitoring equipment </t>
  </si>
  <si>
    <t>è¥¿å®‰æ ¼ç½—ç‘žç”µæ°”ç§‘æŠ€æœ‰é™å…¬å¸</t>
  </si>
  <si>
    <t>å¼ ä¸¹ä¸¹</t>
  </si>
  <si>
    <t>https://patents.google.com/patent/CN214895207U/en</t>
  </si>
  <si>
    <t>https://patentimages.storage.googleapis.com/36/45/f9/709dec1f222f27/HDA0002783371780000011.png</t>
  </si>
  <si>
    <t>KR-102504771-B1</t>
  </si>
  <si>
    <t xml:space="preserve">Spreadsheet-based smart water treatment system </t>
  </si>
  <si>
    <t>ì£¼ì‹íšŒì‚¬ ë‰´ì—”</t>
  </si>
  <si>
    <t>ìœ ìŠ¹ì² </t>
  </si>
  <si>
    <t>https://patents.google.com/patent/KR102504771B1/en</t>
  </si>
  <si>
    <t>https://patentimages.storage.googleapis.com/6e/68/c7/ad569fb141c40f/112020136518404-pat00001.png</t>
  </si>
  <si>
    <t>CN-219914667-U</t>
  </si>
  <si>
    <t xml:space="preserve">Airport ground temperature monitoring device in alpine region </t>
  </si>
  <si>
    <t>æ°‘èˆªæœºåœºè§„åˆ’è®¾è®¡ç ”ç©¶æ€»é™¢æœ‰é™å…¬å¸ä¸œåŒ—åˆ†å…¬å¸, æ¹–å—äº¿æµ‹ç‰©è”ä¼ æ„ŸæŠ€æœ¯ç ”å‘æœ‰é™å…¬å¸, æ¼ æ²³æœºåœºæ”¹æ‰©å»ºé¡¹ç›®æŒ‡æŒ¥éƒ¨</t>
  </si>
  <si>
    <t>å´ä¸¹æ³½, å•è¾‰, å€ªè², ä¸çŽ‰æ¢…, æŽçº , è°¢å½©éœž, é™ˆå°”å†›, å¼ æ³¢, éƒå‰‘é›·, è¾›ç»´è¶…</t>
  </si>
  <si>
    <t>https://patents.google.com/patent/CN219914667U/en</t>
  </si>
  <si>
    <t>CN-121003131-B</t>
  </si>
  <si>
    <t xml:space="preserve">Intelligent drip irrigation control system based on real-time soil moisture monitoring </t>
  </si>
  <si>
    <t>è¥¿éƒ¨å†›åž¦(æ´›é˜³)å†œä¸šç§‘æŠ€æœ‰é™å…¬å¸, æ²³å—æ°´çŽ¯å¢ƒå‹˜æµ‹è®¾è®¡æœ‰é™å…¬å¸</t>
  </si>
  <si>
    <t>å¼ æ–‡æ•, èƒ¡ä½œé¾™, èµµå®—é”, æŽåŒæ±Ÿ, çŽ‹ï¿½é”‹, èŒƒæµ·æ³¢, ç‰›å°å†›, å‘¨å»ºæ³¢, åˆ˜æ–‡æ³¢, æˆšè‰³çº¢, åŒ–çŽ‰æ°, å¼ é’°æ£®, çŽ‹åŠŸä¸š, é™ˆæ–‡ç„•, å´”é—¯, è®¸è¿›å­¦</t>
  </si>
  <si>
    <t>https://patents.google.com/patent/CN121003131B/en</t>
  </si>
  <si>
    <t>CN-118641721-B</t>
  </si>
  <si>
    <t xml:space="preserve">Sensor mounting position compensation method and system and sensor calibration method and system </t>
  </si>
  <si>
    <t>æˆéƒ½åšç‘žç§‘ä¼ ç§‘æŠ€æœ‰é™å…¬å¸</t>
  </si>
  <si>
    <t>æ±¤æ±Ÿæ–‡, è®¸æ·‘éœž, å”å‹‡, åˆ˜å­¦è¾‰, æ¨å»ºæ³¢, é‚“å°æ˜Ž, ç« æ–‡, æ–‡çˆ±å¹³, æ›¹æƒ æ¸Š, åˆ˜å®‡çš“</t>
  </si>
  <si>
    <t>https://patents.google.com/patent/CN118641721B/en</t>
  </si>
  <si>
    <t>CN-216664221-U</t>
  </si>
  <si>
    <t xml:space="preserve">Pipe well and monitoring system thereof </t>
  </si>
  <si>
    <t>æ±Ÿè‹ç”³è¾°é€šä¿¡æŠ€æœ¯æœ‰é™å…¬å¸</t>
  </si>
  <si>
    <t>æ®·å»ºä¼Ÿ, èµµåŽ, æœ±é£ž</t>
  </si>
  <si>
    <t>https://patents.google.com/patent/CN216664221U/en</t>
  </si>
  <si>
    <t>https://patentimages.storage.googleapis.com/6d/2d/a2/d2bc6744ecbdb8/HDA0003458243980000011.png</t>
  </si>
  <si>
    <t>CN-114754828-B</t>
  </si>
  <si>
    <t xml:space="preserve">Pressure type fire water meter, control method and device thereof and storage medium </t>
  </si>
  <si>
    <t>æ±ŸèŠ±é›†å›¢æœ‰é™å…¬å¸</t>
  </si>
  <si>
    <t>å§œæ°, å§œè‡ªæˆ, èŽ«è¨€ç”°, å§œå¼€å¾·, å¼ å­¦å¾·, æŽèŒèŒ, å¾èŽ¹èŽ¹, é™ˆæº</t>
  </si>
  <si>
    <t>https://patents.google.com/patent/CN114754828B/en</t>
  </si>
  <si>
    <t>CN-216283478-U</t>
  </si>
  <si>
    <t xml:space="preserve">Tunnel cloud monitoring system based on Internet of things and operation and maintenance system </t>
  </si>
  <si>
    <t>æ­å·žå·¨éªä¿¡æ¯ç§‘æŠ€è‚¡ä»½æœ‰é™å…¬å¸</t>
  </si>
  <si>
    <t>å€ªæ™“ç’, å­™æµ·åŽ, éƒ­èƒ½ä¿Š, é™¶å€©æ•, è‘£çª, å­Ÿåº†é“­, å‘¨é“­æƒ, å‘¨æ°</t>
  </si>
  <si>
    <t>https://patents.google.com/patent/CN216283478U/en</t>
  </si>
  <si>
    <t>https://patentimages.storage.googleapis.com/ce/36/89/fe62d247723864/HDA0003334441830000011.png</t>
  </si>
  <si>
    <t>CN-117743620-B</t>
  </si>
  <si>
    <t xml:space="preserve">Large rock-soil intelligent counting system </t>
  </si>
  <si>
    <t>ä¸­å›½æœ‰è‰²é‡‘å±žå·¥ä¸šæ˜†æ˜Žå‹˜å¯Ÿè®¾è®¡ç ”ç©¶é™¢æœ‰é™å…¬å¸, åŒ—äº¬ç†æ­£è½¯ä»¶è‚¡ä»½æœ‰é™å…¬å¸</t>
  </si>
  <si>
    <t>çœ­ç´ åˆš, é‚¹å›½å¯Œ, åˆ˜æ–‡è¿ž, æŽé¹</t>
  </si>
  <si>
    <t>https://patents.google.com/patent/CN117743620B/en</t>
  </si>
  <si>
    <t>CN-117957363-B</t>
  </si>
  <si>
    <t xml:space="preserve">Heat pump system and operation method thereof </t>
  </si>
  <si>
    <t>æƒ ç‰¹å…‹å·¥ç¨‹ï¼ˆæ–¯é€šé»‘æ–‡ï¼‰æœ‰é™å…¬å¸</t>
  </si>
  <si>
    <t>è‚¯å°¼æ€Â·æƒ ç‰¹å…‹, åŸºæ€Â·æ ¼é›·åŽ„å§†Â·ç“¦ç‰¹, é©¬è’‚äºšæ–¯Â·æ ¼æ‹‰æ–¯çº³</t>
  </si>
  <si>
    <t>https://patents.google.com/patent/CN117957363B/en</t>
  </si>
  <si>
    <t>CN-119761076-B</t>
  </si>
  <si>
    <t xml:space="preserve">Method and system for optimizing construction scheme of entrance and exit of oversized-section tunnel </t>
  </si>
  <si>
    <t>æ±Ÿè¥¿çœäº¤é€šæŠ•èµ„é›†å›¢æœ‰é™è´£ä»»å…¬å¸, åŽä¸œäº¤é€šå¤§å­¦, æµ™æ±Ÿäº¤å·¥é›†å›¢è‚¡ä»½æœ‰é™å…¬å¸</t>
  </si>
  <si>
    <t>é»„æ–‡çº¢, å¾æ¾, å¾é•¿èŠ‚, é¾šå¤©åŒ, éƒ‘å‡¤æ›², ä½•å»ºå›½, çŸ³é’°é”‹, å¥‰å°åŽ, æœ±ç¢§å ‚</t>
  </si>
  <si>
    <t>https://patents.google.com/patent/CN119761076B/en</t>
  </si>
  <si>
    <t>CN-119047938-B</t>
  </si>
  <si>
    <t xml:space="preserve">Urban waterlogging disaster prevention and control method and system </t>
  </si>
  <si>
    <t>ä¸­ç”µå»ºç”Ÿæ€çŽ¯å¢ƒé›†å›¢æœ‰é™å…¬å¸, æ·±åœ³å¸‚åŽæµ©æ·¼æ°´ç”Ÿæ€çŽ¯å¢ƒæŠ€æœ¯ç ”ç©¶é™¢</t>
  </si>
  <si>
    <t>å­™åŠ é¾™, å®‹äº‘é¾™, å¼ æ™¶, æŽèŠ¸æºª, æŸ¯é›ªæ¾</t>
  </si>
  <si>
    <t>https://patents.google.com/patent/CN119047938B/en</t>
  </si>
  <si>
    <t>CN-114635672-B</t>
  </si>
  <si>
    <t xml:space="preserve">Shale gas downhole production dynamic monitoring method and system </t>
  </si>
  <si>
    <t>ä¸­å›½çŸ³æ²¹å¤©ç„¶æ°”é›†å›¢æœ‰é™å…¬å¸, ä¸­å›½çŸ³æ²¹é›†å›¢å·åº†é’»æŽ¢å·¥ç¨‹æœ‰é™å…¬å¸</t>
  </si>
  <si>
    <t>åºžä¸œæ™“, éŸ©é›„, è¡¥æˆä¸­, æŽæžæž—, æŽæ²»é’¢, ä½•è¶…, çŽ‹å¿—æ•, å¢é½, é»„å´‡å›, å”è´µ, æŽä¼Ÿæˆ, æ¨æ™“å³°</t>
  </si>
  <si>
    <t>https://patents.google.com/patent/CN114635672B/en</t>
  </si>
  <si>
    <t>CN-113095646-B</t>
  </si>
  <si>
    <t xml:space="preserve">Shale gas exploitation step water cyclic utilization intelligent system </t>
  </si>
  <si>
    <t>ä½•ç†, å¶å¨</t>
  </si>
  <si>
    <t>https://patents.google.com/patent/CN113095646B/en</t>
  </si>
  <si>
    <t>https://patentimages.storage.googleapis.com/36/3d/a6/0ba2d34a881e62/HDA0003002390360000011.png</t>
  </si>
  <si>
    <t>CN-119918755-B</t>
  </si>
  <si>
    <t xml:space="preserve">Agricultural non-point source pollution early warning method and system, and electronic equipment </t>
  </si>
  <si>
    <t>éŸ©è‡ªçŽ‰, å”æ¶›, é—«é“æŸ±, é©¬è¯—è¿œ, åˆ˜è‘›æ½¼</t>
  </si>
  <si>
    <t>https://patents.google.com/patent/CN119918755B/en</t>
  </si>
  <si>
    <t>CN-111579744-B</t>
  </si>
  <si>
    <t xml:space="preserve">Water quality monitoring device </t>
  </si>
  <si>
    <t>æ±Ÿè‹çœä¸œå°ä¸­ç­‰ä¸“ä¸šå­¦æ ¡</t>
  </si>
  <si>
    <t>é’±é£ž, é™ˆå°äº‘, æ²ˆä¿Š, å‘¨ç²‰åŽ, é™ˆå©·å©·, ä½•ç¡•, è®¸é£žé£ž, çŽ‹å©·, è´¾å¿ƒå®‡</t>
  </si>
  <si>
    <t>https://patents.google.com/patent/CN111579744B/en</t>
  </si>
  <si>
    <t>https://patentimages.storage.googleapis.com/95/b6/14/0e7b75f90efa5b/HDA0002513206500000011.png</t>
  </si>
  <si>
    <t>CN-214175270-U</t>
  </si>
  <si>
    <t xml:space="preserve">Shale gas environmental protection monitoring and environment early warning system based on internet of things </t>
  </si>
  <si>
    <t>ä¸­ç…¤ç§‘å·¥é‡åº†è®¾è®¡ç ”ç©¶é™¢(é›†å›¢)æœ‰é™å…¬å¸</t>
  </si>
  <si>
    <t>å†¯æ–Œ, èƒ¡æµ·å³°, çŽ‹æ¶¦æ³½, å¾æ•, è°­æµ©, è©¹çˆ±å¹³</t>
  </si>
  <si>
    <t>https://patents.google.com/patent/CN214175270U/en</t>
  </si>
  <si>
    <t>https://patentimages.storage.googleapis.com/a1/5e/49/6307360fa0c60b/HDA0002824207500000011.png</t>
  </si>
  <si>
    <t>US-12180677-B2</t>
  </si>
  <si>
    <t xml:space="preserve">Landscape channeling using an autonomous robotic soil dredger </t>
  </si>
  <si>
    <t>International Business Machines Corporation</t>
  </si>
  <si>
    <t>Partho Ghosh, Sarbajit K. Rakshit, Akash U. Dhoot</t>
  </si>
  <si>
    <t>https://patents.google.com/patent/US12180677B2/en</t>
  </si>
  <si>
    <t>https://patentimages.storage.googleapis.com/25/4e/a3/751544e8c8024e/US12180677-20241231-D00000.png</t>
  </si>
  <si>
    <t>CN-212986795-U</t>
  </si>
  <si>
    <t xml:space="preserve">Can fix a position way weeping and detect serial number water tray based on thing networking wireless transmission </t>
  </si>
  <si>
    <t>å¤§è¿žæ°‘æ—å¤§å­¦, å¤§è¿žå¸‚äº‘ä»™å¼•äº’è”ç½‘æœåŠ¡æœ‰é™å…¬å¸</t>
  </si>
  <si>
    <t>æŽé‡‘ä»“, æ±ªè¯­å“², åˆ˜é‡‘å²©, é»„ä¸€å©·, é«˜åƒå–œ</t>
  </si>
  <si>
    <t>https://patents.google.com/patent/CN212986795U/en</t>
  </si>
  <si>
    <t>https://patentimages.storage.googleapis.com/4c/58/8c/0ef60e9cb660b7/HDA0002476344930000011.png</t>
  </si>
  <si>
    <t>CN-217132738-U</t>
  </si>
  <si>
    <t xml:space="preserve">Automatic evaporation and concentration device for liquid sample </t>
  </si>
  <si>
    <t>å¹¿ä¸œçœçŽ¯å¢ƒè¾å°„ç›‘æµ‹ä¸­å¿ƒ</t>
  </si>
  <si>
    <t>é™ˆæ–‡æ¶›, éƒ­å°æ•, å‘¨ç¿ä¸œ, æ¢æ¡‚æ¸Š, å´æ¡‚æ ‡, é‚“é¢–è¯—</t>
  </si>
  <si>
    <t>https://patents.google.com/patent/CN217132738U/en</t>
  </si>
  <si>
    <t>https://patentimages.storage.googleapis.com/bf/5f/be/8e641b96b33080/HDA0003543966440000011.png</t>
  </si>
  <si>
    <t>US-12392927-B1</t>
  </si>
  <si>
    <t xml:space="preserve">Methods and systems for allocation of flood sensors via distributed parameter flood modeling </t>
  </si>
  <si>
    <t>Deovrat Kakde, Rajendra Singh Solanki, Tyson Echentile</t>
  </si>
  <si>
    <t>https://patents.google.com/patent/US12392927B1/en</t>
  </si>
  <si>
    <t>https://patentimages.storage.googleapis.com/US12392927B1/US12392927-20250819-D00000.png</t>
  </si>
  <si>
    <t>CN-212083405-U</t>
  </si>
  <si>
    <t xml:space="preserve">Water quality monitoring device based on Internet of things </t>
  </si>
  <si>
    <t>å¹¿ä¸œç‘žæ™®ç§‘æŠ€è‚¡ä»½æœ‰é™å…¬å¸</t>
  </si>
  <si>
    <t>è°¢æ¶›</t>
  </si>
  <si>
    <t>https://patents.google.com/patent/CN212083405U/en</t>
  </si>
  <si>
    <t>https://patentimages.storage.googleapis.com/46/fa/31/d4c0f46f3d53ca/HDA0002412988900000011.png</t>
  </si>
  <si>
    <t>CN-111869546-B</t>
  </si>
  <si>
    <t xml:space="preserve">Irrigation equipment based on thing networking </t>
  </si>
  <si>
    <t>æ·±å†œç»¿èˆŸ(æ·±åœ³)ç”Ÿæ€ç§‘æŠ€æœ‰é™å…¬å¸</t>
  </si>
  <si>
    <t>è©¹ç‘žäº‘</t>
  </si>
  <si>
    <t>https://patents.google.com/patent/CN111869546B/en</t>
  </si>
  <si>
    <t>https://patentimages.storage.googleapis.com/77/0f/df/771f8fb3a95b73/HDA0002587027700000011.png</t>
  </si>
  <si>
    <t>CN-118800044-B</t>
  </si>
  <si>
    <t xml:space="preserve">Automatic monitoring method for radioactive tailing pond based on multi-source heterogeneous data fusion </t>
  </si>
  <si>
    <t>æ ¸å·¥ä¸šèˆªæµ‹é¥æ„Ÿä¸­å¿ƒ</t>
  </si>
  <si>
    <t>æŽäº‘æ¶›, ä¼¦æ›´æ°¸, æ¢å››å¹º, æŽèŒ‚æ£®, æ¨å½¦è¶…, æ¨æµ·æˆ, å¼ å®‡, ç©†å¶ç…Š, å°¤ä¾æ¸…, æŽä¼Ÿ</t>
  </si>
  <si>
    <t>https://patents.google.com/patent/CN118800044B/en</t>
  </si>
  <si>
    <t>CN-213357050-U</t>
  </si>
  <si>
    <t xml:space="preserve">Groundwater repair system </t>
  </si>
  <si>
    <t>å®‰å¾½å›½ç¥¯çŽ¯å¢ƒä¿®å¤è‚¡ä»½æœ‰é™å…¬å¸</t>
  </si>
  <si>
    <t>æŽä¼Ÿå¹³, çŽ‹å»ºé£ž, è°¢è£ç„•, å®‹éªæ°, æŽå®é“¸, å¤æ™“æ­¦, çŽ‹æ², å¤å¤ªä¿</t>
  </si>
  <si>
    <t>https://patents.google.com/patent/CN213357050U/en</t>
  </si>
  <si>
    <t>https://patentimages.storage.googleapis.com/b3/75/e7/26107321659a91/HDA0002582437160000011.png</t>
  </si>
  <si>
    <t>CN-113433867-B</t>
  </si>
  <si>
    <t xml:space="preserve">Remote monitoring device for hydraulic engineering construction based on Internet of things </t>
  </si>
  <si>
    <t>æ±Ÿè‹æ·®é˜´æ°´åˆ©å»ºè®¾æœ‰é™å…¬å¸</t>
  </si>
  <si>
    <t>è’‹ä¸€æ³¢, å­™å¨Ÿ, çŽ‹æˆ, é™ˆå¸…, é»„å®‡, è’‹å…‰æˆ, é™ˆå—, æœ±ä¹‰ä¿Š</t>
  </si>
  <si>
    <t>https://patents.google.com/patent/CN113433867B/en</t>
  </si>
  <si>
    <t>https://patentimages.storage.googleapis.com/75/00/ed/544adef3c484bc/HDA0003161737690000011.png</t>
  </si>
  <si>
    <t>CN-112854294-B</t>
  </si>
  <si>
    <t xml:space="preserve">Site monitoring hydraulic engineering greening retaining wall based on Internet of things </t>
  </si>
  <si>
    <t>å²©æŠ•(ç¦å»º)å»ºè®¾æœ‰é™å…¬å¸</t>
  </si>
  <si>
    <t>æˆ´æœ‰åˆ©</t>
  </si>
  <si>
    <t>https://patents.google.com/patent/CN112854294B/en</t>
  </si>
  <si>
    <t>https://patentimages.storage.googleapis.com/4e/95/3d/3dda3ed2e05a85/HDA0002901574980000011.png</t>
  </si>
  <si>
    <t>CN-211505483-U</t>
  </si>
  <si>
    <t xml:space="preserve">Urban rainwater collection monitoring system based on Internet of things </t>
  </si>
  <si>
    <t>æµ™æ±Ÿäº”æ°´çŽ¯å¢ƒå·¥ç¨‹æœ‰é™å…¬å¸</t>
  </si>
  <si>
    <t>å¾å†›, å± æ±‰æ»¨, å¾é¾™æµ·, èŒƒä½³ä¹, æŽå…ˆå³°</t>
  </si>
  <si>
    <t>https://patents.google.com/patent/CN211505483U/en</t>
  </si>
  <si>
    <t>https://patentimages.storage.googleapis.com/5a/14/a0/337544468e3f1c/HDA0002360893200000011.png</t>
  </si>
  <si>
    <t>CN-115422782-B</t>
  </si>
  <si>
    <t xml:space="preserve">Flood forecasting system based on hydrological model </t>
  </si>
  <si>
    <t>åŒ—äº¬æ’æ¶¦å®‰ç§‘æŠ€æœ‰é™å…¬å¸</t>
  </si>
  <si>
    <t>æŽå»ºæ˜Ž</t>
  </si>
  <si>
    <t>https://patents.google.com/patent/CN115422782B/en</t>
  </si>
  <si>
    <t>https://patentimages.storage.googleapis.com/10/95/f3/f57d0188eaa306/2210171030301.png</t>
  </si>
  <si>
    <t>CN-212304286-U</t>
  </si>
  <si>
    <t xml:space="preserve">Intelligent power Internet of things power distribution cabinet </t>
  </si>
  <si>
    <t>å±±ä¸œæ´›å…‹ç¾Žæ£®æ™ºèƒ½ç”µæ°”æœ‰é™å…¬å¸</t>
  </si>
  <si>
    <t>å¼ æ·¼, åˆ˜æ–‡æ°</t>
  </si>
  <si>
    <t>https://patents.google.com/patent/CN212304286U/en</t>
  </si>
  <si>
    <t>https://patentimages.storage.googleapis.com/fa/6b/7a/2e9f8ec803b0e0/HDA0002570093890000011.png</t>
  </si>
  <si>
    <t>CN-113987948-B</t>
  </si>
  <si>
    <t xml:space="preserve">Intelligent measuring and calculating method and system for outlet water flow of pump station </t>
  </si>
  <si>
    <t>æ±Ÿè‹å››è”æ°´åŠ¡ç§‘æŠ€æœ‰é™å…¬å¸</t>
  </si>
  <si>
    <t>æ–½ä¸œæµ·, èµµå…´ç£Š, æˆ´ç‚œ, å‘¨ç§‹äº‘, åˆ˜ç³å¨Ÿ, æ²ˆæ—­</t>
  </si>
  <si>
    <t>https://patents.google.com/patent/CN113987948B/en</t>
  </si>
  <si>
    <t>https://patentimages.storage.googleapis.com/48/47/ee/76ba19b94c380a/HDA0003335203360000011.png</t>
  </si>
  <si>
    <t>CN-211955453-U</t>
  </si>
  <si>
    <t xml:space="preserve">Water environment monitoring device based on Internet of things </t>
  </si>
  <si>
    <t>åŒ—äº¬è‹±ç¿è¾¾åŒæ–°ç§‘æŠ€å‘å±•æœ‰é™å…¬å¸</t>
  </si>
  <si>
    <t>åˆ˜ç¾Žä¸½, å‘å»ºå…µ, æŽç¦¹ç«¹</t>
  </si>
  <si>
    <t>https://patents.google.com/patent/CN211955453U/en</t>
  </si>
  <si>
    <t>https://patentimages.storage.googleapis.com/c4/74/d1/fc4786279a90ed/HDA0002490085070000011.png</t>
  </si>
  <si>
    <t>CN-213306426-U</t>
  </si>
  <si>
    <t xml:space="preserve">Multi-functional wisdom flower case </t>
  </si>
  <si>
    <t>å››å·å¤©è‰ºä¼˜å¢ƒçŽ¯å¢ƒç§‘æŠ€æœ‰é™å…¬å¸, å››å·å¤©è‰ºç”Ÿæ€å›­æž—é›†å›¢è‚¡ä»½æœ‰é™å…¬å¸</t>
  </si>
  <si>
    <t>å•å¥‡é¾™, ä½•ä¼Ÿ, çŽ‹ä¸½å¨œ, æŽé’é’, åˆ˜æ•å¥Ž</t>
  </si>
  <si>
    <t>https://patents.google.com/patent/CN213306426U/en</t>
  </si>
  <si>
    <t>https://patentimages.storage.googleapis.com/a1/95/ac/98206b794ef6b0/HDA0002648111080000011.png</t>
  </si>
  <si>
    <t>KR-102854506-B1</t>
  </si>
  <si>
    <t xml:space="preserve">System for monitoring drainage pump stations based on artificial intelligence (ai), and method for the same </t>
  </si>
  <si>
    <t>í™©íƒœë¬¸, ê¹€ì€ì£¼, ë‚¨ìˆ™í˜„, êµ¬ìž¬ìš±, ê³„í˜¸ë¯¼</t>
  </si>
  <si>
    <t>https://patents.google.com/patent/KR102854506B1/en</t>
  </si>
  <si>
    <t>EP-4148277-B1</t>
  </si>
  <si>
    <t xml:space="preserve">Sump pump system and method </t>
  </si>
  <si>
    <t>Pentair, Inc.</t>
  </si>
  <si>
    <t>Hassan Khalid, Brian Broga, Bill HINZ, Matt Meyer, Deelep GUPTA, Aditya Sharma, Shijin JOSEPH</t>
  </si>
  <si>
    <t>https://patents.google.com/patent/EP4148277B1/en</t>
  </si>
  <si>
    <t>https://patentimages.storage.googleapis.com/d1/ad/43/e1709e843d560f/imgf0001.png</t>
  </si>
  <si>
    <t>EP-4471703-B1</t>
  </si>
  <si>
    <t xml:space="preserve">Estimating flexible credit eligibility and disbursement schedule using non-fungible tokens (nfts) of agricultural assets </t>
  </si>
  <si>
    <t>Tata Consultancy Services Limited</t>
  </si>
  <si>
    <t>Jayantrao Mohite, Dineshkumar SINGH, Suryakant Ashok SAWANT, Vaibhav Sadashiv Lonkar, Salim Hamsa, Harshal Jain, Ravinkumar Sivalingam, Srinivasu Pappula</t>
  </si>
  <si>
    <t>https://patents.google.com/patent/EP4471703B1/en</t>
  </si>
  <si>
    <t>CN-113404487-B</t>
  </si>
  <si>
    <t xml:space="preserve">Intelligent monitoring device for stratum well wall freezing profile based on Internet of things </t>
  </si>
  <si>
    <t>è´¾ç¢§å›</t>
  </si>
  <si>
    <t>https://patents.google.com/patent/CN113404487B/en</t>
  </si>
  <si>
    <t>https://patentimages.storage.googleapis.com/6f/c7/8d/6deefd2454ef59/210720145257.png</t>
  </si>
  <si>
    <t>US-12503840-B2</t>
  </si>
  <si>
    <t xml:space="preserve">Cleaning apparatus and a method for cleaning of hand of a user </t>
  </si>
  <si>
    <t>Leigh Rothschild</t>
  </si>
  <si>
    <t>https://patents.google.com/patent/US12503840B2/en</t>
  </si>
  <si>
    <t>https://patentimages.storage.googleapis.com/US12503840B2/US12503840-20251223-D00000.png</t>
  </si>
  <si>
    <t>CN-116573830-B</t>
  </si>
  <si>
    <t xml:space="preserve">Ecological dredged sediment temperature-pressure coupled thermal phase change dewatering and drying system and method </t>
  </si>
  <si>
    <t>ä¸­äº¤ï¼ˆå¤©æ´¥ï¼‰ç”Ÿæ€çŽ¯ä¿è®¾è®¡ç ”ç©¶é™¢æœ‰é™å…¬å¸</t>
  </si>
  <si>
    <t>è‘£å…ˆé”‹, èƒ¡ä¿å®‰, æ›¹å‡¯, å¼ ç, æŽç´ æ±Ÿ, å¼ å‹‡, ç¨‹ç‘¾, å´çŽ‰æ¶›, è´¾å¿—è¿œ, æŽè¶…, ç¥å…ƒè¥, çŽ‹å¤©ç¥¥</t>
  </si>
  <si>
    <t>https://patents.google.com/patent/CN116573830B/en</t>
  </si>
  <si>
    <t>CN-112554867-B</t>
  </si>
  <si>
    <t xml:space="preserve">A recyclable embedded sensor installation and fixing system and installation method </t>
  </si>
  <si>
    <t>ä¸­å—å¤§å­¦</t>
  </si>
  <si>
    <t>èµµèªèª, å‘¨å­é¾™, è”¡é‘«, èŠ®è‰ºè¶…, å¼ å‡, çŽ‹æŒ¯, è¢èˆª</t>
  </si>
  <si>
    <t>https://patents.google.com/patent/CN112554867B/en</t>
  </si>
  <si>
    <t>https://patentimages.storage.googleapis.com/01/05/d9/9912ae1f208766/201218105836.png</t>
  </si>
  <si>
    <t>CN-119886463-B</t>
  </si>
  <si>
    <t xml:space="preserve">Water Conservancy Project Management System Based on GIS </t>
  </si>
  <si>
    <t>å››å·çœéƒ½æ±Ÿå °æ°´åˆ©å‘å±•ä¸­å¿ƒ, æ±Ÿè‹æ—­ç”µè‡ªåŠ¨åŒ–å·¥ç¨‹æœ‰é™å…¬å¸</t>
  </si>
  <si>
    <t>å‘¨æŽå†›, æœ±æ˜¯, æ¨éŸ¬, æ¨ä¿Šï¿½, æ›¾å‹, æ–¹ä¸½, è‰¾è², å¾é˜³</t>
  </si>
  <si>
    <t>https://patents.google.com/patent/CN119886463B/en</t>
  </si>
  <si>
    <t>CN-118861943-B</t>
  </si>
  <si>
    <t xml:space="preserve">Survey and drawing execution supervision system based on geological survey engineering </t>
  </si>
  <si>
    <t>å±±ä¸œçœåœ°è´¨çŸ¿äº§å‹˜æŸ¥å¼€å‘å±€ç¬¬ä¸ƒåœ°è´¨å¤§é˜Ÿï¼ˆå±±ä¸œçœç¬¬ä¸ƒåœ°è´¨çŸ¿äº§å‹˜æŸ¥é™¢ï¼‰</t>
  </si>
  <si>
    <t>æ¨çŽ‰é‘«, æœæ­£å¼º, è†å¸¸å®½, é™ˆæ–‡æ¶›</t>
  </si>
  <si>
    <t>https://patents.google.com/patent/CN118861943B/en</t>
  </si>
  <si>
    <t>CN-120520273-B</t>
  </si>
  <si>
    <t xml:space="preserve">Construction method for monitoring wells based on the Internet of Things </t>
  </si>
  <si>
    <t>é™•è¥¿çœæ°´å·¥çŽ¯åœ°è´¨è°ƒæŸ¥ä¸­å¿ƒ</t>
  </si>
  <si>
    <t>å¼ åŸ¹æ ‹, éƒ‘å°é”‹, å¼ èˆªæ³Š, æ®µæµ·å¦®, èµµæ±Ÿé¾™</t>
  </si>
  <si>
    <t>https://patents.google.com/patent/CN120520273B/en</t>
  </si>
  <si>
    <t>CN-118724096-B</t>
  </si>
  <si>
    <t xml:space="preserve">A wastewater pipe network zoned source tracing control system and its control method </t>
  </si>
  <si>
    <t>è®¸æ˜Ž, èµµä¹‹æ·‡, å€ªæ°¸å¿—, æ½˜ä¸žç‘œ, æ›¹èŽ‰é›¯, é™ˆæ¢¦å‡¯</t>
  </si>
  <si>
    <t>https://patents.google.com/patent/CN118724096B/en</t>
  </si>
  <si>
    <t>CN-119409298-B</t>
  </si>
  <si>
    <t xml:space="preserve">Dephosphorization and defluorination medicament and preparation method thereof </t>
  </si>
  <si>
    <t>è´µå·žçœçŽ¯å¢ƒç§‘å­¦ç ”ç©¶è®¾è®¡é™¢</t>
  </si>
  <si>
    <t>æœ±å½¬, é»Žä¼Ÿ, é¾šæ•ˆå®‡, å¼ é‡ä¹¾, æœ±ä»¤, çŽ‹ç¨‹ç¨‹, é»„ä»£å®½, å¾ç£Š, è°¢è”šåµ©, å¼ å°‘å‰‘, å®‰æ€å±, çŽ‹å…ƒæ¶›, å¶æ¨‘é”´</t>
  </si>
  <si>
    <t>https://patents.google.com/patent/CN119409298B/en</t>
  </si>
  <si>
    <t>CN-114636612-B</t>
  </si>
  <si>
    <t xml:space="preserve">Automatic evaporation concentration device and method for liquid sample </t>
  </si>
  <si>
    <t>å¹¿ä¸œçœçŽ¯å¢ƒè¾å°„ç›‘æµ‹ä¸Žæ ¸åº”æ€¥å“åº”æŠ€æœ¯æ”¯æŒä¸­å¿ƒ</t>
  </si>
  <si>
    <t>é™ˆæ–‡æ¶›, éƒ­å°æ•, å‘¨ç¿ä¸œ, æ¢è´µæ¸Š, å´æ¡‚æ ‡, é‚“é¢–è¯—</t>
  </si>
  <si>
    <t>https://patents.google.com/patent/CN114636612B/en</t>
  </si>
  <si>
    <t>CN-212127903-U</t>
  </si>
  <si>
    <t xml:space="preserve">Container formula integration sewage treatment system </t>
  </si>
  <si>
    <t>åŒ—äº¬å®‰åŠ›æ–¯çŽ¯å¢ƒç§‘æŠ€è‚¡ä»½æœ‰é™å…¬å¸</t>
  </si>
  <si>
    <t>å®‹ç»´é‡‘, é’Ÿé™, æŽå»ºå¼º, ä½•ä¹‰</t>
  </si>
  <si>
    <t>https://patents.google.com/patent/CN212127903U/en</t>
  </si>
  <si>
    <t>https://patentimages.storage.googleapis.com/59/f1/88/540feb89bd88ec/HDA0002437018520000011.png</t>
  </si>
  <si>
    <t>US-12411121-B2</t>
  </si>
  <si>
    <t xml:space="preserve">Predictive alerting and cutoff of hazardous water flow </t>
  </si>
  <si>
    <t>Dharma Teja Atluri, Siddhartha Sood, Santanu Ghosh, Snehasish Ghosh</t>
  </si>
  <si>
    <t>https://patents.google.com/patent/US12411121B2/en</t>
  </si>
  <si>
    <t>https://patentimages.storage.googleapis.com/US12411121B2/US12411121-20250909-D00000.png</t>
  </si>
  <si>
    <t>CN-220120140-U</t>
  </si>
  <si>
    <t xml:space="preserve">Urban road and buried water supply and drainage pipeline collaborative detection device </t>
  </si>
  <si>
    <t>ä¸­äº¤ä¸Šæµ·èˆªé“å‹˜å¯Ÿè®¾è®¡ç ”ç©¶é™¢æœ‰é™å…¬å¸</t>
  </si>
  <si>
    <t>å­™å‹‡, è‘£çŽ‰è¶…, å­™æµ©éœ–, æŽæ–‡å®, ä¾¯æµ·ä¼Ÿ, å­™åŽæ°‘, æ¡‘æž—æž—, è”¡æ™¨é›¨</t>
  </si>
  <si>
    <t>https://patents.google.com/patent/CN220120140U/en</t>
  </si>
  <si>
    <t>CN-218066850-U</t>
  </si>
  <si>
    <t xml:space="preserve">Packaging structure applied to osmometer </t>
  </si>
  <si>
    <t>ä¸Šæµ·ç±³åº¦æµ‹æŽ§ç§‘æŠ€æœ‰é™å…¬å¸</t>
  </si>
  <si>
    <t>é©¬æŸ¯, æ®µå†°å¼º, é«˜å¼€å¼º, æŽæ”¿è½², å´ç« , é«˜å…¨æ–Œ</t>
  </si>
  <si>
    <t>https://patents.google.com/patent/CN218066850U/en</t>
  </si>
  <si>
    <t>https://patentimages.storage.googleapis.com/77/66/6f/33b69f22cb74c3/HDA0003857711100000011.png</t>
  </si>
  <si>
    <t>CN-215832652-U</t>
  </si>
  <si>
    <t xml:space="preserve">Stress displacement monitoring system for constructing horizontal and long pile foundations of bridge pile foundation </t>
  </si>
  <si>
    <t>å—äº¬å·¥ä¸šå¤§å­¦, æµ·å®å¸‚é¾™èˆŸæ¸¯èˆªæŠ€è´¸å‘å±•æœ‰é™å…¬å¸, ä¸­äº¤ä¸€å…¬å±€é›†å›¢æœ‰é™å…¬å¸, æµ™æ±Ÿé¼Žç››äº¤é€šå»ºè®¾æœ‰é™å…¬å¸</t>
  </si>
  <si>
    <t>åˆ˜å¥, æ²ˆè‘³, éŸ©æµ·, æŽé”‹, è°·é›·é›·, å¾å“², å´å¿—åš</t>
  </si>
  <si>
    <t>https://patents.google.com/patent/CN215832652U/en</t>
  </si>
  <si>
    <t>https://patentimages.storage.googleapis.com/cb/dd/48/d46c64459a0da0/210907103715.png</t>
  </si>
  <si>
    <t>CN-211824550-U</t>
  </si>
  <si>
    <t xml:space="preserve">Early warning device for subway communication channel frozen wall ring </t>
  </si>
  <si>
    <t>å®‰å»ºæ°¸, å‘¨æ™“æ•, çŽ‹åš, å¼ è¶…, æˆ´ä½³æ™¨, å’Œæ™“æ¥ , é›·æµ·æ³¢, éƒ­å®æ™º, å¼ ç¦, èƒ¡ä¸¹æž«, æ¨æ™“ä¸œ, ç¨‹ç»´æ•¬, éŸ©ç„±</t>
  </si>
  <si>
    <t>https://patents.google.com/patent/CN211824550U/en</t>
  </si>
  <si>
    <t>https://patentimages.storage.googleapis.com/cf/8c/b5/d08aea0fc68d9e/DEST_PATH_200914105500.png</t>
  </si>
  <si>
    <t>CN-214853402-U</t>
  </si>
  <si>
    <t xml:space="preserve">Facility vegetable equipment suitable for saline and alkaline land </t>
  </si>
  <si>
    <t>çŽ‹æµ©, éŸ©å®ä¼Ÿ, çŽ‹å¼º, åˆ˜ä¼šèŠ³, åº„çº¢æ¢…, ä½•ä¼Ÿ, å¼ å½©è™¹, é©¬è‰³, æŽä¸½</t>
  </si>
  <si>
    <t>https://patents.google.com/patent/CN214853402U/en</t>
  </si>
  <si>
    <t>https://patentimages.storage.googleapis.com/a8/fb/6b/a440b0d939b3ed/HDA0002995568660000011.png</t>
  </si>
  <si>
    <t>CN-120600151-B</t>
  </si>
  <si>
    <t xml:space="preserve">Multi-process coupling prediction method and device for mine pollutant migration based on deep learning </t>
  </si>
  <si>
    <t>ä¸­å›½ç”µå»ºé›†å›¢ä¸­å—å‹˜æµ‹è®¾è®¡ç ”ç©¶é™¢æœ‰é™å…¬å¸, ä¸­å›½ç§‘å­¦é™¢èµ£æ±Ÿåˆ›æ–°ç ”ç©¶é™¢</t>
  </si>
  <si>
    <t>åº„æ™“æ°, ç™½æ²»å†›, ä¸‡å°åŽ, è”¡è¯šæˆ, æŽåº­åˆš, é©¬æ˜Ÿå®‡</t>
  </si>
  <si>
    <t>https://patents.google.com/patent/CN120600151B/en</t>
  </si>
  <si>
    <t>US-11927177-B2</t>
  </si>
  <si>
    <t xml:space="preserve">Extracting geothermal energy from thin sedimentary aquifers </t>
  </si>
  <si>
    <t>Bruce D. Marsh, Saman KARIMI</t>
  </si>
  <si>
    <t>https://patents.google.com/patent/US11927177B2/en</t>
  </si>
  <si>
    <t>https://patentimages.storage.googleapis.com/04/74/b9/f54461030bef53/US11927177-20240312-D00000.png</t>
  </si>
  <si>
    <t>KR-102346376-B1</t>
  </si>
  <si>
    <t xml:space="preserve">Water supply and drainage pipes leakage detection system based on magnetic field communication for automating determination of maintenance needs due to leaks and aging of buried pipes </t>
  </si>
  <si>
    <t>(ì£¼)ë¡œê·¸í”„ë ˆíŠ¸ì½”ë¦¬ì•„</t>
  </si>
  <si>
    <t>ê¹€ì‚¼ì§„, ê¹€ì˜í›ˆ, ìš°ë™ì£¼, ì •ë™ì§„</t>
  </si>
  <si>
    <t>https://patents.google.com/patent/KR102346376B1/en</t>
  </si>
  <si>
    <t>https://patentimages.storage.googleapis.com/78/75/54/7fa4b9c9b9f889/112021068146417-pat00005.png</t>
  </si>
  <si>
    <t>CN-215935696-U</t>
  </si>
  <si>
    <t xml:space="preserve">Full-automatic production line for planting, growing and harvesting factory rice </t>
  </si>
  <si>
    <t>å¼ æ•ˆç¾¤</t>
  </si>
  <si>
    <t>å¼ æ•ˆç¾¤, æŽå»ºæ˜Ž, åº”è¿°æ³¢, é™†é¹é£ž, ä¸æ˜Ž, å­™ç‚³å¿ , éŸ©ä¼Ÿä¸œ, ä¾¯ä½³å½¤, å¼ è¯—çŸž, å¼ è‚²æ»”</t>
  </si>
  <si>
    <t>https://patents.google.com/patent/CN215935696U/en</t>
  </si>
  <si>
    <t>https://patentimages.storage.googleapis.com/4f/87/7b/42004d4ec953e0/HDA0003283019200000011.png</t>
  </si>
  <si>
    <t>KR-102825703-B1</t>
  </si>
  <si>
    <t xml:space="preserve">Fusion cultivation facility and fusion cultivation method using the same </t>
  </si>
  <si>
    <t>ì´ì„±ëª©</t>
  </si>
  <si>
    <t>https://patents.google.com/patent/KR102825703B1/en</t>
  </si>
  <si>
    <t>CN-212255286-U</t>
  </si>
  <si>
    <t xml:space="preserve">Reagent-free multi-parameter water quality in-situ monitor </t>
  </si>
  <si>
    <t>æµ™æ±Ÿæ¸…åŽé•¿ä¸‰è§’ç ”ç©¶é™¢</t>
  </si>
  <si>
    <t>é»„ç¿ç¿, é™ˆæµ·æ ¹, è°¢å«ä¸°, è”¡å¼º</t>
  </si>
  <si>
    <t>https://patents.google.com/patent/CN212255286U/en</t>
  </si>
  <si>
    <t>https://patentimages.storage.googleapis.com/d3/cf/06/0d17dba7c99565/DEST_PATH_HDA0002756368840000011.png</t>
  </si>
  <si>
    <t>CN-120408809-B</t>
  </si>
  <si>
    <t xml:space="preserve">Permafrost subgrade structure design method based on railway long-term deformation control </t>
  </si>
  <si>
    <t>ä¸­å›½é“é“ç§‘å­¦ç ”ç©¶é™¢é›†å›¢æœ‰é™å…¬å¸é“é“å»ºç­‘ç ”ç©¶æ‰€, ä¸­å›½é“é“ç§‘å­¦ç ”ç©¶é™¢é›†å›¢æœ‰é™å…¬å¸</t>
  </si>
  <si>
    <t>è”¡å¾·é’©, é—«å®ä¸š, åˆ˜æ™“è´º, å¼ åƒé‡Œ, æ¯•å®—ç¦, æœ±ä¸™é¾™, çŽ‹ç‘œé‘«, å°§ä¿Šå‡¯, æŽç«¹åº†, æ¢ç»çº¬, æ¬§é˜³æ˜Žå“², è‹ç‚, èƒ¡å¹³, æŽæ³°çƒ, éƒ­æƒ èŠ¹</t>
  </si>
  <si>
    <t>https://patents.google.com/patent/CN120408809B/en</t>
  </si>
  <si>
    <t>CN-116398231-B</t>
  </si>
  <si>
    <t xml:space="preserve">Construction methods for treating cracks and leakage in the lining of tunnels under high water pressure </t>
  </si>
  <si>
    <t>ä¸­å›½å»ºç­‘ä¸€å±€(é›†å›¢)æœ‰é™å…¬å¸</t>
  </si>
  <si>
    <t>å´æ°, ç”³å›½å¥Ž, ä¸è², å¼ å¸…, é™ˆè•¾, é‚“ç¾Žé¾™</t>
  </si>
  <si>
    <t>https://patents.google.com/patent/CN116398231B/en</t>
  </si>
  <si>
    <t>CN-113900420-B</t>
  </si>
  <si>
    <t xml:space="preserve">Digital control system and method of water ecology in metallurgical enterprises </t>
  </si>
  <si>
    <t>ä¸­å›½æ©è²å·¥ç¨‹æŠ€æœ¯æœ‰é™å…¬å¸</t>
  </si>
  <si>
    <t>çŽ‹æ¬£, é™ˆå®‹ç’‡, å¾å»ºç‚Ž, é»„é¾™, å­™æ–‡äº®</t>
  </si>
  <si>
    <t>https://patents.google.com/patent/CN113900420B/en</t>
  </si>
  <si>
    <t>CN-118397813-B</t>
  </si>
  <si>
    <t xml:space="preserve">Data analysis method and system based on debris flow monitoring </t>
  </si>
  <si>
    <t>ä¸­å›½æ°´åˆ©æ°´ç”µç¬¬ä¸€å·¥ç¨‹å±€æœ‰é™å…¬å¸</t>
  </si>
  <si>
    <t>å•æ°¸ç”Ÿ, éœç¦å±±, æŽæ€€å›½, ä½™é¹¤èŠ¹, åˆ˜è´µ, çŽ‹å…†ä¹¾, å´”é›„è¾‰, èµµä¾¨, å§šå·§å·§, å¼ å®å±±, ç”„å°é¹</t>
  </si>
  <si>
    <t>https://patents.google.com/patent/CN118397813B/en</t>
  </si>
  <si>
    <t>CN-114973606-B</t>
  </si>
  <si>
    <t xml:space="preserve">Landslide monitoring and early warning method based on raspberry group control module </t>
  </si>
  <si>
    <t>é‡åº†åœ°è´¨çŸ¿äº§ç ”ç©¶é™¢</t>
  </si>
  <si>
    <t>æŽæŸä½š, å¾æ´ª, åº·ç‡•é£ž, é™ˆç«‹å·, ä»»ä¸–èª, å»–äº‘å¹³, æ¨å‹‡, å»–è”šèŒ—, å½­å›½éª„</t>
  </si>
  <si>
    <t>https://patents.google.com/patent/CN114973606B/en</t>
  </si>
  <si>
    <t>CN-116734754-B</t>
  </si>
  <si>
    <t xml:space="preserve">Landslide monitoring system and method </t>
  </si>
  <si>
    <t>å´ç¼</t>
  </si>
  <si>
    <t>https://patents.google.com/patent/CN116734754B/en</t>
  </si>
  <si>
    <t>KR-102870142-B1</t>
  </si>
  <si>
    <t xml:space="preserve">Precision diagnosis and maintenance system and method for enhancing the safety and performance of railway electric power facilities </t>
  </si>
  <si>
    <t>ì„¸ì¢…ê¸°ìˆ ì£¼ì‹íšŒì‚¬</t>
  </si>
  <si>
    <t>ì†¡ì§„í˜¸, ì†¡ì„±ëª¨</t>
  </si>
  <si>
    <t>https://patents.google.com/patent/KR102870142B1/en</t>
  </si>
  <si>
    <t>CN-218435443-U</t>
  </si>
  <si>
    <t xml:space="preserve">Hardly degradable organic matter and heavy metal groundwater pollution remediation treatment facility </t>
  </si>
  <si>
    <t>æ­¦æ±‰ä¸œç¢§çŽ¯ä¿ç§‘æŠ€æœ‰é™å…¬å¸</t>
  </si>
  <si>
    <t>é›·ç¿, å½­çŽ², å§œæˆäº®</t>
  </si>
  <si>
    <t>https://patents.google.com/patent/CN218435443U/en</t>
  </si>
  <si>
    <t>https://patentimages.storage.googleapis.com/55/bd/ef/e7af97875dcc66/HDA0003894983420000011.png</t>
  </si>
  <si>
    <t>CN-114567862-B</t>
  </si>
  <si>
    <t xml:space="preserve">Pipe network monitoring terminal system </t>
  </si>
  <si>
    <t>è‹å·žå¤§å­¦</t>
  </si>
  <si>
    <t>åˆ˜ä¸­åŽ, çŽ‹å®œæ€€, æŽè‹—, åˆ˜çº¯å¹³, å¤å¨, è½¦é€š, å¥šåœ£é‘«, èµµæ¾„, åˆ˜é›¨æ¡, è‘£æµæµ©</t>
  </si>
  <si>
    <t>https://patents.google.com/patent/CN114567862B/en</t>
  </si>
  <si>
    <t>KR-102282004-B1</t>
  </si>
  <si>
    <t xml:space="preserve">Method and apparatus for controlling data transmission of terminal using artificial intelligence in lora network </t>
  </si>
  <si>
    <t>í•œêµ­ê³¼í•™ê¸°ìˆ ì›</t>
  </si>
  <si>
    <t>ìµœì¤€ê· , í•œìž¬ì„­, ì´ê²½í˜¸, ì´ìƒí˜„</t>
  </si>
  <si>
    <t>https://patents.google.com/patent/KR102282004B1/en</t>
  </si>
  <si>
    <t>https://patentimages.storage.googleapis.com/04/72/1a/32607b37aa3ae2/112020075050036-pat00001.png</t>
  </si>
  <si>
    <t>CN-113748966-B</t>
  </si>
  <si>
    <t xml:space="preserve">irrigation management system </t>
  </si>
  <si>
    <t>å…°å·žç†å·¥å¤§å­¦, ç”˜è‚ƒéš†å¨å¥‡ç§‘æŠ€æœ‰é™å…¬å¸</t>
  </si>
  <si>
    <t>ä»»æµ·ä¼Ÿ, å¼ çŽ‰æ˜¥, æŽå½¦æ¶›, æ½˜ç«‹è¶…, æŽæ¢…, ä»»é›¨è–‡, æŽé‡‘å¹³, éƒ‘å¥, çŽ‹æ˜±, å—å†›è™Ž, å¼ ä¸œ, æŽå¿—å¿ </t>
  </si>
  <si>
    <t>https://patents.google.com/patent/CN113748966B/en</t>
  </si>
  <si>
    <t>CN-116186183-B</t>
  </si>
  <si>
    <t xml:space="preserve">Water network navigation system and construction method thereof </t>
  </si>
  <si>
    <t>é•¿æ±Ÿå‹˜æµ‹è§„åˆ’è®¾è®¡ç ”ç©¶æœ‰é™è´£ä»»å…¬å¸</t>
  </si>
  <si>
    <t>è°¢æ˜Žéœž, çŽ‹å°æ¯›, é™ˆå°šæ³•, ç½—ç‚œ, å½­æ‰¬å¹³, åˆ˜å­å¥, å»–æ°, è£´äºšä¸œ, è°­æµ·è‰, é«˜è”š</t>
  </si>
  <si>
    <t>https://patents.google.com/patent/CN116186183B/en</t>
  </si>
  <si>
    <t>CN-214041373-U</t>
  </si>
  <si>
    <t xml:space="preserve">Water pollution synthesizes intelligent early warning device based on thing networking </t>
  </si>
  <si>
    <t>å–„è”æ™ºæ…§ç§‘æŠ€(æµ™æ±Ÿ)æœ‰é™å…¬å¸</t>
  </si>
  <si>
    <t>è“å±¹æ™Ÿ</t>
  </si>
  <si>
    <t>https://patents.google.com/patent/CN214041373U/en</t>
  </si>
  <si>
    <t>https://patentimages.storage.googleapis.com/f5/cb/3b/adbc5e6a84b0a1/HDA0002770264760000011.png</t>
  </si>
  <si>
    <t>CN-116719895-B</t>
  </si>
  <si>
    <t xml:space="preserve">A method and system for judging terrain change trends based on Cesium </t>
  </si>
  <si>
    <t>è¥¿å®‰æ‹‰è´å¾—ä¿¡æ¯ç§‘æŠ€æœ‰é™å…¬å¸</t>
  </si>
  <si>
    <t>æŽæ”€, åˆ˜å¨Ÿå¨Ÿ, è‚–å½¦ç§‘, ä½•è¿Žæ˜¥, åˆ˜ç”Ÿæ¶›, æŽï¿½æ ¹, çŽ‹å¢žè£</t>
  </si>
  <si>
    <t>https://patents.google.com/patent/CN116719895B/en</t>
  </si>
  <si>
    <t>CN-119893462-B</t>
  </si>
  <si>
    <t xml:space="preserve">Underground pipeline equipment communication method, system and storage medium based on self-organizing network </t>
  </si>
  <si>
    <t>æ¹–å—é‡‘é¾™æ™ºé€ ç§‘æŠ€è‚¡ä»½æœ‰é™å…¬å¸</t>
  </si>
  <si>
    <t>èƒ¡å½¦å½¬, çºªå…¨èƒœ, é»„ä¸º, æ¨å¿—å¥Ž</t>
  </si>
  <si>
    <t>https://patents.google.com/patent/CN119893462B/en</t>
  </si>
  <si>
    <t>CN-217325482-U</t>
  </si>
  <si>
    <t xml:space="preserve">Open-type municipal administration utility tunnel structure </t>
  </si>
  <si>
    <t>ä¸­å›½ä¸­å»ºè®¾è®¡ç ”ç©¶é™¢æœ‰é™å…¬å¸</t>
  </si>
  <si>
    <t>éƒ­ç¦é¾™, åˆ˜ä¸½å€©, çŽ‹è±ªå‹‡, å†¯é›¨èŠ¹, èŒƒç¿”, è¢æ˜Ž, ç½—æ˜‰</t>
  </si>
  <si>
    <t>https://patents.google.com/patent/CN217325482U/en</t>
  </si>
  <si>
    <t>https://patentimages.storage.googleapis.com/c4/2a/e4/2e524efaeba8fa/DEST_PATH_HDA0003701839690000011.png</t>
  </si>
  <si>
    <t>CN-115496399-B</t>
  </si>
  <si>
    <t xml:space="preserve">UAV-based real-time update and distribution method and system for foundation pit survey tasks </t>
  </si>
  <si>
    <t>æ­å·žä½™æ­å»ºç­‘è®¾è®¡é™¢æœ‰é™å…¬å¸</t>
  </si>
  <si>
    <t>é™ˆæ ‘é¾™, è¤šå¹¿å¹³, ä¿žé«˜è‰¯, å€ªç¨‹ç¨‹, é˜®æ—­æ–‡</t>
  </si>
  <si>
    <t>https://patents.google.com/patent/CN115496399B/en</t>
  </si>
  <si>
    <t>CN-213600571-U</t>
  </si>
  <si>
    <t xml:space="preserve">Small-size integrated water quality monitoring system </t>
  </si>
  <si>
    <t>æ¹–åŒ—çœåè¯šäº¤é€šçŽ¯ä¿æœ‰é™å…¬å¸</t>
  </si>
  <si>
    <t>å¾äº®, é™ˆé¹, çŽ‹å®‡, å–»æˆæ­¦, æˆæ³¢</t>
  </si>
  <si>
    <t>https://patents.google.com/patent/CN213600571U/en</t>
  </si>
  <si>
    <t>https://patentimages.storage.googleapis.com/f1/50/48/03be3ba00c2a06/HDA0002780190750000011.png</t>
  </si>
  <si>
    <t>CN-216526783-U</t>
  </si>
  <si>
    <t xml:space="preserve">A integration intelligent monitoring pole for hydraulic engineering </t>
  </si>
  <si>
    <t>å±±ä¸œé”‹å£«ä¿¡æ¯æŠ€æœ¯æœ‰é™å…¬å¸</t>
  </si>
  <si>
    <t>å­™å¯çŽ‰, åˆ˜çŽ‰å³°, æŽçº¢è¶…, å¼ æ°¸å¿ , æŽç„•æ°</t>
  </si>
  <si>
    <t>https://patents.google.com/patent/CN216526783U/en</t>
  </si>
  <si>
    <t>https://patentimages.storage.googleapis.com/d0/20/88/47eb326c18a5f9/DEST_PATH_HDA0003454027640000011.png</t>
  </si>
  <si>
    <t>CN-213094937-U</t>
  </si>
  <si>
    <t xml:space="preserve">Agricultural water and fertilizer irrigation device </t>
  </si>
  <si>
    <t>çŸ³æ²³å­å¤§å­¦</t>
  </si>
  <si>
    <t>é«˜å“², çŽ‹å†›æ­¦, æ¨å»ºèŽ‰, å¼ æ¢æ¢, å§šä¸œä¸œ, æŽæ—­å¨‡, æ²™æ—¥å¶</t>
  </si>
  <si>
    <t>https://patents.google.com/patent/CN213094937U/en</t>
  </si>
  <si>
    <t>https://patentimages.storage.googleapis.com/47/c7/b4/3a4089aa48cad3/HDA0002938847340000011.png</t>
  </si>
  <si>
    <t>CN-215003724-U</t>
  </si>
  <si>
    <t xml:space="preserve">Be used for thing networking digital hydraulic engineering water conservancy monitoring devices </t>
  </si>
  <si>
    <t>ç¦å»ºçœæ°´æŠ•æ•°å­—ç§‘æŠ€æœ‰é™å…¬å¸</t>
  </si>
  <si>
    <t>å´æ°¸äº®, åˆ˜éžç”·, æ¶‚å¿—åŸº, é™ˆæ–Œ, å¼ é¾™</t>
  </si>
  <si>
    <t>https://patents.google.com/patent/CN215003724U/en</t>
  </si>
  <si>
    <t>https://patentimages.storage.googleapis.com/76/7c/94/5acb02b64ab7f5/HDA0003109901100000011.png</t>
  </si>
  <si>
    <t>CN-221043750-U</t>
  </si>
  <si>
    <t xml:space="preserve">Indoor intelligent water and fertilizer irrigation integrated machine </t>
  </si>
  <si>
    <t>æ¹–åŒ—æ°´ä¹‹ç¿¼ç§‘æŠ€æœ‰é™å…¬å¸</t>
  </si>
  <si>
    <t>é‚¹é¹é£ž, åˆ˜å¥Ž</t>
  </si>
  <si>
    <t>https://patents.google.com/patent/CN221043750U/en</t>
  </si>
  <si>
    <t>KR-102330556-B1</t>
  </si>
  <si>
    <t xml:space="preserve">Smart city water management system </t>
  </si>
  <si>
    <t>í•œêµ­í† ì§€ì£¼íƒê³µì‚¬</t>
  </si>
  <si>
    <t>ì£¼ì§„ê±¸, ë°•ì¢…í‘œ, ê¹€í•˜ì„</t>
  </si>
  <si>
    <t>https://patents.google.com/patent/KR102330556B1/en</t>
  </si>
  <si>
    <t>https://patentimages.storage.googleapis.com/03/49/61/0aa3046f39e0d1/112020101795953-pat00001.png</t>
  </si>
  <si>
    <t>CN-214622632-U</t>
  </si>
  <si>
    <t xml:space="preserve">An IoT-based farmland moisture monitoring device </t>
  </si>
  <si>
    <t>æ²³å—é‚¦å‹ç§‘æŠ€æœ‰é™å…¬å¸</t>
  </si>
  <si>
    <t>æ¨å…ˆæ˜Ž, é­ä¹‰é•¿, æ¨æ°¸è¾‰, æœå›, é™ˆä¸¹, ä»»å¤©å®</t>
  </si>
  <si>
    <t>https://patents.google.com/patent/CN214622632U/en</t>
  </si>
  <si>
    <t>https://patentimages.storage.googleapis.com/2e/c4/66/6463a55312bd6a/HDA0003024979010000011.png</t>
  </si>
  <si>
    <t>CN-216061820-U</t>
  </si>
  <si>
    <t xml:space="preserve">A safe and encrypted fire hydrant system </t>
  </si>
  <si>
    <t>ä¸­å›½ç”µæ³¢ä¼ æ’­ç ”ç©¶æ‰€ï¼ˆä¸­å›½ç”µå­ç§‘æŠ€é›†å›¢å…¬å¸ç¬¬äºŒåäºŒç ”ç©¶æ‰€ï¼‰</t>
  </si>
  <si>
    <t>è‘£å‰‘å³°, ä¾¯å…´é¹, ä½•è‹±æ°, å¼ é£žé£ž, æ™‹çŽ‰å‰‘, æŽå¯ä¼Ÿ</t>
  </si>
  <si>
    <t>https://patents.google.com/patent/CN216061820U/en</t>
  </si>
  <si>
    <t>https://patentimages.storage.googleapis.com/11/fc/05/d322e15c7b93e6/HDA0003337546470000011.png</t>
  </si>
  <si>
    <t>CN-114567861-B</t>
  </si>
  <si>
    <t xml:space="preserve">Power supply management method for underground pipe network monitoring system </t>
  </si>
  <si>
    <t>å¤å¨, çŽ‹å®œæ€€, åˆ˜çº¯å¹³, è½¦é€š, åˆ˜ä¸­åŽ, æŽè‹—, å¥šåœ£é‘«, èµµæ¾„, åˆ˜é›¨æ¡, è‘£æµæµ©</t>
  </si>
  <si>
    <t>https://patents.google.com/patent/CN114567861B/en</t>
  </si>
  <si>
    <t>CN-213089282-U</t>
  </si>
  <si>
    <t xml:space="preserve">Sewage monitoring system based on internet of things </t>
  </si>
  <si>
    <t>äº‘å—å¦™æ‹“çŽ¯ä¿ç§‘æŠ€æœ‰é™å…¬å¸</t>
  </si>
  <si>
    <t>å®‹è·¯æ³¢, å¼ æ•æ˜†, å®‹æ¬£ç›Š, å‘¨å­è¶…, åˆ˜ä¿Š</t>
  </si>
  <si>
    <t>https://patents.google.com/patent/CN213089282U/en</t>
  </si>
  <si>
    <t>https://patentimages.storage.googleapis.com/3a/66/22/a00f62ab84ef43/HDA0002686159370000011.png</t>
  </si>
  <si>
    <t>CN-212116438-U</t>
  </si>
  <si>
    <t xml:space="preserve">Deep soil layer cooling device in greenhouse based on agricultural Internet of things </t>
  </si>
  <si>
    <t>å››å·æ–°ä¸‡å†œç§‘æŠ€æœ‰é™å…¬å¸</t>
  </si>
  <si>
    <t>ç†Šå®‰å²š, å¼ å¾·å‡, å¢èƒœè¾‰</t>
  </si>
  <si>
    <t>https://patents.google.com/patent/CN212116438U/en</t>
  </si>
  <si>
    <t>https://patentimages.storage.googleapis.com/a0/18/c7/6ee569fed2df3b/HDA0002458006090000011.png</t>
  </si>
  <si>
    <t>US-11852769-B2</t>
  </si>
  <si>
    <t xml:space="preserve">Utilization of geologic orientation data </t>
  </si>
  <si>
    <t>Alfred Lacazette</t>
  </si>
  <si>
    <t>https://patents.google.com/patent/US11852769B2/en</t>
  </si>
  <si>
    <t>https://patentimages.storage.googleapis.com/af/ed/2b/84316a78ee290c/US11852769-20231226-D00000.png</t>
  </si>
  <si>
    <t>CN-214101424-U</t>
  </si>
  <si>
    <t xml:space="preserve">An automatic monitoring and early warning system for deformation and force of foundation pit excavation supporting structure </t>
  </si>
  <si>
    <t>ä¸­å›½å»ºç­‘ç¬¬äº”å·¥ç¨‹å±€æœ‰é™å…¬å¸, é•¿æ²™ç†å·¥å¤§å­¦</t>
  </si>
  <si>
    <t>ç½—ä¼Ÿåº­, é»„ä¸¤å®œ, é‚åˆ©å†›, é™ˆå†², å°¹æ—¥, å²³å¼º, æœä½³æ˜Ž, æŽé›„å†›, é’Ÿé”, åˆ˜èŽ‰, å´é•‡æ¸…, ç†Šç«‹è´¢, é»„é‡‘é‘«, å¼ æ°¸æ°</t>
  </si>
  <si>
    <t>https://patents.google.com/patent/CN214101424U/en</t>
  </si>
  <si>
    <t>https://patentimages.storage.googleapis.com/6e/f0/5b/42b970f10d3a6f/HDA0002900948920000011.png</t>
  </si>
  <si>
    <t>CN-115028325-B</t>
  </si>
  <si>
    <t xml:space="preserve">Service area sewage tide control system </t>
  </si>
  <si>
    <t>æ¹–å—å­å®ç”Ÿæ€ç§‘æŠ€è‚¡ä»½æœ‰é™å…¬å¸</t>
  </si>
  <si>
    <t>èƒ¡æ‰¬, æ¨å‹‡, åˆ˜å…‰çŸ³</t>
  </si>
  <si>
    <t>https://patents.google.com/patent/CN115028325B/en</t>
  </si>
  <si>
    <t>CN-221058973-U</t>
  </si>
  <si>
    <t xml:space="preserve">Planting and breeding circulation ecological agriculture system </t>
  </si>
  <si>
    <t>å››å·ç»¿é«˜ç”Ÿæ€å†œä¸šç§‘æŠ€å¼€å‘æœ‰é™å…¬å¸</t>
  </si>
  <si>
    <t>é‚¹å­¦å¥Ž, èŒƒæ­£æ——, ä¸‡æ³¢</t>
  </si>
  <si>
    <t>https://patents.google.com/patent/CN221058973U/en</t>
  </si>
  <si>
    <t>CN-120997982-B</t>
  </si>
  <si>
    <t xml:space="preserve">A safety early warning system for underground gas pipeline networks </t>
  </si>
  <si>
    <t>å¥¥å¾·ç§‘æŠ€æœ‰é™å…¬å¸</t>
  </si>
  <si>
    <t>æž—å¼º, çŽ‹è¿œç¿”, æž—å¤§è½², è’‹å¹¿, æŽè±ª, å†·æ¾, å…¬ç»´æ¢, ä»˜æ’å°§</t>
  </si>
  <si>
    <t>https://patents.google.com/patent/CN120997982B/en</t>
  </si>
  <si>
    <t>CN-211576249-U</t>
  </si>
  <si>
    <t xml:space="preserve">Utilize rivers real-time supervision installation device of thing networking module realization </t>
  </si>
  <si>
    <t>å¹¿å·žä¸­å®‰ç§‘æŠ€æœ‰é™å…¬å¸</t>
  </si>
  <si>
    <t>æŽæ—­æ˜Ž</t>
  </si>
  <si>
    <t>https://patents.google.com/patent/CN211576249U/en</t>
  </si>
  <si>
    <t>https://patentimages.storage.googleapis.com/6a/35/41/654bc5bec89adf/HDA0002420857410000011.png</t>
  </si>
  <si>
    <t>CN-216273355-U</t>
  </si>
  <si>
    <t xml:space="preserve">Land type ultra-micro-nano bubble crop irrigation system </t>
  </si>
  <si>
    <t>é’å²›ç­‘æ³¢çº³ç±³ç§‘æŠ€æœ‰é™å…¬å¸</t>
  </si>
  <si>
    <t>èµµå“ç»´, å­™çƒ¨, å¾æŒº</t>
  </si>
  <si>
    <t>https://patents.google.com/patent/CN216273355U/en</t>
  </si>
  <si>
    <t>https://patentimages.storage.googleapis.com/1d/08/e0/a41a4dab8f1909/HDA0003330460250000011.png</t>
  </si>
  <si>
    <t>CN-113051806-B</t>
  </si>
  <si>
    <t xml:space="preserve">Water quality BOD measurement method based on AQPSO-RBF neural network </t>
  </si>
  <si>
    <t>çŽ‹æ¶Œ, é™†å«, å·¦æ¥šæ¶µ, é²æ˜Žæœˆ</t>
  </si>
  <si>
    <t>https://patents.google.com/patent/CN113051806B/en</t>
  </si>
  <si>
    <t>https://patentimages.storage.googleapis.com/87/3d/9b/74a6a4bc941152/HDA0003000465610000011.png</t>
  </si>
  <si>
    <t>CN-212693755-U</t>
  </si>
  <si>
    <t xml:space="preserve">River course water quality monitoring device based on thing networking </t>
  </si>
  <si>
    <t>ç›åŸŽå¸‚ç›éƒ½åŒºæ°´åˆ©ç»¼åˆæœåŠ¡ç«™</t>
  </si>
  <si>
    <t>çŽ‹çŽ‰å†›</t>
  </si>
  <si>
    <t>https://patents.google.com/patent/CN212693755U/en</t>
  </si>
  <si>
    <t>https://patentimages.storage.googleapis.com/81/a5/4d/2504b8b3fe1f3d/HDA0002643815210000011.png</t>
  </si>
  <si>
    <t>CN-216206848-U</t>
  </si>
  <si>
    <t xml:space="preserve">Water level monitoring chi based on thing networking </t>
  </si>
  <si>
    <t>å¢æµ·å‡¤</t>
  </si>
  <si>
    <t>https://patents.google.com/patent/CN216206848U/en</t>
  </si>
  <si>
    <t>https://patentimages.storage.googleapis.com/fe/99/96/80ade798d3b669/HDA0003305154480000011.png</t>
  </si>
  <si>
    <t>CN-214666823-U</t>
  </si>
  <si>
    <t xml:space="preserve">Hydrology automatic monitoring device based on thing networking </t>
  </si>
  <si>
    <t>å¹¿ä¸œç§‘åˆ›æ™ºæ°´ç§‘æŠ€æœ‰é™å…¬å¸</t>
  </si>
  <si>
    <t>æœ±æŠ¥å¼€, æž—é›„ç”Ÿ, æ¼†é’æ¾</t>
  </si>
  <si>
    <t>https://patents.google.com/patent/CN214666823U/en</t>
  </si>
  <si>
    <t>https://patentimages.storage.googleapis.com/ea/d4/b6/42b41191476275/210119143140.png</t>
  </si>
  <si>
    <t>CN-120739111-B</t>
  </si>
  <si>
    <t xml:space="preserve">Multi-row pre-stressed anchor cable distribution tensioning control method considering group anchor effect </t>
  </si>
  <si>
    <t>æˆéƒ½å»ºå·¥ç¬¬ä¸‰å»ºç­‘å·¥ç¨‹æœ‰é™å…¬å¸, æˆéƒ½å»ºå·¥é›†å›¢æœ‰é™å…¬å¸</t>
  </si>
  <si>
    <t>æŽå®šè‘µ, å°¹æ´ªè, ä½•æ™“å½¤, é»„å°šç©, åˆ˜å¯è¶…, æŽï¿½æ°, åˆ˜è‹“æ°, èƒ¡å¯å†›, å´”å‡¯, æŽç¼æž—, åˆ˜æ°¸æƒ, æŽæ¬¢</t>
  </si>
  <si>
    <t>https://patents.google.com/patent/CN120739111B/en</t>
  </si>
  <si>
    <t>CN-120105533-B</t>
  </si>
  <si>
    <t xml:space="preserve">A Smart Construction Method and System for Ultra-Large Cross-Section Tunnels on Highways </t>
  </si>
  <si>
    <t>ä¸­äº¤æ™ºé«˜(æµ™æ±Ÿ)ç§‘æŠ€å‘å±•æœ‰é™å…¬å¸</t>
  </si>
  <si>
    <t>é™ˆå®œä¿, å¼ ç‰§, è‘£åº†, å¼ ä¼Ÿå¼º, ä½•å‡¯ç‘ž, å¼ é½, åˆ˜æœé˜³, é™ˆå…†ç« </t>
  </si>
  <si>
    <t>https://patents.google.com/patent/CN120105533B/en</t>
  </si>
  <si>
    <t>CN-119940749-B</t>
  </si>
  <si>
    <t xml:space="preserve">Soil quality monitoring system for wild plant protection </t>
  </si>
  <si>
    <t>æµŽå—éœ†ç›ˆæ™ºèƒ½è£…å¤‡ç§‘æŠ€æœ‰é™å…¬å¸</t>
  </si>
  <si>
    <t>çŽ‹çˆ±å›, æŽå»ºè¾‰, æŽå¨…ç”·, éƒ­çª, éŸ©æ™“å½¤</t>
  </si>
  <si>
    <t>https://patents.google.com/patent/CN119940749B/en</t>
  </si>
  <si>
    <t>CN-217437166-U</t>
  </si>
  <si>
    <t xml:space="preserve">Novel bridge type grab bucket crane coal yard </t>
  </si>
  <si>
    <t>ä¸­æœºå›½èƒ½ç”µåŠ›å·¥ç¨‹æœ‰é™å…¬å¸</t>
  </si>
  <si>
    <t>æŽä¼Ÿ, ä»»å¿µæ¯›, åˆ˜å¢žåŽ, æŽé˜³, åˆ˜ä¼šæˆ</t>
  </si>
  <si>
    <t>https://patents.google.com/patent/CN217437166U/en</t>
  </si>
  <si>
    <t>https://patentimages.storage.googleapis.com/0b/8d/37/d1fdc4c4ed5a1a/HDA0003481687050000011.png</t>
  </si>
  <si>
    <t>CN-213875646-U</t>
  </si>
  <si>
    <t xml:space="preserve">A Hydrological Detector Based on the Internet of Things Platform </t>
  </si>
  <si>
    <t>æ·±åœ³å¸‚è¯ºåŽå®å®‰æ¥¼å®‡ç§‘æŠ€å‘å±•æœ‰é™å…¬å¸</t>
  </si>
  <si>
    <t>è‘›ç´</t>
  </si>
  <si>
    <t>https://patents.google.com/patent/CN213875646U/en</t>
  </si>
  <si>
    <t>https://patentimages.storage.googleapis.com/09/0d/10/6c04f3529bee4a/HDA0002796635960000011.png</t>
  </si>
  <si>
    <t>CN-120509248-B</t>
  </si>
  <si>
    <t xml:space="preserve">Geotechnical engineering investigation safety monitoring system and method based on artificial intelligence </t>
  </si>
  <si>
    <t>äº‘å¯å‹˜æµ‹è®¾è®¡æœ‰é™å…¬å¸, é¸¿å„’å‹˜æµ‹è®¾è®¡æœ‰é™å…¬å¸</t>
  </si>
  <si>
    <t>æ›¾å°å†›, å­™ä»²è¯š, é»„é«˜åŽ, æŽäº‰å…‰, çŽ‹æ°¸æ’, æ²ˆå½¦å¸®, çŽ‹é‡‘ç§€, é™ˆåš, å¢æ¾æž—, éƒ‘æ°, æ¨Šå¹¿åˆ©, æ¨ä¼ŸèŠ, ä¼å­¦æ™º</t>
  </si>
  <si>
    <t>https://patents.google.com/patent/CN120509248B/en</t>
  </si>
  <si>
    <t>CN-221264738-U</t>
  </si>
  <si>
    <t xml:space="preserve">Intelligent control and alarm system for sprinkling irrigation mechanical equipment </t>
  </si>
  <si>
    <t>æ±Ÿè‹å¤©æ°´çŒæŽ’è®¾å¤‡æœ‰é™å…¬å¸</t>
  </si>
  <si>
    <t>æŽæ´ªæ­¦, æŽåº†ç«‹, åˆ˜é¹</t>
  </si>
  <si>
    <t>https://patents.google.com/patent/CN221264738U/en</t>
  </si>
  <si>
    <t>CN-120975531-B</t>
  </si>
  <si>
    <t xml:space="preserve">Agricultural intelligent irrigation scheduling method and system based on deep learning </t>
  </si>
  <si>
    <t>å±±ä¸œå®‡æ³°ç”Ÿç‰©ç§ä¸šæœ‰é™å…¬å¸</t>
  </si>
  <si>
    <t>äºŽå¯Œæ˜Œ, æŽå¨Ÿï¿½, å‘¨å¸¸å¿—, çŽ‹éœžè¾‰, é©¬æ±‰æ‰, é­ä¸½æ¢…, æ–‡å©·å©·, é«˜æ¼ª, å­Ÿæ…§</t>
  </si>
  <si>
    <t>https://patents.google.com/patent/CN120975531B/en</t>
  </si>
  <si>
    <t>CN-115014414-B</t>
  </si>
  <si>
    <t xml:space="preserve">An environmental monitoring device and system </t>
  </si>
  <si>
    <t>è°·å˜‰ç”·</t>
  </si>
  <si>
    <t>æŽå°‘é£ž, è°·å˜‰ç”·, å­Ÿåº†æ¶›, éŸ©æ¢…, çŽ‹å°è‰¯, æ¸ ä¸°åª›</t>
  </si>
  <si>
    <t>https://patents.google.com/patent/CN115014414B/en</t>
  </si>
  <si>
    <t>https://patentimages.storage.googleapis.com/e7/fa/57/bb7edc98391c78/HDA0003696251140000011.png</t>
  </si>
  <si>
    <t>CN-111311879-B</t>
  </si>
  <si>
    <t xml:space="preserve">Method and device for early warning of debris flow </t>
  </si>
  <si>
    <t>å¹¿å·žåœ°ç†ç ”ç©¶æ‰€</t>
  </si>
  <si>
    <t>çŽ‹é’§, å®‡å²©, è’‹å†², è¢å°‘é›„, é™ˆå†›, å®«æ¸…åŽ, é»„å…‰åº†</t>
  </si>
  <si>
    <t>https://patents.google.com/patent/CN111311879B/en</t>
  </si>
  <si>
    <t>https://patentimages.storage.googleapis.com/85/37/52/411919d7603474/HDA0002368964370000011.png</t>
  </si>
  <si>
    <t>CN-212723698-U</t>
  </si>
  <si>
    <t xml:space="preserve">Intelligent drainage and mining control system for coal bed gas </t>
  </si>
  <si>
    <t>åŽåŒ—çŸ³æ²¹é€šä¿¡æœ‰é™å…¬å¸</t>
  </si>
  <si>
    <t>åˆ˜æµ©, ä½™å†¬, çŽ‹æ™¯é‘«, äºŽæ·¼, ç”°çˆ±æ°‘, å¼ ç ”, é™ˆé›ª, åˆ˜ä¼¯ä¹</t>
  </si>
  <si>
    <t>https://patents.google.com/patent/CN212723698U/en</t>
  </si>
  <si>
    <t>https://patentimages.storage.googleapis.com/10/72/55/c7481da5e2f758/HDA0002566251720000011.png</t>
  </si>
  <si>
    <t>CN-214244042-U</t>
  </si>
  <si>
    <t xml:space="preserve">Cooling water preparation facilities </t>
  </si>
  <si>
    <t>ä¸œèŽžå¸‚ä»Ÿå‡€çŽ¯ä¿è®¾å¤‡æœ‰é™å…¬å¸</t>
  </si>
  <si>
    <t>å´å°šé£Ž, å¢å¿—é¥¶</t>
  </si>
  <si>
    <t>https://patents.google.com/patent/CN214244042U/en</t>
  </si>
  <si>
    <t>https://patentimages.storage.googleapis.com/9d/82/59/f849c3b0f0283a/HDA0002876545150000011.png</t>
  </si>
  <si>
    <t>CN-214556179-U</t>
  </si>
  <si>
    <t xml:space="preserve">Kitchen waste mobile treatment equipment </t>
  </si>
  <si>
    <t>å±±ä¸œåæµé¤å¤„è£…å¤‡è‚¡ä»½æœ‰é™å…¬å¸</t>
  </si>
  <si>
    <t>https://patents.google.com/patent/CN214556179U/en</t>
  </si>
  <si>
    <t>https://patentimages.storage.googleapis.com/df/bb/24/e46ec777c908fc/HDA0002889783350000011.png</t>
  </si>
  <si>
    <t>KR-102644791-B1</t>
  </si>
  <si>
    <t>í•œêµ­ìˆ˜ìžì›ê³µì‚¬, ì£¼ì‹íšŒì‚¬ ê¿€ë¹„</t>
  </si>
  <si>
    <t>ê¹€ë³‘ìš°, ìµœì›ìž¬</t>
  </si>
  <si>
    <t>https://patents.google.com/patent/KR102644791B1/en</t>
  </si>
  <si>
    <t>https://patentimages.storage.googleapis.com/d4/56/13/5d080e39d5ba5d/112022005172328-pat00003.png</t>
  </si>
  <si>
    <t>CN-214108260-U</t>
  </si>
  <si>
    <t xml:space="preserve">Reuse system of sorting device for construction waste </t>
  </si>
  <si>
    <t>æ°¸å®‰å¸‚æ°¸ç¦æ··å‡åœŸå·¥ç¨‹æœ‰é™å…¬å¸, ç¦å»ºæ°´åˆ©ç”µåŠ›èŒä¸šæŠ€æœ¯å­¦é™¢</t>
  </si>
  <si>
    <t>å¼ ç‘žèŠ¬, ç¥ç£Š, é¢œå¿—æ•, æž—é›¨å§—, é»„å¤©ä¸œ, ç¿ç§€ç´</t>
  </si>
  <si>
    <t>https://patents.google.com/patent/CN214108260U/en</t>
  </si>
  <si>
    <t>https://patentimages.storage.googleapis.com/e8/71/ce/3b6387b2e9b515/200927111737.png</t>
  </si>
  <si>
    <t>CN-214251080-U</t>
  </si>
  <si>
    <t xml:space="preserve">Data monitoring equipment of inspection well </t>
  </si>
  <si>
    <t>æ­å·žå¦™çŸ³ç§‘æŠ€æœ‰é™å…¬å¸</t>
  </si>
  <si>
    <t>æ­æ·‘é’, å¾ç›</t>
  </si>
  <si>
    <t>https://patents.google.com/patent/CN214251080U/en</t>
  </si>
  <si>
    <t>https://patentimages.storage.googleapis.com/b3/a8/9a/d6a7326cbee161/HDA0002748673470000011.png</t>
  </si>
  <si>
    <t>CN-114646021-B</t>
  </si>
  <si>
    <t xml:space="preserve">Underground pipe network monitoring methods </t>
  </si>
  <si>
    <t>æŽè‹—, çŽ‹å®œæ€€, åˆ˜ä¸­åŽ, åˆ˜çº¯å¹³, å¤å¨, è½¦é€š, å¥šåœ£é‘«, èµµæ¾„, åˆ˜é›¨æ¡, è‘£æµæµ©</t>
  </si>
  <si>
    <t>https://patents.google.com/patent/CN114646021B/en</t>
  </si>
  <si>
    <t>CN-220231734-U</t>
  </si>
  <si>
    <t xml:space="preserve">Phosphogypsum leaching experimental device </t>
  </si>
  <si>
    <t>äº‘å—ä¸­çŽ¯æ­£æµ©çŽ¯å¢ƒç§‘æŠ€æœ‰é™å…¬å¸</t>
  </si>
  <si>
    <t>ä½•æ˜†å®‰, è°­å¿—æ’, é‚“æ®µæ–Œ, é’±ç¦æ˜Ž</t>
  </si>
  <si>
    <t>https://patents.google.com/patent/CN220231734U/en</t>
  </si>
  <si>
    <t>CN-116409902-B</t>
  </si>
  <si>
    <t xml:space="preserve">A household water purification device for different water qualities </t>
  </si>
  <si>
    <t>æ´›é˜³æ·¦æºæ°´å¤„ç†ç§‘æŠ€æœ‰é™å…¬å¸</t>
  </si>
  <si>
    <t>çŽ‹åŒå·</t>
  </si>
  <si>
    <t>https://patents.google.com/patent/CN116409902B/en</t>
  </si>
  <si>
    <t>CN-119642772-B</t>
  </si>
  <si>
    <t xml:space="preserve">Gate chamber wall deformation monitoring method, device and system </t>
  </si>
  <si>
    <t>ä¸­æ–°èšèƒ½å»ºè®¾å·¥ç¨‹æœ‰é™å…¬å¸</t>
  </si>
  <si>
    <t>å‡¡ç‘ž, è¢å…ˆæ¸…, çŽ‹è…¾é£ž, çŽ‹å†°è•¾, å¼ é’Š, åˆ˜æŒ¯ç•Œ, è‘›çŒ®å‹‡, çŽ‹èªè¾‰, æŽæ¶›</t>
  </si>
  <si>
    <t>https://patents.google.com/patent/CN119642772B/en</t>
  </si>
  <si>
    <t>CN-212409636-U</t>
  </si>
  <si>
    <t xml:space="preserve">Tunnel deformation real-time automatic monitoring device </t>
  </si>
  <si>
    <t>ç”˜è‚ƒçœäº¤é€šç§‘å­¦ç ”ç©¶é™¢é›†å›¢æœ‰é™å…¬å¸</t>
  </si>
  <si>
    <t>å¼ å¤, æŽä¸½, èµµå…ƒç§‘, é­å»ºå‡, å¼ é’é¾™, ç½—é¹</t>
  </si>
  <si>
    <t>https://patents.google.com/patent/CN212409636U/en</t>
  </si>
  <si>
    <t>https://patentimages.storage.googleapis.com/09/a8/9e/077e8c3ddaf5fc/200629200400.png</t>
  </si>
  <si>
    <t>CN-215675014-U</t>
  </si>
  <si>
    <t xml:space="preserve">Dust removal and purification device of high-pressure water spraying street lamp system </t>
  </si>
  <si>
    <t>åˆ˜äº‘å ‚</t>
  </si>
  <si>
    <t>https://patents.google.com/patent/CN215675014U/en</t>
  </si>
  <si>
    <t>https://patentimages.storage.googleapis.com/6f/37/cb/fda9ca6b765476/HDA0003195778660000011.png</t>
  </si>
  <si>
    <t>CN-217406223-U</t>
  </si>
  <si>
    <t xml:space="preserve">Intelligent charging cabinet system based on Internet of things </t>
  </si>
  <si>
    <t>éƒ‘å·žåšè§‚ç”µå­ç§‘æŠ€æœ‰é™å…¬å¸</t>
  </si>
  <si>
    <t>éƒ­å°‘æ–Œ, æ¨çº¢æ°, å­™æµ©å·, æŽé—¯, é™ˆå®¾å®¾, é™ˆå†¬å†¬, é™ˆè‡ªé™†</t>
  </si>
  <si>
    <t>https://patents.google.com/patent/CN217406223U/en</t>
  </si>
  <si>
    <t>https://patentimages.storage.googleapis.com/04/64/cb/d7858e583c8b33/HDA0003649424260000011.png</t>
  </si>
  <si>
    <t>CN-215109546-U</t>
  </si>
  <si>
    <t xml:space="preserve">Real-time monitoring system of electric submersible pump with micro-signal alarm function </t>
  </si>
  <si>
    <t>æ½åŠèŒä¸šå­¦é™¢</t>
  </si>
  <si>
    <t>é½äº‘å›½, é«˜åº†å¹³, çŽ‹æ•, å¼ æˆåŠŸ, é—«é‘«</t>
  </si>
  <si>
    <t>https://patents.google.com/patent/CN215109546U/en</t>
  </si>
  <si>
    <t>https://patentimages.storage.googleapis.com/1b/05/36/c66f0e3cbceae9/HDA0002983847120000011.png</t>
  </si>
  <si>
    <t>CN-115077482-B</t>
  </si>
  <si>
    <t xml:space="preserve">Collapse net-shaped monitoring equipment, method and system </t>
  </si>
  <si>
    <t>è¥¿å®‰æ·è¾¾æµ‹æŽ§æœ‰é™å…¬å¸</t>
  </si>
  <si>
    <t>æŽåš, è‘£ä¼Ÿé¾™, éƒ­æ°¸é£ž, çŽ‹è™Žå‹¤</t>
  </si>
  <si>
    <t>https://patents.google.com/patent/CN115077482B/en</t>
  </si>
  <si>
    <t>CN-119579348-B</t>
  </si>
  <si>
    <t xml:space="preserve">A remaining oil prediction method based on machine learning </t>
  </si>
  <si>
    <t>é•¿æ±Ÿå¤§å­¦</t>
  </si>
  <si>
    <t>åˆ˜åº·éœ–, å¼ å›½å¨, å´æ ‘æ™–, è¿žå¿ƒæ€¡, æŽå®‡æ˜†</t>
  </si>
  <si>
    <t>https://patents.google.com/patent/CN119579348B/en</t>
  </si>
  <si>
    <t>CN-214252252-U</t>
  </si>
  <si>
    <t xml:space="preserve">A wireless sensor-based water quality environment monitoring device </t>
  </si>
  <si>
    <t>å±±ä¸œå¤©ä½ç‰©è”ç½‘ç§‘æŠ€æœ‰é™å…¬å¸</t>
  </si>
  <si>
    <t>æ¨ç§‹å®ž</t>
  </si>
  <si>
    <t>https://patents.google.com/patent/CN214252252U/en</t>
  </si>
  <si>
    <t>https://patentimages.storage.googleapis.com/69/09/0d/ce02bf93c0c947/HDA0002869001410000011.png</t>
  </si>
  <si>
    <t>CN-111965386-B</t>
  </si>
  <si>
    <t xml:space="preserve">Water flow direction monitor and control method thereof </t>
  </si>
  <si>
    <t>ä¸Šæµ·åŒæ™ŸçŽ¯ä¿ç§‘æŠ€æœ‰é™å…¬å¸</t>
  </si>
  <si>
    <t>æ˜“å¨, çŽ‹åšä¼Ÿ, ç©†æ¯…, é™ˆç¹</t>
  </si>
  <si>
    <t>https://patents.google.com/patent/CN111965386B/en</t>
  </si>
  <si>
    <t>CN-214252599-U</t>
  </si>
  <si>
    <t xml:space="preserve">Geological disaster on-line monitoring and early warning system </t>
  </si>
  <si>
    <t>æ¨ç§‹å®ž, åˆ˜åŒè¾‰</t>
  </si>
  <si>
    <t>https://patents.google.com/patent/CN214252599U/en</t>
  </si>
  <si>
    <t>https://patentimages.storage.googleapis.com/f7/b9/1c/48af1ae67814e8/HDA0002866119850000011.png</t>
  </si>
  <si>
    <t>CN-113742637-B</t>
  </si>
  <si>
    <t xml:space="preserve">Calculation method, device, electronic equipment and storage medium for annual average siltation rate of reservoir </t>
  </si>
  <si>
    <t>ä¸­å›½æ°´åˆ©æ°´ç”µç§‘å­¦ç ”ç©¶é™¢, ä¸­å›½ä¸‰å³¡å»ºå·¥(é›†å›¢)æœ‰é™å…¬å¸</t>
  </si>
  <si>
    <t>é‚“å®‰å†›, é™ˆå»ºå›½, èƒ¡æµ·åŽ, é™†ç´, å¼ å›½å¸…, è‘£å…ˆå‹‡, ç§¦è•¾è•¾, çŽ‹å…šä¼Ÿ, éƒ‘é’Š, å²çº¢çŽ², è‘£å åœ°, å†¯èƒœèˆª, æ²ˆé“­æ™–</t>
  </si>
  <si>
    <t>https://patents.google.com/patent/CN113742637B/en</t>
  </si>
  <si>
    <t>CN-216795988-U</t>
  </si>
  <si>
    <t xml:space="preserve">Submerged ultramicro-nanobubble crop irrigation system </t>
  </si>
  <si>
    <t>https://patents.google.com/patent/CN216795988U/en</t>
  </si>
  <si>
    <t>https://patentimages.storage.googleapis.com/60/35/99/2973f36fd2206d/HDA0003330460380000011.png</t>
  </si>
  <si>
    <t>CN-212722867-U</t>
  </si>
  <si>
    <t xml:space="preserve">An AI-based water quality online monitoring device </t>
  </si>
  <si>
    <t>å¹¿ä¸œç²¤æ°´ä¿¡æ¯ç§‘æŠ€æœ‰é™å…¬å¸, å¹¿ä¸œçœæ°´åˆ©ç”µåŠ›å‹˜æµ‹è®¾è®¡ç ”ç©¶é™¢</t>
  </si>
  <si>
    <t>æž—å¥•éœ–, é»„åŽ, è‹å…†æ™¯, èŒœæ‰¬, æŽå˜‰ç››, æ›¾å†°å·</t>
  </si>
  <si>
    <t>https://patents.google.com/patent/CN212722867U/en</t>
  </si>
  <si>
    <t>https://patentimages.storage.googleapis.com/08/6a/a8/1a96423403e307/HDA0002682480910000011.png</t>
  </si>
  <si>
    <t>KR-102600340-B1</t>
  </si>
  <si>
    <t xml:space="preserve">Green house growth environment and energy optimal control method and system </t>
  </si>
  <si>
    <t>ì œì£¼ëŒ€í•™êµ ì‚°í•™í˜‘ë ¥ë‹¨</t>
  </si>
  <si>
    <t>ê¹€ë„í˜„</t>
  </si>
  <si>
    <t>https://patents.google.com/patent/KR102600340B1/en</t>
  </si>
  <si>
    <t>CN-116125036-B</t>
  </si>
  <si>
    <t xml:space="preserve">A calculation method for effective soil water storage capacity </t>
  </si>
  <si>
    <t>æŽçŽ‰å¥Ž, å°¹å®ªæ–‡, å°¹åš, æ¢çš“, å¼ é¢–åŽ, çŽ‹å¥å£®</t>
  </si>
  <si>
    <t>https://patents.google.com/patent/CN116125036B/en</t>
  </si>
  <si>
    <t>CN-120688895-B</t>
  </si>
  <si>
    <t xml:space="preserve">Intelligent water management method and system based on artificial intelligence </t>
  </si>
  <si>
    <t>æ¹–å—äº‘æ™ºæ…§æ°´åˆ©å·¥ç¨‹æœ‰é™å…¬å¸</t>
  </si>
  <si>
    <t>ä»˜æŒ¯éœ–</t>
  </si>
  <si>
    <t>https://patents.google.com/patent/CN120688895B/en</t>
  </si>
  <si>
    <t>CN-211954250-U</t>
  </si>
  <si>
    <t xml:space="preserve">Gas storage monitoring system with microseism monitoring function </t>
  </si>
  <si>
    <t>çŽ‹å¨‡åŽ</t>
  </si>
  <si>
    <t>https://patents.google.com/patent/CN211954250U/en</t>
  </si>
  <si>
    <t>https://patentimages.storage.googleapis.com/ea/66/05/b4e64c8b0c600d/200430141243.png</t>
  </si>
  <si>
    <t>CN-214245836-U</t>
  </si>
  <si>
    <t xml:space="preserve">Disassembly adjusting assembly for inspection well monitoring equipment </t>
  </si>
  <si>
    <t>æ­æ·‘é’</t>
  </si>
  <si>
    <t>https://patents.google.com/patent/CN214245836U/en</t>
  </si>
  <si>
    <t>https://patentimages.storage.googleapis.com/12/b8/16/580668b49dacbf/HDA0002748672620000011.png</t>
  </si>
  <si>
    <t>CN-213926360-U</t>
  </si>
  <si>
    <t xml:space="preserve">Inspection shaft monitoring facilities's drain pan structure </t>
  </si>
  <si>
    <t>https://patents.google.com/patent/CN213926360U/en</t>
  </si>
  <si>
    <t>https://patentimages.storage.googleapis.com/e6/e6/2b/245060e37a6bd9/HDA0002749340990000011.png</t>
  </si>
  <si>
    <t>CN-114548483-B</t>
  </si>
  <si>
    <t xml:space="preserve">A water level prediction method, device, electronic device and storage medium </t>
  </si>
  <si>
    <t>ä¸­å›½ç”µä¿¡è‚¡ä»½æœ‰é™å…¬å¸</t>
  </si>
  <si>
    <t>æŽé˜³, é’±è¿›, å‘¨é£ž</t>
  </si>
  <si>
    <t>https://patents.google.com/patent/CN114548483B/en</t>
  </si>
  <si>
    <t>CN-213688519-U</t>
  </si>
  <si>
    <t xml:space="preserve">IoT smart metering blocking device </t>
  </si>
  <si>
    <t>å›½ç½‘è¾½å®çœç”µåŠ›æœ‰é™å…¬å¸é“å²­ä¾›ç”µå…¬å¸, å›½å®¶ç”µç½‘æœ‰é™å…¬å¸</t>
  </si>
  <si>
    <t>çŽ‹é›ªèŽ¹, ç´¢å·æ­¦, å­™è¿ª, æœ±è‰³çº¢, çŽ‹ç’¨, å¶æŸ³, å¼ ä¸½å¨œ, å¼ æ»¨æ˜¾, èµµæŸ³, äºŽæ™¨å…‰, å´”é¹ç¾½, æ¢å‹‡, å€ªåª›, å§šæ™“çº¢, è´¾çŠ, é­å·</t>
  </si>
  <si>
    <t>https://patents.google.com/patent/CN213688519U/en</t>
  </si>
  <si>
    <t>https://patentimages.storage.googleapis.com/03/43/f0/7b93fc11102b11/HDA0002831881000000011.png</t>
  </si>
  <si>
    <t>CN-212336238-U</t>
  </si>
  <si>
    <t xml:space="preserve">Sewage intercepting well of residential area </t>
  </si>
  <si>
    <t>https://patents.google.com/patent/CN212336238U/en</t>
  </si>
  <si>
    <t>https://patentimages.storage.googleapis.com/c6/24/d6/d09371bef02499/HDA0002702294300000011.png</t>
  </si>
  <si>
    <t>CN-111948958-B</t>
  </si>
  <si>
    <t xml:space="preserve">Real-time monitoring system and method for deep hole grouting water stop construction </t>
  </si>
  <si>
    <t>åŒ—äº¬åŸŽå»ºå‹˜æµ‹è®¾è®¡ç ”ç©¶é™¢æœ‰é™è´£ä»»å…¬å¸, åŒ—äº¬è½¨é“äº¤é€šå»ºè®¾ç®¡ç†æœ‰é™å…¬å¸</t>
  </si>
  <si>
    <t>åˆ˜æ–‡å½¬, ç§¦ä¸œå¹³, é©¬å¥, å†¯ç§‘æ˜Ž, æŽå†›é”‹, æŽèŠ³å‡, ä»˜æ–‡æ–Œ, é¢œå¨</t>
  </si>
  <si>
    <t>https://patents.google.com/patent/CN111948958B/en</t>
  </si>
  <si>
    <t>https://patentimages.storage.googleapis.com/a8/5d/34/5918957d8c5f5e/200825162030.png</t>
  </si>
  <si>
    <t>CN-212871296-U</t>
  </si>
  <si>
    <t xml:space="preserve">A Rapid Deployment Low Maintenance Water Quality Monitor </t>
  </si>
  <si>
    <t>å¹¿ä¸œæ…§èˆªç‰©è”ç§‘æŠ€æœ‰é™å…¬å¸</t>
  </si>
  <si>
    <t>æ½˜é’¦æ‚¦, é’±æ¶¦åŽ, å¶ä¿Šè£, é™ˆèµæƒ, æ–¹å˜‰ç‚œ, å´é–é›¯</t>
  </si>
  <si>
    <t>https://patents.google.com/patent/CN212871296U/en</t>
  </si>
  <si>
    <t>https://patentimages.storage.googleapis.com/60/9d/76/e75e9c85505982/HDA0002664533580000011.png</t>
  </si>
  <si>
    <t>CN-215798813-U</t>
  </si>
  <si>
    <t xml:space="preserve">Intelligent oil separator complete processing system equipment </t>
  </si>
  <si>
    <t>æ¹–å—çœæ¬§æœ—çŽ¯ä¿ç§‘æŠ€æœ‰é™å…¬å¸</t>
  </si>
  <si>
    <t>æ¯›ä¹, ä½•ç¿”</t>
  </si>
  <si>
    <t>https://patents.google.com/patent/CN215798813U/en</t>
  </si>
  <si>
    <t>https://patentimages.storage.googleapis.com/60/05/53/4be11adb48ba83/HDA0003236170580000011.png</t>
  </si>
  <si>
    <t>CN-113099096-B</t>
  </si>
  <si>
    <t xml:space="preserve">Automatic meter reading device of mechanical water meter and meter reading method thereof </t>
  </si>
  <si>
    <t>å›½ç½‘æ±Ÿè‹çœç”µåŠ›æœ‰é™å…¬å¸æ·®å®‰ä¾›ç”µåˆ†å…¬å¸, æ²³æµ·å¤§å­¦</t>
  </si>
  <si>
    <t>åˆ˜é¦¨ç³, æˆ´æ¬£</t>
  </si>
  <si>
    <t>https://patents.google.com/patent/CN113099096B/en</t>
  </si>
  <si>
    <t>CN-223075700-U</t>
  </si>
  <si>
    <t xml:space="preserve">Automatic control and operation monitoring system for deep well pump </t>
  </si>
  <si>
    <t>é™ˆï¿½å³°, å´å¼º, å²æœˆå‡¯, è‚–é’°, å¼ ä½³çª, å¼ ç¦, é»„é›¨é¦¨</t>
  </si>
  <si>
    <t>https://patents.google.com/patent/CN223075700U/en</t>
  </si>
  <si>
    <t>CN-214243999-U</t>
  </si>
  <si>
    <t xml:space="preserve">A kind of rural drinking water nanofiltration water purification device </t>
  </si>
  <si>
    <t>èµµé£ž</t>
  </si>
  <si>
    <t>https://patents.google.com/patent/CN214243999U/en</t>
  </si>
  <si>
    <t>https://patentimages.storage.googleapis.com/5d/c2/57/d1bae5a3cb64bc/200927153119.png</t>
  </si>
  <si>
    <t>CN-211531113-U</t>
  </si>
  <si>
    <t xml:space="preserve">Intelligent home security device convenient to maintain </t>
  </si>
  <si>
    <t>é’å²›å¤„ä¸­å®…ç‰©å®¶å±…ç§‘æŠ€æœ‰é™å…¬å¸</t>
  </si>
  <si>
    <t>æž—ç§€ç, èµµå­¦ç£Š, å°šé›ªæ™´</t>
  </si>
  <si>
    <t>https://patents.google.com/patent/CN211531113U/en</t>
  </si>
  <si>
    <t>https://patentimages.storage.googleapis.com/1f/a4/87/15176e01f23a46/HDA0002464947730000011.png</t>
  </si>
  <si>
    <t>CN-111372338-B</t>
  </si>
  <si>
    <t xml:space="preserve">Mine wellhead anti-freezing system and anti-freezing method </t>
  </si>
  <si>
    <t>é’å²›ä¼è´°çŸ³å¢¨çƒ¯ç§‘æŠ€æœ‰é™å…¬å¸</t>
  </si>
  <si>
    <t>æŽèµ·é’¢, èƒ¡ä¸–å…¨</t>
  </si>
  <si>
    <t>https://patents.google.com/patent/CN111372338B/en</t>
  </si>
  <si>
    <t>CN-117423005-B</t>
  </si>
  <si>
    <t xml:space="preserve">A water quality online monitoring system and method for locking pollution sources </t>
  </si>
  <si>
    <t>ä¸Šæµ·ç§‘æ³½æ™ºæ…§çŽ¯å¢ƒç§‘æŠ€æœ‰é™å…¬å¸</t>
  </si>
  <si>
    <t>ç½—åˆš, èƒ¡æ£‹, æœ±æ˜Žè¾‰, è¾›å¤§å«, å¼ é‘«æ‚¦, åˆ˜å‹‡å¹³</t>
  </si>
  <si>
    <t>https://patents.google.com/patent/CN117423005B/en</t>
  </si>
  <si>
    <t>CN-214544507-U</t>
  </si>
  <si>
    <t xml:space="preserve">A mechanical water meter automatic meter reading device </t>
  </si>
  <si>
    <t>https://patents.google.com/patent/CN214544507U/en</t>
  </si>
  <si>
    <t>https://patentimages.storage.googleapis.com/de/e5/1d/3155b90f48a5b3/210429131559.png</t>
  </si>
  <si>
    <t>CN-114111712-B</t>
  </si>
  <si>
    <t xml:space="preserve">System and method for monitoring building settlement </t>
  </si>
  <si>
    <t>å¤©æ´¥é£Žéœ–ç‰©è”ç½‘ç§‘æŠ€æœ‰é™å…¬å¸</t>
  </si>
  <si>
    <t>è°¢ç‹„æ•, è°¢ç†™çŸ, æŽé•¿æ³‰, å‘¨å®—å¼º, æ±ªç»§è‘µ</t>
  </si>
  <si>
    <t>https://patents.google.com/patent/CN114111712B/en</t>
  </si>
  <si>
    <t>https://patentimages.storage.googleapis.com/2a/2f/00/3d18fd6b34da70/220121160153.png</t>
  </si>
  <si>
    <t>CN-112166776-B</t>
  </si>
  <si>
    <t xml:space="preserve">High-standard farmland fertilizer applicator capable of remotely monitoring and managing running water quantity </t>
  </si>
  <si>
    <t>å®‰å¾½æœ—å¤ç‰©è”ç½‘æœ‰é™å…¬å¸</t>
  </si>
  <si>
    <t>å¾æœ—</t>
  </si>
  <si>
    <t>https://patents.google.com/patent/CN112166776B/en</t>
  </si>
  <si>
    <t>https://patentimages.storage.googleapis.com/f8/18/83/3b3038c8b05a16/HDA0002681392220000011.png</t>
  </si>
  <si>
    <t>CN-217006988-U</t>
  </si>
  <si>
    <t xml:space="preserve">Miniature water quality testing buoy based on thing networking </t>
  </si>
  <si>
    <t>æˆéƒ½ä¸œè½¯å­¦é™¢</t>
  </si>
  <si>
    <t>åº·æ™“å¨œ, å”èµ‹, é™ˆä¿Šéœ–, æŽæ—­ä¸œ, ä½™åº·, ç½—é”æ’, ç¿å°å©·</t>
  </si>
  <si>
    <t>https://patents.google.com/patent/CN217006988U/en</t>
  </si>
  <si>
    <t>https://patentimages.storage.googleapis.com/42/fa/3a/a9124b83c6442e/HDA0003497000040000011.png</t>
  </si>
  <si>
    <t>CN-116164813-B</t>
  </si>
  <si>
    <t xml:space="preserve">Water level monitoring equipment </t>
  </si>
  <si>
    <t>äº‘å—ç¢§ç¿”ç‰©è”ç½‘ç§‘æŠ€æœ‰é™å…¬å¸</t>
  </si>
  <si>
    <t>æŽç¢§</t>
  </si>
  <si>
    <t>https://patents.google.com/patent/CN116164813B/en</t>
  </si>
  <si>
    <t>CN-212568746-U</t>
  </si>
  <si>
    <t xml:space="preserve">Water quality monitoring equipment </t>
  </si>
  <si>
    <t>é‡åº†å›½çŽ¯ç»¿æºç§‘æŠ€æœ‰é™å…¬å¸</t>
  </si>
  <si>
    <t>èƒ¡ç››</t>
  </si>
  <si>
    <t>https://patents.google.com/patent/CN212568746U/en</t>
  </si>
  <si>
    <t>https://patentimages.storage.googleapis.com/4d/6f/2d/f9680b2d570767/200613170941.png</t>
  </si>
  <si>
    <t>CN-211830749-U</t>
  </si>
  <si>
    <t xml:space="preserve">Mobile phone Beidou dual-channel integrated remote measurement terminal </t>
  </si>
  <si>
    <t>å¤©æ´¥æµ·æ´²ç§‘æŠ€æœ‰é™å…¬å¸</t>
  </si>
  <si>
    <t>å­™å»ºè®¾, å¢æ˜¥ç‡•</t>
  </si>
  <si>
    <t>https://patents.google.com/patent/CN211830749U/en</t>
  </si>
  <si>
    <t>https://patentimages.storage.googleapis.com/e3/b4/c4/0b193b16233d7f/HDA0002506873030000011.png</t>
  </si>
  <si>
    <t>CN-111661509-B</t>
  </si>
  <si>
    <t xml:space="preserve">Garbage recycling and classifying management system based on interaction of Internet and Internet of things </t>
  </si>
  <si>
    <t>å¹¿ä¸œå˜‰æºçŽ¯å¢ƒç§‘æŠ€æœ‰é™å…¬å¸</t>
  </si>
  <si>
    <t>è´ºç•™æ´‹</t>
  </si>
  <si>
    <t>https://patents.google.com/patent/CN111661509B/en</t>
  </si>
  <si>
    <t>https://patentimages.storage.googleapis.com/a0/7d/b9/7c0f4c3aaf9034/HDA0002537145740000011.png</t>
  </si>
  <si>
    <t>CN-215598480-U</t>
  </si>
  <si>
    <t xml:space="preserve">Super-dry type direct-reading valve control NB-IoT Internet of things water meter </t>
  </si>
  <si>
    <t>è¿žäº‘æ¸¯è¿žåˆ©ç¦æ€ç‰¹è¡¨ä¸šæœ‰é™å…¬å¸</t>
  </si>
  <si>
    <t>éŸ©æ ‘å±, çŸ³ç£Š, é™ˆè™Ž, å…¨é›ªæ¾, ä¸‡è‰³æ¸¯</t>
  </si>
  <si>
    <t>https://patents.google.com/patent/CN215598480U/en</t>
  </si>
  <si>
    <t>https://patentimages.storage.googleapis.com/d1/b9/6c/52d75255eb17fe/HDA0003129252830000011.png</t>
  </si>
  <si>
    <t>CN-212255386-U</t>
  </si>
  <si>
    <t xml:space="preserve">Water flow direction monitor </t>
  </si>
  <si>
    <t>https://patents.google.com/patent/CN212255386U/en</t>
  </si>
  <si>
    <t>https://patentimages.storage.googleapis.com/19/52/44/d445d43e18ff18/200916210218.png</t>
  </si>
  <si>
    <t>CN-119645128-B</t>
  </si>
  <si>
    <t xml:space="preserve">A measurement and control system and method for accurate reception of long-distance jacking pipe sections </t>
  </si>
  <si>
    <t>å¹¿å·žä¸€å»ºå»ºè®¾é›†å›¢æœ‰é™å…¬å¸</t>
  </si>
  <si>
    <t>å®‹ç¢, å¢å¾·è¾‰, æ›¹å˜‰åˆ©, æ¨é”‹æ°, é™ˆå¿—å¹³, è°­æ ‘ç¥¥, æŽè‚²å®, ç”°æ—¶é›¨, å¼ æºœ</t>
  </si>
  <si>
    <t>https://patents.google.com/patent/CN119645128B/en</t>
  </si>
  <si>
    <t>CN-112669571-B</t>
  </si>
  <si>
    <t xml:space="preserve">Real-time landslide prediction early warning system based on three-dimensional GIS </t>
  </si>
  <si>
    <t>ä¸­å›½åœ°è´¨å¤§å­¦ï¼ˆåŒ—äº¬ï¼‰</t>
  </si>
  <si>
    <t>èµµè½©, å¢æ‰¬, æŽå›½è‡£, é‚¢å»·ç‚Ž</t>
  </si>
  <si>
    <t>https://patents.google.com/patent/CN112669571B/en</t>
  </si>
  <si>
    <t>https://patentimages.storage.googleapis.com/6c/6a/53/69f0ec1ff1ce0f/HDA0002840612630000011.png</t>
  </si>
  <si>
    <t>CN-215440260-U</t>
  </si>
  <si>
    <t xml:space="preserve">A community kitchen waste treatment and fermentation device </t>
  </si>
  <si>
    <t>æ²³åŒ—æ°‘æ—å¸ˆèŒƒå­¦é™¢</t>
  </si>
  <si>
    <t>åˆ˜å†‰, é‚µçŽ²æ™º, é¡¾ç¿°ç¦, é™ˆæ™“å®‡, ä¸å‡¯, çŽ‹æ™ºæ…§, å§œæ™´å²š</t>
  </si>
  <si>
    <t>https://patents.google.com/patent/CN215440260U/en</t>
  </si>
  <si>
    <t>https://patentimages.storage.googleapis.com/76/23/a3/cce95648153a45/HDA0003281417330000011.png</t>
  </si>
  <si>
    <t>CN-118486137-B</t>
  </si>
  <si>
    <t xml:space="preserve">A universal landslide early warning device based on stress </t>
  </si>
  <si>
    <t>é™•è¥¿åœ°çŸ¿ä¹0å…«çŽ¯å¢ƒåœ°è´¨æœ‰é™å…¬å¸</t>
  </si>
  <si>
    <t>çŽ‹åº·, æŽæ™“ç§‘, ç•…ä¿Šæ–Œ, éŸ©ä¼Ÿé¾™, åˆ˜æ…§ï¿½, çŽ‹å®</t>
  </si>
  <si>
    <t>https://patents.google.com/patent/CN118486137B/en</t>
  </si>
  <si>
    <t>CN-119964016-B</t>
  </si>
  <si>
    <t xml:space="preserve">Hyperspectral image thinning and unmixing method and device, electronic equipment and medium </t>
  </si>
  <si>
    <t>è¥¿å®‰é‚®ç”µå¤§å­¦</t>
  </si>
  <si>
    <t>ç”˜çŽ‰æ³‰, é€¯ä½©æ°¸, çŽ‹å‹‡</t>
  </si>
  <si>
    <t>https://patents.google.com/patent/CN119964016B/en</t>
  </si>
  <si>
    <t>CN-113545278-B</t>
  </si>
  <si>
    <t xml:space="preserve">Automatic drip irrigation maintenance method for ecological restoration of mine </t>
  </si>
  <si>
    <t>å¹¿è¥¿å£®æ—è‡ªæ²»åŒºåœ°è´¨çŽ¯å¢ƒç›‘æµ‹ç«™</t>
  </si>
  <si>
    <t>æœ±çœŸ, å¢å¿—æ–‡, å‘¨å®‡, å¾æ¢¦ç‘¶, é™ˆæ³‰</t>
  </si>
  <si>
    <t>https://patents.google.com/patent/CN113545278B/en</t>
  </si>
  <si>
    <t>https://patentimages.storage.googleapis.com/a5/e1/7b/8ecf9356f6e59f/HDA0003168590740000011.png</t>
  </si>
  <si>
    <t>CN-115542983-B</t>
  </si>
  <si>
    <t xml:space="preserve">Management methods, systems, equipment, and media for smart agricultural greenhouse systems </t>
  </si>
  <si>
    <t>æµ™æ±Ÿé¼ŽèƒœçŽ¯ä¿æŠ€æœ¯æœ‰é™å…¬å¸</t>
  </si>
  <si>
    <t>é‡‘å°‘é”‹, æ¥æ³¢, è°¢è², åˆ˜ä¿Šè‰¯</t>
  </si>
  <si>
    <t>https://patents.google.com/patent/CN115542983B/en</t>
  </si>
  <si>
    <t>KR-102541998-B1</t>
  </si>
  <si>
    <t xml:space="preserve">Floating structures and breakwater with bottom opening </t>
  </si>
  <si>
    <t>ë¯¸ëž˜ì¡°ì„ í•´ì–‘ ì£¼ì‹íšŒì‚¬</t>
  </si>
  <si>
    <t>ì—„í•­ì„­</t>
  </si>
  <si>
    <t>https://patents.google.com/patent/KR102541998B1/en</t>
  </si>
  <si>
    <t>https://patentimages.storage.googleapis.com/da/b5/ac/7d720de59191a6/112022100776593-pat00001.png</t>
  </si>
  <si>
    <t>CN-111945762-B</t>
  </si>
  <si>
    <t xml:space="preserve">An automatic drainage device and management system in a cable inspection well </t>
  </si>
  <si>
    <t>å±±ä¸œè”åˆç”µåŠ›äº§ä¸šå‘å±•æœ‰é™å…¬å¸</t>
  </si>
  <si>
    <t>çŽ‹æ‰å»º, é‚±åŸºçœŸ, å­™å¥</t>
  </si>
  <si>
    <t>https://patents.google.com/patent/CN111945762B/en</t>
  </si>
  <si>
    <t>https://patentimages.storage.googleapis.com/4c/01/77/595ded96cd94c8/HDA0002669993820000011.png</t>
  </si>
  <si>
    <t>CN-212538007-U</t>
  </si>
  <si>
    <t xml:space="preserve">Ground source heat pump and air source heat pump heating freezer concurrent heating system </t>
  </si>
  <si>
    <t>ä¸­ç…¤æ°´æ–‡å±€é›†å›¢æœ‰é™å…¬å¸</t>
  </si>
  <si>
    <t>éƒ­æµ·æ˜Ž, å¼ ç´«å¬, å¼ é™, èµµæ–‡å®‡, èµµæ™¯å³°</t>
  </si>
  <si>
    <t>https://patents.google.com/patent/CN212538007U/en</t>
  </si>
  <si>
    <t>https://patentimages.storage.googleapis.com/02/04/b0/ebe1f8b2b0c62f/HDA0002533090180000011.png</t>
  </si>
  <si>
    <t>CN-111458076-B</t>
  </si>
  <si>
    <t xml:space="preserve">Kiln well floating type gas leakage detection device </t>
  </si>
  <si>
    <t>è‘£çº¢å¬, æœ±çˆ±é™ˆ, éƒ­å®‡è¿›, çŸ³ä¸œè±ª</t>
  </si>
  <si>
    <t>https://patents.google.com/patent/CN111458076B/en</t>
  </si>
  <si>
    <t>CN-211927183-U</t>
  </si>
  <si>
    <t xml:space="preserve">Kiln shaft floating gas leak detection device </t>
  </si>
  <si>
    <t>https://patents.google.com/patent/CN211927183U/en</t>
  </si>
  <si>
    <t>https://patentimages.storage.googleapis.com/b2/a8/ff/d23417973ad940/HDA0002471081040000011.png</t>
  </si>
  <si>
    <t>US-11982661-B1</t>
  </si>
  <si>
    <t xml:space="preserve">Sensory transformer method of generating ingredients and formulas </t>
  </si>
  <si>
    <t>NotCo Delaware, LLC</t>
  </si>
  <si>
    <t>Alonso Vargas Estay, Hojin KANG, Francisco Clavero, Aadit Patel, Karim Pichara</t>
  </si>
  <si>
    <t>https://patents.google.com/patent/US11982661B1/en</t>
  </si>
  <si>
    <t>https://patentimages.storage.googleapis.com/0f/45/77/8ccb8fe84a97f6/US11982661-20240514-D00000.png</t>
  </si>
  <si>
    <t>CN-118937482-B</t>
  </si>
  <si>
    <t xml:space="preserve">Karst adverse geological assessment method and treatment method based on ultrasonic detection </t>
  </si>
  <si>
    <t>ä¸­é“åŒ—äº¬å·¥ç¨‹å±€é›†å›¢æœ‰é™å…¬å¸, ä¸­é“èˆªç©ºæ¸¯å»ºè®¾æœ‰é™å…¬å¸</t>
  </si>
  <si>
    <t>æ½˜å¿—å¹³, å¼ ä¹ä¹, çŽ‹æ™º, é‚µæ˜Œç§‘, ç«¥æ·ž, æ±¤æˆä¼Ÿ, é©¬éªä¿Š, çŽ‹æ—­æ·¼</t>
  </si>
  <si>
    <t>https://patents.google.com/patent/CN118937482B/en</t>
  </si>
  <si>
    <t>CN-214758417-U</t>
  </si>
  <si>
    <t xml:space="preserve">Strip-type soilless substrate cultivation device </t>
  </si>
  <si>
    <t>ç¦å»ºçœç§‘æŠ€åŽ…å†œç‰§ä¸šç§‘ç ”ä¸­è¯•ä¸­å¿ƒ</t>
  </si>
  <si>
    <t>æ¨é™…ä¼Ÿ, é™ˆçŽ‰ç, é™ˆä¸ºé›„</t>
  </si>
  <si>
    <t>https://patents.google.com/patent/CN214758417U/en</t>
  </si>
  <si>
    <t>https://patentimages.storage.googleapis.com/6a/fd/37/50103f4c8e3987/HDA0003027176680000011.png</t>
  </si>
  <si>
    <t>CN-117266927-B</t>
  </si>
  <si>
    <t xml:space="preserve">A groundwater pressure measurement and relief device inside the invert arch of a railway tunnel </t>
  </si>
  <si>
    <t>ä¸­é“åå…­å±€é›†å›¢ç¬¬äºŒå·¥ç¨‹æœ‰é™å…¬å¸</t>
  </si>
  <si>
    <t>çŽ‹å¸…, é»„æµ·æ´ª, è¾¹æž—ç³, è‘£æµ·æˆ, æ¨ä¸­å·ž, ç†Šæ°¸å­¦, æœæ­£, éƒä¸œåº†, çŽ‹ç‘ž</t>
  </si>
  <si>
    <t>https://patents.google.com/patent/CN117266927B/en</t>
  </si>
  <si>
    <t>CN-116104164-B</t>
  </si>
  <si>
    <t xml:space="preserve">Intelligent water crane based on Internet of things and implementation method thereof </t>
  </si>
  <si>
    <t>ä¿å®šå¸‚å°šæ³‰ä¾›æ°´æœ‰é™å…¬å¸</t>
  </si>
  <si>
    <t>å†¯æµ·ä»“, ä¾¯ä¼šè‹±, æŽæ™“å®, å­™ä¸­å­š, è´¾æ°¸, å¼ ç»è¾‰, ç™½é‡‘æ¢, ä»»å†€å¾®, è´¾å­å¥‡, å’Œç½¡, èŒƒçº¢ç‡•, å†¯å½¬</t>
  </si>
  <si>
    <t>https://patents.google.com/patent/CN116104164B/en</t>
  </si>
  <si>
    <t>CN-218511843-U</t>
  </si>
  <si>
    <t xml:space="preserve">Radar and pressure type double-liquid-level integrated monitoring instrument based on Internet of things </t>
  </si>
  <si>
    <t>åˆè‚¥ä¸­ç§‘é˜¿å¤¸æ–¯æ•°å­—ç”Ÿæ€ç§‘æŠ€æœ‰é™å…¬å¸</t>
  </si>
  <si>
    <t>é™ˆéŸ¦åŠ›, æŽé‡‘æ˜Š, ä¸å¿—å•¸</t>
  </si>
  <si>
    <t>https://patents.google.com/patent/CN218511843U/en</t>
  </si>
  <si>
    <t>https://patentimages.storage.googleapis.com/21/61/86/8ab3471a0ef8fb/HDA0003777970960000011.png</t>
  </si>
  <si>
    <t>CN-120213164-B</t>
  </si>
  <si>
    <t xml:space="preserve">Groundwater level monitoring device and groundwater level monitoring method </t>
  </si>
  <si>
    <t>ç”˜è‚ƒçœåœ°è´¨çŽ¯å¢ƒç›‘æµ‹é™¢(ç”˜è‚ƒçœåœ°è´¨çŽ¯å¢ƒç ”ç©¶æ‰€ã€ç”˜è‚ƒçœè‡ªç„¶èµ„æºåŽ…åœ°è´¨ç¾å®³é˜²æ²»æŠ€æœ¯æŒ‡å¯¼ä¸­å¿ƒ), è¥¿å®‰ç››æ²ƒçº³ä¿¡æ¯ç§‘æŠ€æœ‰é™å…¬å¸</t>
  </si>
  <si>
    <t>é²å¾—æ–¹, åˆ˜é›…æ…§, æ¨å›½å®, æ¨å›½å¯Œ, æ¼†æµ·é¾™, èµµå¤šæ…§, å¼ ç»§æ–‡, å¼ ä¸¹ä¸¹, å¼ å®‰ç¦, å¾é‘«</t>
  </si>
  <si>
    <t>https://patents.google.com/patent/CN120213164B/en</t>
  </si>
  <si>
    <t>CN-224092614-U</t>
  </si>
  <si>
    <t xml:space="preserve">An Internet of Things-based outdoor fire hydrant </t>
  </si>
  <si>
    <t>æ·±åœ³å¸‚å—æ–¹æ³°ç§‘ä¼ æ„ŸæŠ€æœ¯æœ‰é™å…¬å¸</t>
  </si>
  <si>
    <t>é»Žç»§å…´</t>
  </si>
  <si>
    <t>https://patents.google.com/patent/CN224092614U/en</t>
  </si>
  <si>
    <t>CN-119011626-B</t>
  </si>
  <si>
    <t xml:space="preserve">A dam safety online monitoring and management method and system based on the Internet of Things </t>
  </si>
  <si>
    <t>å››å·åŽç”µè¥¿æºªæ²³æ°´ç”µå¼€å‘æœ‰é™å…¬å¸, åŽç”µç”µåŠ›ç§‘å­¦ç ”ç©¶é™¢æœ‰é™å…¬å¸</t>
  </si>
  <si>
    <t>ç½—æœ‰ç¦, çŽ‹åˆ©æ°, å­™æ­£å¼º, è©¹å½¬, é™ˆæ°</t>
  </si>
  <si>
    <t>https://patents.google.com/patent/CN119011626B/en</t>
  </si>
  <si>
    <t>CN-121075068-B</t>
  </si>
  <si>
    <t xml:space="preserve">Precipitation support cooperative intelligent monitoring method and system based on Internet of things </t>
  </si>
  <si>
    <t>åˆ˜æ™“, é©¬æ°é¹, æ›²æ™ºå¸…, èµµçµè¿œ, é‚µäº®, èµµä¸œæ³¢, çŽ‹ç¦æž—, å‘¨æ¸¸</t>
  </si>
  <si>
    <t>https://patents.google.com/patent/CN121075068B/en</t>
  </si>
  <si>
    <t>CN-118855542-B</t>
  </si>
  <si>
    <t xml:space="preserve">A mine risk monitoring data collection and analysis method and system based on the Internet of Things </t>
  </si>
  <si>
    <t>æ±Ÿè¥¿ä¸Šé«˜å—æ–¹æ°´æ³¥æœ‰é™å…¬å¸</t>
  </si>
  <si>
    <t>çŽ‹å»ºæ³¢, æŸ¥è‰¯é©¹, è¢å¢žä¼Ÿ, æŽåœ£</t>
  </si>
  <si>
    <t>https://patents.google.com/patent/CN118855542B/en</t>
  </si>
  <si>
    <t>CN-217521109-U</t>
  </si>
  <si>
    <t xml:space="preserve">Integrative monitoring system of contaminated site aqueous vapor </t>
  </si>
  <si>
    <t>ä¸­å†¶é›†å›¢æ­¦æ±‰å‹˜å¯Ÿç ”ç©¶é™¢æœ‰é™å…¬å¸</t>
  </si>
  <si>
    <t>åˆ˜ç¬”è‰³, çŽ‹è¾‰, è‚œå»ºæ³¢, å´æ°, å§šä¸œç‚, ä½™æ™ºè¶…</t>
  </si>
  <si>
    <t>https://patents.google.com/patent/CN217521109U/en</t>
  </si>
  <si>
    <t>https://patentimages.storage.googleapis.com/cc/7a/70/8fc881aa25b9db/HDA0003620474600000011.png</t>
  </si>
  <si>
    <t>CN-119761946-B</t>
  </si>
  <si>
    <t xml:space="preserve">Petrochemical logistics storage and transportation safety monitoring method and system based on Internet of Things </t>
  </si>
  <si>
    <t>æ±Ÿè‹èƒœæ±Ÿæµ·è¿æœ‰é™å…¬å¸</t>
  </si>
  <si>
    <t>é™¶äº®, é¡¾é¼Žæ±Ÿ</t>
  </si>
  <si>
    <t>https://patents.google.com/patent/CN119761946B/en</t>
  </si>
  <si>
    <t>CN-115436374-B</t>
  </si>
  <si>
    <t xml:space="preserve">Leachate sewage monitoring system based on Internet of things </t>
  </si>
  <si>
    <t>æ¹–å—è¿ªäºšçŽ¯å¢ƒå·¥ç¨‹è‚¡ä»½æœ‰é™å…¬å¸</t>
  </si>
  <si>
    <t>è‚–å–æ­¦, ä¾¯ç«‹å±±</t>
  </si>
  <si>
    <t>https://patents.google.com/patent/CN115436374B/en</t>
  </si>
  <si>
    <t>https://patentimages.storage.googleapis.com/77/31/f3/b277e4d8d64991/220915161716.png</t>
  </si>
  <si>
    <t>CN-117166541-B</t>
  </si>
  <si>
    <t xml:space="preserve">A waterproofing system and method for basement exterior walls </t>
  </si>
  <si>
    <t>å›½æœºé™†åŽŸå·¥ç¨‹è®¾è®¡ç ”ç©¶æœ‰é™å…¬å¸</t>
  </si>
  <si>
    <t>æž—è‰ºçŽ², é»„é”¦éœž, éƒ­æ¯…æˆ, å€ªé™æµª, æž—æ•¬ä¼Ÿ, åˆ˜è¶…è£•, å‚…ä½³, æ´ªèª, æœ±åº†å¿ , æŽå³°, æ–¹å ƒ</t>
  </si>
  <si>
    <t>https://patents.google.com/patent/CN117166541B/en</t>
  </si>
  <si>
    <t>CN-120450651-B</t>
  </si>
  <si>
    <t xml:space="preserve">Deep foundation pit excavation construction control method and system for proximity sensitive building </t>
  </si>
  <si>
    <t>ä¸­é“ä¸‰å±€é›†å›¢ç¬¬äºŒå·¥ç¨‹æœ‰é™å…¬å¸, ä¸­é“(é›„å®‰)åŸŽå¸‚å»ºè®¾å‘å±•æœ‰é™å…¬å¸, ä¸­é“ä¸‰å±€é›†å›¢æœ‰é™å…¬å¸</t>
  </si>
  <si>
    <t>æ»•å¾·æ˜Ž, åˆ˜å‹‡, è–›è‰³æ°, çŽ‹å‡¯åŽ, å­Ÿåº†é˜³, éƒ­è¶…å…¨, é™ˆå®‡åš, å¼ åšè½©</t>
  </si>
  <si>
    <t>https://patents.google.com/patent/CN120450651B/en</t>
  </si>
  <si>
    <t>CN-222340204-U</t>
  </si>
  <si>
    <t xml:space="preserve">Automatic sprinkling irrigation device controlled by Internet of things </t>
  </si>
  <si>
    <t>å¤©æ´¥å¸‚æ–¹æ­£å»ºè®¾ç›‘ç†æœ‰é™å…¬å¸</t>
  </si>
  <si>
    <t>å¾æ¢“é¸¿, æŽé¹å®‡, è€¿é“åˆš, å¾æ¢“å‡¯, å½­ä¼Ÿ</t>
  </si>
  <si>
    <t>https://patents.google.com/patent/CN222340204U/en</t>
  </si>
  <si>
    <t>CN-215759083-U</t>
  </si>
  <si>
    <t xml:space="preserve">Side slope safety construction system based on Internet of things </t>
  </si>
  <si>
    <t>ä¸­é“äºŒå±€é›†å›¢æœ‰é™å…¬å¸, æ·±åœ³ä¸­é“äºŒå±€å·¥ç¨‹æœ‰é™å…¬å¸</t>
  </si>
  <si>
    <t>é©¬æœ´äº­, ä½•äº‘, åˆ˜ç¿», é‚“æœäº®, é™ˆçŽ®</t>
  </si>
  <si>
    <t>https://patents.google.com/patent/CN215759083U/en</t>
  </si>
  <si>
    <t>https://patentimages.storage.googleapis.com/74/48/77/7f68c2af85b970/210813153140.png</t>
  </si>
  <si>
    <t>CN-216206702-U</t>
  </si>
  <si>
    <t xml:space="preserve">Groundwater information dynamic monitoring system </t>
  </si>
  <si>
    <t>å±±ä¸œçœåœ°è´¨çŸ¿äº§å‹˜æŸ¥å¼€å‘å±€ç¬¬äº”åœ°è´¨å¤§é˜Ÿï¼ˆå±±ä¸œçœç¬¬äº”åœ°è´¨çŸ¿äº§å‹˜æŸ¥é™¢ï¼‰</t>
  </si>
  <si>
    <t>èƒ¡åº†çŽ², å­™è¡è¾‰, æŽç§€é›¯</t>
  </si>
  <si>
    <t>https://patents.google.com/patent/CN216206702U/en</t>
  </si>
  <si>
    <t>https://patentimages.storage.googleapis.com/81/bd/06/829bdd1c032479/HDA0003344573350000011.png</t>
  </si>
  <si>
    <t>CN-120087975-B</t>
  </si>
  <si>
    <t xml:space="preserve">Methods for assessing the environmental impact of carbon dioxide leakage from carbon sequestration projects on groundwater </t>
  </si>
  <si>
    <t>å¼ æˆé¾™, åˆçŽ‰æ°, é©¬é‘«, å¼ è¶…, ä»˜é›·</t>
  </si>
  <si>
    <t>https://patents.google.com/patent/CN120087975B/en</t>
  </si>
  <si>
    <t>CN-117583372-B</t>
  </si>
  <si>
    <t xml:space="preserve">Method for restoring chromium-polluted soil and/or underground water by using solar-coupled electrochemical enhanced minerals </t>
  </si>
  <si>
    <t>é²å®‰æ€€, å‘¨å·é‡Ž, å§¬ç¿”, ä¸ç«‘ç‘ž, çŽ‹é•¿ç§‹, æŽè‰³</t>
  </si>
  <si>
    <t>https://patents.google.com/patent/CN117583372B/en</t>
  </si>
  <si>
    <t>CN-121032334-B</t>
  </si>
  <si>
    <t xml:space="preserve">A Smart Prediction System for Groundwater Storage Variables Based on Multi-Source Data Fusion and Parameter Optimization </t>
  </si>
  <si>
    <t>ä¸­å›½åœ°è´¨ç§‘å­¦é™¢æ°´æ–‡åœ°è´¨çŽ¯å¢ƒåœ°è´¨ç ”ç©¶æ‰€</t>
  </si>
  <si>
    <t>æ¨ä¼šå³°, å­Ÿç‘žèŠ³, æŽæ³½å²©, å®‹åš, ç™½åŽ, åŒ…é”¡éºŸ</t>
  </si>
  <si>
    <t>https://patents.google.com/patent/CN121032334B/en</t>
  </si>
  <si>
    <t>CN-120945957-B</t>
  </si>
  <si>
    <t xml:space="preserve">Foundation pit seepage monitoring method and system based on Internet of things </t>
  </si>
  <si>
    <t>æµ™æ±Ÿå·¥ä¸šå¤§å­¦å·¥ç¨‹è®¾è®¡é›†å›¢æœ‰é™å…¬å¸, ä¸­é“åä¸€å±€é›†å›¢æœ‰é™å…¬å¸, æµ™æ±Ÿå·¥ä¸šå¤§å­¦</t>
  </si>
  <si>
    <t>æ²ˆæ°è¶…, çŽ‹ç§‹ç¦, é™ˆçº¢, æ¨æ³¢, é’¦ç™»ç§‘, çŽ‹æ•, æŽå¨æŒ¯</t>
  </si>
  <si>
    <t>https://patents.google.com/patent/CN120945957B/en</t>
  </si>
  <si>
    <t>CN-214310468-U</t>
  </si>
  <si>
    <t xml:space="preserve">IoT-based groundwater quality detection system </t>
  </si>
  <si>
    <t>å®å¤èŒä¸šæŠ€æœ¯å­¦é™¢ï¼ˆå®å¤å¹¿æ’­ç”µè§†å¤§å­¦ï¼‰</t>
  </si>
  <si>
    <t>é²è</t>
  </si>
  <si>
    <t>https://patents.google.com/patent/CN214310468U/en</t>
  </si>
  <si>
    <t>https://patentimages.storage.googleapis.com/87/fb/cb/68347ff1a53269/HDA0002913506110000011.png</t>
  </si>
  <si>
    <t>CN-121334716-B</t>
  </si>
  <si>
    <t xml:space="preserve">Karst water dynamic monitoring and management method and system based on Internet of things </t>
  </si>
  <si>
    <t>å­™æ–Œ, éƒ­ç§€å†›, äºŽå¤§æ½ž, é½æ¬¢</t>
  </si>
  <si>
    <t>https://patents.google.com/patent/CN121334716B/en</t>
  </si>
  <si>
    <t>CN-223669885-U</t>
  </si>
  <si>
    <t xml:space="preserve">Device for repairing chromium-polluted soil and/or underground water by using electrochemical enhanced minerals </t>
  </si>
  <si>
    <t>https://patents.google.com/patent/CN223669885U/en</t>
  </si>
  <si>
    <t>CN-120331872-B</t>
  </si>
  <si>
    <t xml:space="preserve">Tunnel construction safety monitoring system based on the Internet of Things </t>
  </si>
  <si>
    <t>äº‘å¯å‹˜æµ‹è®¾è®¡æœ‰é™å…¬å¸</t>
  </si>
  <si>
    <t>æ±¤ä¹¦å†›, è‘›å»ºæ–Œ, éƒ‘å½¬, ä¸¥éŸ¬, æ¨ä¼ŸèŠ, æ›¹æ‰æ´², ç¨‹æ™“å¨, æ›¹æ…§éœž</t>
  </si>
  <si>
    <t>https://patents.google.com/patent/CN120331872B/en</t>
  </si>
  <si>
    <t>CN-120634324-B</t>
  </si>
  <si>
    <t xml:space="preserve">Debris Flow Emergency Monitoring System, Methods, and Media Based on Internet of Things Big Data Model </t>
  </si>
  <si>
    <t>æˆéƒ½ç§¦å·ç‰©è”ç½‘ç§‘æŠ€è‚¡ä»½æœ‰é™å…¬å¸</t>
  </si>
  <si>
    <t>é‚µæ±‰èˆ’</t>
  </si>
  <si>
    <t>https://patents.google.com/patent/CN120634324B/en</t>
  </si>
  <si>
    <t>CN-119026745-B</t>
  </si>
  <si>
    <t xml:space="preserve">Groundwater environmental assessment quality prediction method based on Internet of Things nodes </t>
  </si>
  <si>
    <t>åŒ—äº¬ä¸­çŽ¯ç‘žå¾·çŽ¯å¢ƒå·¥ç¨‹æŠ€æœ¯æœ‰é™å…¬å¸</t>
  </si>
  <si>
    <t>é»„ä¸½å¨œ, æŽå©·å©·, é­å¢žæ™º, å±•é£ž, åˆ˜æ˜€</t>
  </si>
  <si>
    <t>https://patents.google.com/patent/CN119026745B/en</t>
  </si>
  <si>
    <t>CN-218885073-U</t>
  </si>
  <si>
    <t xml:space="preserve">A groundwater level laser measurement system and measurement device using discrete targets </t>
  </si>
  <si>
    <t>ä¸œåŒ—æž—ä¸šå¤§å­¦</t>
  </si>
  <si>
    <t>æ­¦é’¢, å­™å•¸åº·</t>
  </si>
  <si>
    <t>https://patents.google.com/patent/CN218885073U/en</t>
  </si>
  <si>
    <t>https://patentimages.storage.googleapis.com/a3/83/1d/02815040ce4c53/HDA0003990796370000011.png</t>
  </si>
  <si>
    <t>CN-115938067-B</t>
  </si>
  <si>
    <t xml:space="preserve">A tunnel entrance traffic safety monitoring and early warning system based on the Internet of Things </t>
  </si>
  <si>
    <t>æ±Ÿè¥¿äº¤é€šèŒä¸šæŠ€æœ¯å­¦é™¢, åŽä¸œäº¤é€šå¤§å­¦</t>
  </si>
  <si>
    <t>éƒ‘å«åŽ, åˆ˜å‹‡, å¢æ–‡å…¨, è”¡é¾™æˆ, ç¥æŒ¯æ•</t>
  </si>
  <si>
    <t>https://patents.google.com/patent/CN115938067B/en</t>
  </si>
  <si>
    <t>KR-102615078-B1</t>
  </si>
  <si>
    <t xml:space="preserve">Monitoring apparatus for underground power line using IoT sensors </t>
  </si>
  <si>
    <t>https://patents.google.com/patent/KR102615078B1/en</t>
  </si>
  <si>
    <t>CN-220584194-U</t>
  </si>
  <si>
    <t xml:space="preserve">Water quality monitoring and early warning device based on Internet of things </t>
  </si>
  <si>
    <t>å±±ä¸œæ’æºçŽ¯å¢ƒæŠ€æœ¯æœ‰é™å…¬å¸</t>
  </si>
  <si>
    <t>å¤èŠ³èŠ³, ç‹„æ™¯éš†, æ›¾è²è²</t>
  </si>
  <si>
    <t>https://patents.google.com/patent/CN220584194U/en</t>
  </si>
  <si>
    <t>KR-102621071-B1</t>
  </si>
  <si>
    <t xml:space="preserve">Underground electric power line monitoring system using sub pipe </t>
  </si>
  <si>
    <t>https://patents.google.com/patent/KR102621071B1/en</t>
  </si>
  <si>
    <t>KR-102621068-B1</t>
  </si>
  <si>
    <t xml:space="preserve">Underground electric power line monitoring system using induced current </t>
  </si>
  <si>
    <t>https://patents.google.com/patent/KR102621068B1/en</t>
  </si>
  <si>
    <t>CN-120182043-B</t>
  </si>
  <si>
    <t xml:space="preserve">Real-time collection and processing method and system of hydrological data based on the Internet of Things </t>
  </si>
  <si>
    <t>é•¿æ²™è€€è”è®¡ç®—æœºæœ‰é™å…¬å¸</t>
  </si>
  <si>
    <t>å¼ åœ£å†›</t>
  </si>
  <si>
    <t>https://patents.google.com/patent/CN120182043B/en</t>
  </si>
  <si>
    <t>CN-215084508-U</t>
  </si>
  <si>
    <t xml:space="preserve">Fire safety supervision device based on internet of things </t>
  </si>
  <si>
    <t>æ–½æ­¦æ–‡</t>
  </si>
  <si>
    <t>https://patents.google.com/patent/CN215084508U/en</t>
  </si>
  <si>
    <t>https://patentimages.storage.googleapis.com/4d/21/4e/c7652e8a7348bb/HDA0002991041970000011.png</t>
  </si>
  <si>
    <t>CN-119918940-B</t>
  </si>
  <si>
    <t xml:space="preserve">A method, system, medium, and equipment for dynamic early warning of risks in deep foundation pit construction. </t>
  </si>
  <si>
    <t>éƒ‘é£ž, å®‰é›ªé”‹, ç„¦çŽ‰å‹‡, æ­¦æ–‡å®‰, æŽèŠ·, é‚¹ä¿Šé¹, è°­é£ž</t>
  </si>
  <si>
    <t>https://patents.google.com/patent/CN119918940B/en</t>
  </si>
  <si>
    <t>CN-118244692-B</t>
  </si>
  <si>
    <t xml:space="preserve">A method for collecting data on-site for groundwater in-situ remediation </t>
  </si>
  <si>
    <t>æˆéƒ½ç†å·¥å¤§å­¦</t>
  </si>
  <si>
    <t>åˆ˜å†›, è‹ç•…, æ›¾å›½å¼º, æ¨å°å³°, æ¨å¼º</t>
  </si>
  <si>
    <t>https://patents.google.com/patent/CN118244692B/en</t>
  </si>
  <si>
    <t>AU-2021103839-A4</t>
  </si>
  <si>
    <t xml:space="preserve">An internet of things based civil engineering water pump with embedded solar system </t>
  </si>
  <si>
    <t>Surya Prasada Borra, Devi, M Parimala, Veeresh Fuskele, Kumar, V Sravan, M, Hari Hara P, Praful Nandankar, Shanmugasundaram, V, Shinde, Kartik N, T, Anuradha, T, Logeswaran</t>
  </si>
  <si>
    <t>Surya Prasada Borra, M. Parimala Devi, Veeresh Fuskele, V. Sravan Kumar, Hari Hara P. M., Praful Nandankar, V. Shanmugasundaram, Kartik N. Shinde, Anuradha T., Logeswaran T.</t>
  </si>
  <si>
    <t>https://patents.google.com/patent/AU2021103839A4/en</t>
  </si>
  <si>
    <t>CN-121115615-B</t>
  </si>
  <si>
    <t xml:space="preserve">Electromechanical well integrated remote intelligent measurement and control system based on Internet of things </t>
  </si>
  <si>
    <t>æ–°ç–†ä¸­å†œæ™ºæ°´ç§‘æŠ€æœ‰é™å…¬å¸</t>
  </si>
  <si>
    <t>é©¬é“å¤, é˜¿å¸ƒéƒ½å¡ä¾æœ¨Â·é˜¿å¸ƒåŠ›ç±³æ, é˜¿ä¾å¤ä¸½Â·è‰¾ç§‘æ‹œå°”, è¾›ä½³å®, é©¬å©§å½¤</t>
  </si>
  <si>
    <t>https://patents.google.com/patent/CN121115615B/en</t>
  </si>
  <si>
    <t>CN-223756119-U</t>
  </si>
  <si>
    <t xml:space="preserve">Groundwater seepage monitoring device </t>
  </si>
  <si>
    <t>é™•è¥¿çœå»ºç­‘ç§‘å­¦ç ”ç©¶é™¢æœ‰é™å…¬å¸, é™•è¥¿çœå»ºç­‘å·¥ç¨‹è´¨é‡æ£€æµ‹ä¸­å¿ƒæœ‰é™å…¬å¸</t>
  </si>
  <si>
    <t>åˆ˜å­˜åˆ©, è€¿æ®¿æ ‹, ä»»ä¼šæ˜Ž, æŽç¿å¦®, é­å¹³å¹³, ä½™å½¦, æŽé™</t>
  </si>
  <si>
    <t>https://patents.google.com/patent/CN223756119U/en</t>
  </si>
  <si>
    <t>CN-120513841-B</t>
  </si>
  <si>
    <t xml:space="preserve">Water-saving irrigation treatment method and system combined with Internet of things module </t>
  </si>
  <si>
    <t>æ­å·žæ°´åˆ©æ°´ç”µå‹˜æµ‹è®¾è®¡é™¢æœ‰é™å…¬å¸ä¿¡æ¯æŠ€æœ¯åˆ†é™¢</t>
  </si>
  <si>
    <t>å”äºšä¸½, é«˜ä¼šè‰³, èƒ¡è¶…, æŽå®å“²</t>
  </si>
  <si>
    <t>https://patents.google.com/patent/CN120513841B/en</t>
  </si>
  <si>
    <t>CN-220651111-U</t>
  </si>
  <si>
    <t xml:space="preserve">Internet of things control system for sewage treatment </t>
  </si>
  <si>
    <t>é’å²›å† ä¸­ç”Ÿæ€è‚¡ä»½æœ‰é™å…¬å¸</t>
  </si>
  <si>
    <t>å¼ å¼é›·, æŽæ˜¥æž—, æŽçŠçŠ, åˆ˜æ–°ä¼Ÿ, è°·é¹æ—­, å§œï¿½ç¡•, å¾æ˜¥èŽ¹</t>
  </si>
  <si>
    <t>https://patents.google.com/patent/CN220651111U/en</t>
  </si>
  <si>
    <t>CN-216254351-U</t>
  </si>
  <si>
    <t xml:space="preserve">High-efficiency energy-saving intelligent mushroom shed for cultivating flower mushrooms all year round </t>
  </si>
  <si>
    <t>å¹¿çµåŽ¿åŒ—é‡Žé£Ÿç”¨èŒä¸šå¼€å‘æœ‰é™è´£ä»»å…¬å¸</t>
  </si>
  <si>
    <t>èµµæ–Œ, çŸ³å»ºæ£®, ä»å®—ä¹‰</t>
  </si>
  <si>
    <t>https://patents.google.com/patent/CN216254351U/en</t>
  </si>
  <si>
    <t>https://patentimages.storage.googleapis.com/f7/60/86/512101fd6314f1/HDA0003394124130000011.png</t>
  </si>
  <si>
    <t>CN-214423467-U</t>
  </si>
  <si>
    <t>https://patents.google.com/patent/CN214423467U/en</t>
  </si>
  <si>
    <t>https://patentimages.storage.googleapis.com/c0/10/a1/8598338d0d74db/HDA0002756972060000011.png</t>
  </si>
  <si>
    <t>AU-2021101890-A4</t>
  </si>
  <si>
    <t xml:space="preserve">Internet of things apparatus for detection &amp; monitor operation physical parameter for safe manhole </t>
  </si>
  <si>
    <t>Acharya, Biswaranjan MR, Das, Puja MS, Dash, Alina MS, Dash, Sidhartha Sekhar MR, Jamader, Asik Rahaman MR, Makkar, Sandhya DR, Nanda, Ipseeta DR, Nath, Mahendra Prasad MR, Shahi, Sarvesh Kumar MR</t>
  </si>
  <si>
    <t>Biswaranjan Acharya, Puja Das, Alina Dash, Sidhartha Sekhar Dash, Asik Rahaman Jamader, Sandhya Makkar, Ipseeta Nanda, Mahendra Prasad Nath, Sarvesh Kumar Shahi</t>
  </si>
  <si>
    <t>https://patents.google.com/patent/AU2021101890A4/en</t>
  </si>
  <si>
    <t>CN-219227634-U</t>
  </si>
  <si>
    <t xml:space="preserve">Campus IOT (internet of things) system management platform </t>
  </si>
  <si>
    <t>åŽ¦é—¨åŽç‚€æ™ºæ…§åŸŽå¸‚å»ºè®¾æœ‰é™å…¬å¸</t>
  </si>
  <si>
    <t>å¼ å‘å…´</t>
  </si>
  <si>
    <t>https://patents.google.com/patent/CN219227634U/en</t>
  </si>
  <si>
    <t>https://patentimages.storage.googleapis.com/e7/e4/9e/2f08a22acd072c/HDA0004162794160000011.png</t>
  </si>
  <si>
    <t>CN-120660615-B</t>
  </si>
  <si>
    <t xml:space="preserve">Multimodal water-saving sprinkler irrigation system based on the Internet of Things </t>
  </si>
  <si>
    <t>æ±Ÿè‹åŽæºèŠ‚æ°´è‚¡ä»½æœ‰é™å…¬å¸</t>
  </si>
  <si>
    <t>ä¾¯å†‰, é»„æ—­å‡, çŸ³é˜¶æž—, éƒ­é¾™, æœæŸ¯, å¼ å¤©æ…§, å¾å¼º</t>
  </si>
  <si>
    <t>https://patents.google.com/patent/CN120660615B/en</t>
  </si>
  <si>
    <t>CN-214279150-U</t>
  </si>
  <si>
    <t xml:space="preserve">House immersion monitoring system based on Internet of things </t>
  </si>
  <si>
    <t>é™•è¥¿æœºç”µèŒä¸šæŠ€æœ¯å­¦é™¢</t>
  </si>
  <si>
    <t>åˆ˜èŠ³èŠ³, è°­ä¼Ÿæµ©, é©¬æµ·å½¦, å­™é’Š</t>
  </si>
  <si>
    <t>https://patents.google.com/patent/CN214279150U/en</t>
  </si>
  <si>
    <t>https://patentimages.storage.googleapis.com/df/7c/10/c789413b382ef2/HDA0002960373780000011.png</t>
  </si>
  <si>
    <t>CN-219794157-U</t>
  </si>
  <si>
    <t xml:space="preserve">Sponge city intelligent rainwater emission monitoring system </t>
  </si>
  <si>
    <t>å…´åˆçŽ¯ä¿ç§‘æŠ€(å±±ä¸œ)æœ‰é™å…¬å¸</t>
  </si>
  <si>
    <t>é‚µæ˜Žæ¶›, åˆ˜å§—</t>
  </si>
  <si>
    <t>https://patents.google.com/patent/CN219794157U/en</t>
  </si>
  <si>
    <t>CN-118364543-B</t>
  </si>
  <si>
    <t xml:space="preserve">Method and system for early warning of slope stability and drainage condition of water-rich area </t>
  </si>
  <si>
    <t>ä¸­é“åä¹å±€é›†å›¢çŸ¿ä¸šæŠ•èµ„æœ‰é™å…¬å¸</t>
  </si>
  <si>
    <t>å¼ èŒœ, é‚µæ–Œ, èµµé‘«</t>
  </si>
  <si>
    <t>https://patents.google.com/patent/CN118364543B/en</t>
  </si>
  <si>
    <t>CN-119313496-B</t>
  </si>
  <si>
    <t xml:space="preserve">A dynamic coupling method of moisture process based on black soil tillage layer-surface-atmosphere </t>
  </si>
  <si>
    <t>ä¸œåŒ—å†œä¸šå¤§å­¦</t>
  </si>
  <si>
    <t>æŽèŒ‰, é™ˆé¢–çŠ, ä»˜å¼º, çŽ‹å°èŠ³, å¼ æˆé¾™</t>
  </si>
  <si>
    <t>https://patents.google.com/patent/CN119313496B/en</t>
  </si>
  <si>
    <t>CN-211948569-U</t>
  </si>
  <si>
    <t xml:space="preserve">A sunken groundwater monitoring wellhead protection device </t>
  </si>
  <si>
    <t>å±±ä¸œçœåœ°è´¨çŸ¿äº§å‹˜æŸ¥å¼€å‘å±€å…«ã€‡ä¸€æ°´æ–‡åœ°è´¨å·¥ç¨‹åœ°è´¨å¤§é˜Ÿ</t>
  </si>
  <si>
    <t>é«˜æ–‡é”‹, å½­å‡¯, äºŽå¤§ç’, æ®·ä¸œæ–¹, æ–¹æ™“, è’‹ç£Š</t>
  </si>
  <si>
    <t>https://patents.google.com/patent/CN211948569U/en</t>
  </si>
  <si>
    <t>https://patentimages.storage.googleapis.com/29/4d/0c/f8a283b2e76327/200313160757.png</t>
  </si>
  <si>
    <t>CN-115902873-B</t>
  </si>
  <si>
    <t xml:space="preserve">Radar control early warning adjusting system and method based on Internet of things </t>
  </si>
  <si>
    <t>æ‰¬å·žå®‡å®‰ç”µå­ç§‘æŠ€æœ‰é™å…¬å¸</t>
  </si>
  <si>
    <t>æŽç»§é”‹, é™ˆé“­, æŽæ™ƒ, æœ±æ–‡æ˜Ž</t>
  </si>
  <si>
    <t>https://patents.google.com/patent/CN115902873B/en</t>
  </si>
  <si>
    <t>CN-115876280-B</t>
  </si>
  <si>
    <t xml:space="preserve">Semi-automatic paddy field water level monitoring system and paddy field water management method </t>
  </si>
  <si>
    <t>åŽä¸­å†œä¸šå¤§å­¦</t>
  </si>
  <si>
    <t>é™ˆæ¾æ–‡, å¼ è€€äº‘, æ›¹å‡‘è´µ</t>
  </si>
  <si>
    <t>https://patents.google.com/patent/CN115876280B/en</t>
  </si>
  <si>
    <t>CN-214845226-U</t>
  </si>
  <si>
    <t xml:space="preserve">Underground water PH value real-time monitoring device </t>
  </si>
  <si>
    <t>æ±Ÿè‹åº·è™žæ™ºæ…§ç‰©è”ç½‘ç§‘æŠ€æœ‰é™å…¬å¸</t>
  </si>
  <si>
    <t>å¼ äº®</t>
  </si>
  <si>
    <t>https://patents.google.com/patent/CN214845226U/en</t>
  </si>
  <si>
    <t>https://patentimages.storage.googleapis.com/92/b9/4c/89a090ee810cc1/HDA0003178274900000011.png</t>
  </si>
  <si>
    <t>CN-222027725-U</t>
  </si>
  <si>
    <t xml:space="preserve">A multifunctional groundwater monitoring device </t>
  </si>
  <si>
    <t>æ¹–åŒ—é„‚è¥¿åœ°è´¨è®¾è®¡æœ‰é™å…¬å¸</t>
  </si>
  <si>
    <t>é¾šä¸¹, å¾æµ·å®¾, åˆ˜ä½å¤·, å‘¨é‘«, æŽç£Š, ä½™å¿—æƒ, å¼ è¿ª, åˆ˜åŠ›</t>
  </si>
  <si>
    <t>https://patents.google.com/patent/CN222027725U/en</t>
  </si>
  <si>
    <t>CN-223782686-U</t>
  </si>
  <si>
    <t xml:space="preserve">A heating pipeline leak monitoring device </t>
  </si>
  <si>
    <t>åŒ—äº¬é¦–èƒ½åˆ›æºç§‘æŠ€æœ‰é™å…¬å¸</t>
  </si>
  <si>
    <t>åˆ˜é£Žé›·, å´å¨…æ¥ , åˆ˜ä¸‡çŽ‰, æŽæ•</t>
  </si>
  <si>
    <t>https://patents.google.com/patent/CN223782686U/en</t>
  </si>
  <si>
    <t>CN-116856445-B</t>
  </si>
  <si>
    <t xml:space="preserve">Intelligent monitoring and control equipment for foundation pit dewatering </t>
  </si>
  <si>
    <t>å­™éœ‡, å†·æ˜Žäº®, æŽä¼Ÿ, å¾åŒ–è¥, è°¢æ´ªæ ‹, å­™æ½‡, é›·ç‡•é¹, å¼ è…¾, äºŽå»ºä¸š, é™¶å¢žè£, ä»²è–‡éœ–, å½­å›½å¹³, æŽæ°¸ç¦, æŽè‰³è¶…, å­”å¾·å®½, å®‹çº¯é£ž, æ¨å­å½’, å´ä¼Ÿ</t>
  </si>
  <si>
    <t>https://patents.google.com/patent/CN116856445B/en</t>
  </si>
  <si>
    <t>CN-120808580-B</t>
  </si>
  <si>
    <t xml:space="preserve">Intelligent Early Warning Method and System for Tunnel Composite Disasters Based on Tilting Digital Twin </t>
  </si>
  <si>
    <t>å±±ä¸œå¤§å­¦</t>
  </si>
  <si>
    <t>è®¸æŒ¯æµ©, ä»»å­å¥, çŽ‹æ–‡æ‰¬, æž—é¹, æ½˜ä¸œä¸œ, èµµå­å½¦</t>
  </si>
  <si>
    <t>https://patents.google.com/patent/CN120808580B/en</t>
  </si>
  <si>
    <t>US-12535837-B2</t>
  </si>
  <si>
    <t xml:space="preserve">Method and apparatus for a well-based groundwater delivery system </t>
  </si>
  <si>
    <t>Well Sense Technologies</t>
  </si>
  <si>
    <t>Bryan Taylor</t>
  </si>
  <si>
    <t>https://patents.google.com/patent/US12535837B2/en</t>
  </si>
  <si>
    <t>https://patentimages.storage.googleapis.com/US12535837B2/US12535837-20260127-D00000.png</t>
  </si>
  <si>
    <t>CN-214670138-U</t>
  </si>
  <si>
    <t xml:space="preserve">Soil pollution information acquisition device </t>
  </si>
  <si>
    <t>é¥¶é€¸é©°, å¼ æ’, å­™åšæ–‡, æ¨è¿œç¥¥, æœ±é›ªæ¢…, ç¨‹ç« , å¾å°é€Š, æ¨å å½ª, é²œéªä»</t>
  </si>
  <si>
    <t>https://patents.google.com/patent/CN214670138U/en</t>
  </si>
  <si>
    <t>https://patentimages.storage.googleapis.com/ea/87/cf/98cea02cf317eb/HDA0002894441370000011.png</t>
  </si>
  <si>
    <t>CN-216161022-U</t>
  </si>
  <si>
    <t xml:space="preserve">Automatic control box capable of actively draining and relieving pressure </t>
  </si>
  <si>
    <t>ä¸­å›½å»ºç­‘è¥¿å—å‹˜å¯Ÿè®¾è®¡ç ”ç©¶é™¢æœ‰é™å…¬å¸</t>
  </si>
  <si>
    <t>èƒ¡ç† , éƒ‘ç«‹å®, åº·æ™¯æ–‡, æ¢æ ‘, èƒ¡æ€€ä», çŽ‹å»º, å¾å‡¯, ç½—ç›Šæ–Œ, çºªæ™ºè¶…, æ²ˆæ”€, å¼ é›ªèŠ¹</t>
  </si>
  <si>
    <t>https://patents.google.com/patent/CN216161022U/en</t>
  </si>
  <si>
    <t>https://patentimages.storage.googleapis.com/25/b2/31/833f61b5191772/HDA0003176963930000011.png</t>
  </si>
  <si>
    <t>CN-120486372-B</t>
  </si>
  <si>
    <t xml:space="preserve">A biomimetic root-type variable cross-section drainage composite pile structure </t>
  </si>
  <si>
    <t>ä¸­å›½åä¸ƒå†¶é›†å›¢æœ‰é™å…¬å¸</t>
  </si>
  <si>
    <t>å¿åŸ¹ä¿Š, èŒƒå»ºé£ž, çŽ‹èªèª</t>
  </si>
  <si>
    <t>https://patents.google.com/patent/CN120486372B/en</t>
  </si>
  <si>
    <t>CN-120974940-B</t>
  </si>
  <si>
    <t xml:space="preserve">A method and system for predicting water inflow during the operation of a water-rich tunnel with a steep longitudinal slope </t>
  </si>
  <si>
    <t>è¥¿å—äº¤é€šå¤§å­¦</t>
  </si>
  <si>
    <t>é™ˆå­å…¨, ä½•å·, è°¢ä½œæ ‹, é‚¹è‚²éºŸ, åˆ˜é™, è©¹é¸¿ç¥¥, æ±ªæ³¢, çŽ‹æ¥·è¶Š</t>
  </si>
  <si>
    <t>https://patents.google.com/patent/CN120974940B/en</t>
  </si>
  <si>
    <t>KR-102642010-B1</t>
  </si>
  <si>
    <t xml:space="preserve">Monitoring apparatus for underground power line cable </t>
  </si>
  <si>
    <t>ì£¼ì‹íšŒì‚¬ íš¨ì •ì´ì—”ì”¨</t>
  </si>
  <si>
    <t>ê¹€ì¶˜ì˜¥</t>
  </si>
  <si>
    <t>https://patents.google.com/patent/KR102642010B1/en</t>
  </si>
  <si>
    <t>CN-214893559-U</t>
  </si>
  <si>
    <t xml:space="preserve">Colliery is sump water level monitoring system in pit based on thing networking </t>
  </si>
  <si>
    <t>å—äº¬å²±äº¿ç§‘æŠ€æœ‰é™å…¬å¸</t>
  </si>
  <si>
    <t>æ›¹é¾™, è–›æ¶›, ç¿Ÿæ¸Šè¾‰</t>
  </si>
  <si>
    <t>https://patents.google.com/patent/CN214893559U/en</t>
  </si>
  <si>
    <t>https://patentimages.storage.googleapis.com/d9/ae/ba/163bff0228998a/HDA0003147123210000011.png</t>
  </si>
  <si>
    <t>CN-218473182-U</t>
  </si>
  <si>
    <t xml:space="preserve">Wisdom building site secondary pollution prevention and control system based on soil remediation trade </t>
  </si>
  <si>
    <t>æ£®ç‰¹å£«å…´çŽ¯ä¿ç§‘æŠ€æœ‰é™å…¬å¸</t>
  </si>
  <si>
    <t>å¶æ¸Š, æœ±ç„°, è´¾å½¦éš½, åˆ˜æ™¶æ™¶, çŽ‹ä¹¾é”</t>
  </si>
  <si>
    <t>https://patents.google.com/patent/CN218473182U/en</t>
  </si>
  <si>
    <t>https://patentimages.storage.googleapis.com/f8/da/27/00d98501d241e6/HDA0003937551480000011.png</t>
  </si>
  <si>
    <t>CN-219656926-U</t>
  </si>
  <si>
    <t xml:space="preserve">Multi-adaptation type water vapor sound environment monitoring box </t>
  </si>
  <si>
    <t>å—äº¬å¤§å­¦</t>
  </si>
  <si>
    <t>é»„è•¾, é©¬å…‰æ­£, åˆ˜å‡¡, å½­ç¥¥é›¯</t>
  </si>
  <si>
    <t>https://patents.google.com/patent/CN219656926U/en</t>
  </si>
  <si>
    <t>CN-214376910-U</t>
  </si>
  <si>
    <t xml:space="preserve">Internet of things acquisition terminal based on intelligent chip </t>
  </si>
  <si>
    <t>æ±Ÿè‹æ™ºæ°´æ™ºèƒ½ç§‘æŠ€æœ‰é™è´£ä»»å…¬å¸</t>
  </si>
  <si>
    <t>æŽæµ·æ¶›</t>
  </si>
  <si>
    <t>https://patents.google.com/patent/CN214376910U/en</t>
  </si>
  <si>
    <t>https://patentimages.storage.googleapis.com/35/aa/6c/71c25174a2f260/HDA0002855454580000011.png</t>
  </si>
  <si>
    <t>CN-121089851-B</t>
  </si>
  <si>
    <t xml:space="preserve">Groundwater telemetry system and self-calibration method </t>
  </si>
  <si>
    <t>ç™½é©å­¦, æŽç‘žå†¬, ä¸å›½è½©, é¾™èŒ‚æ³½, ä½™é£ž, è¾¹æ´</t>
  </si>
  <si>
    <t>https://patents.google.com/patent/CN121089851B/en</t>
  </si>
  <si>
    <t>CN-211697084-U</t>
  </si>
  <si>
    <t xml:space="preserve">Automatic well-flushing water sample sampler of thing networking </t>
  </si>
  <si>
    <t>https://patents.google.com/patent/CN211697084U/en</t>
  </si>
  <si>
    <t>https://patentimages.storage.googleapis.com/22/1c/6c/93957e2fd43247/HDA0002361188370000011.png</t>
  </si>
  <si>
    <t>CN-120181412-B</t>
  </si>
  <si>
    <t xml:space="preserve">Determination method for sand content of open caisson type shaft tunneling slurry of water-rich sand pebble stratum </t>
  </si>
  <si>
    <t>ä¸­é“å››å±€é›†å›¢æœ‰é™å…¬å¸, ä¸­é“å››å±€é›†å›¢æœ‰é™å…¬å¸åŸŽå¸‚è½¨é“äº¤é€šå·¥ç¨‹åˆ†å…¬å¸, å®‰å¾½å»ºç­‘å¤§å­¦</t>
  </si>
  <si>
    <t>çŽ‹åœ£æ¶›, èŠ±ç‡•èˆŸ, å½­ä¸–é¾™, é—«é«˜é—¯, å‘¨ç»´, ç¨‹æ¡¦, é‡‘å¹³, å°‰ä¼ é¾™, çŽ‹ç¿”, æ¥šæ¶›, çŽ‹ä¼Ÿ, æ›¹å¹¿å‹‡, å°¹çª</t>
  </si>
  <si>
    <t>https://patents.google.com/patent/CN120181412B/en</t>
  </si>
  <si>
    <t>CN-120724925-B</t>
  </si>
  <si>
    <t xml:space="preserve">Remote perception enhancement system for ground water level monitoring </t>
  </si>
  <si>
    <t>å±±ä¸œè½¨é“äº¤é€šå·¥ç¨‹å’¨è¯¢æœ‰é™å…¬å¸, å±±ä¸œåŽè¿ªæ™ºèƒ½æŠ€æœ¯æœ‰é™å…¬å¸</t>
  </si>
  <si>
    <t>èŽ«å‰é”, çŽ‹å…´äº‘, æœæ™“å³°, æŽå³°, çŽ‹é‘«, è·¯å€©å€©, æ¨æœˆå½ª, æŽæƒ³, æŽçˆ½</t>
  </si>
  <si>
    <t>https://patents.google.com/patent/CN120724925B/en</t>
  </si>
  <si>
    <t>KR-102412519-B1</t>
  </si>
  <si>
    <t xml:space="preserve">Remote monitoring control device for water treatment facilities using intelligent system </t>
  </si>
  <si>
    <t>ìœ¤ìš©ìˆ˜</t>
  </si>
  <si>
    <t>https://patents.google.com/patent/KR102412519B1/en</t>
  </si>
  <si>
    <t>https://patentimages.storage.googleapis.com/a3/10/0f/895328ffac6bde/112021108446796-pat00001.png</t>
  </si>
  <si>
    <t>KR-102642009-B1</t>
  </si>
  <si>
    <t xml:space="preserve">Monitoring system for underground power line cable </t>
  </si>
  <si>
    <t>https://patents.google.com/patent/KR102642009B1/en</t>
  </si>
  <si>
    <t>CN-120337041-B</t>
  </si>
  <si>
    <t xml:space="preserve">Mine ecological problem identification method based on artificial intelligence </t>
  </si>
  <si>
    <t>å››å·çœçŸ³æ£‰åŽ¿æ’è¾¾ç²‰ä½“ææ–™æœ‰é™è´£ä»»å…¬å¸</t>
  </si>
  <si>
    <t>å½­è´µæ˜Ž, æŽæž—å¯Œ, é©¬ç¿Žç¿”, é©¬ç¿Žç€š</t>
  </si>
  <si>
    <t>https://patents.google.com/patent/CN120337041B/en</t>
  </si>
  <si>
    <t>US-12392116-B2</t>
  </si>
  <si>
    <t>Ofer Tenenbaum, George Stuart Richmond, Dana Myers, Andrew James Emerick, Mahdad Talebpour</t>
  </si>
  <si>
    <t>https://patents.google.com/patent/US12392116B2/en</t>
  </si>
  <si>
    <t>https://patentimages.storage.googleapis.com/US12392116B2/US12392116-20250819-D00000.png</t>
  </si>
  <si>
    <t>CN-116952880-B</t>
  </si>
  <si>
    <t xml:space="preserve">A detection system and detection method suitable for various media </t>
  </si>
  <si>
    <t>é’Ÿé“æ—­, çŽ‹æ°´, æŸç«‹æ£®, çŽ‹èŽ¹, å‚…åšæ–‡</t>
  </si>
  <si>
    <t>https://patents.google.com/patent/CN116952880B/en</t>
  </si>
  <si>
    <t>CN-216753019-U</t>
  </si>
  <si>
    <t xml:space="preserve">Fungus cultivation environment monitoring system based on cloud platform </t>
  </si>
  <si>
    <t>é’å²›é»„æµ·å­¦é™¢</t>
  </si>
  <si>
    <t>åˆ˜å€©å¤, åˆ˜åŸ¹å­¦, ç‰›æµ·æ˜¥, é™ˆçŽ‰æ°, é—«ä¸œ, ç§¦å¯Œè´ž, éŸ©å†›æ™“, çŽ‹æŒ¯å®‡, å¸¸æ€¡èŒ, é«˜ä¼šé›¯</t>
  </si>
  <si>
    <t>https://patents.google.com/patent/CN216753019U/en</t>
  </si>
  <si>
    <t>https://patentimages.storage.googleapis.com/47/d1/74/30921ca06b96de/HDA0003454557340000011.png</t>
  </si>
  <si>
    <t>CN-221350172-U</t>
  </si>
  <si>
    <t xml:space="preserve">Geological disaster early warning and monitoring device </t>
  </si>
  <si>
    <t>å¹¿ä¸œä½›å±±åœ°è´¨å·¥ç¨‹å‹˜å¯Ÿé™¢</t>
  </si>
  <si>
    <t>å½­å³°, æ˜“å®ˆå‹‡, èµ–æ¡‚æž—, æ¬§æ™ºå¾·, åºžå¿—åˆš</t>
  </si>
  <si>
    <t>https://patents.google.com/patent/CN221350172U/en</t>
  </si>
  <si>
    <t>CN-120540407-B</t>
  </si>
  <si>
    <t xml:space="preserve">Pressure-limiting drainage intelligent system for underground water </t>
  </si>
  <si>
    <t>å››å·çœå·å»ºå‹˜å¯Ÿè®¾è®¡é™¢æœ‰é™å…¬å¸</t>
  </si>
  <si>
    <t>è‚æµ©å¸†, åˆ˜å¤©å®‡, å¼ åœ¨å–œ, å‘¨ä¿Š, ç†Šæ–Œ, æœ±é‡‘å‹‡, å¼ é›·, çŽ‹æ·¦, é©¬é‡‘äº®, å½­é™, å®æ³¢, è¤šèƒœå, è´¾æ±æ¶›, èµµå…µ, é«˜æ™“äº®, å–»æ™“æ³¢, é™ˆæµ©å„’, å‘¨æ°¸åˆš, æž—æ™“, éƒ‘å»º, é©¬ç«‹ä¸œ, åˆ˜ç®€, é™ˆäº‘, èƒ¡å¿—é¾™, çŽ‹æ–°å®‡</t>
  </si>
  <si>
    <t>https://patents.google.com/patent/CN120540407B/en</t>
  </si>
  <si>
    <t>CN-120700939-B</t>
  </si>
  <si>
    <t xml:space="preserve">Intelligent monitoring method and system for assembled pipe gallery splicing construction based on Internet of things </t>
  </si>
  <si>
    <t>ä¸­é“ä¸€å±€é›†å›¢æœ‰é™å…¬å¸, ä¸­é“ä¸€å±€é›†å›¢ç¬¬äºŒå·¥ç¨‹æœ‰é™å…¬å¸, è¥¿å®‰å»ºç­‘ç§‘æŠ€å¤§å­¦</t>
  </si>
  <si>
    <t>ç„¦ç›¸ç›¼, çŽ‹ç›, å¼ åšè¶…, å®‹æˆ˜å¹³, æˆ·è‹¥çª, å¼ æ´ªå†›, éš‹æ ‘æ³¢, åŽæ³¢, è‚–æ€å®‡, ç”°æ³½æ”¿, æŽå‹, çŽ‹å¥, æ›²æ”¿ç¦¹</t>
  </si>
  <si>
    <t>https://patents.google.com/patent/CN120700939B/en</t>
  </si>
  <si>
    <t>CN-114250826-B</t>
  </si>
  <si>
    <t xml:space="preserve">Modular Groundwater Collection and Storage System </t>
  </si>
  <si>
    <t>æ–°ç–†ç»´å¾å°”è‡ªæ²»åŒºæ°´èµ„æºä¸­å¿ƒ</t>
  </si>
  <si>
    <t>æ›¹ä¼Ÿ, å¼ å»ºå†›, çŽ‹ä¸½å¨Ÿ, ä½•é›¯é›¯, é˜¿é‡Œæœ¨æ±Ÿ</t>
  </si>
  <si>
    <t>https://patents.google.com/patent/CN114250826B/en</t>
  </si>
  <si>
    <t>CN-119919243-B</t>
  </si>
  <si>
    <t xml:space="preserve">Reservoir water resource information management method and system based on intelligent data </t>
  </si>
  <si>
    <t>æ¹–å—é•¿ç†å°šæ´‹ç§‘æŠ€æœ‰é™å…¬å¸</t>
  </si>
  <si>
    <t>çŽ‹é™ˆæµ©</t>
  </si>
  <si>
    <t>https://patents.google.com/patent/CN119919243B/en</t>
  </si>
  <si>
    <t>CN-120579695-B</t>
  </si>
  <si>
    <t xml:space="preserve">An unmanned inspection method and system for underground caverns and mine caverns </t>
  </si>
  <si>
    <t>åº„æ™“æ°, èµµäºšæ¥ , æ¨èŒ, å§œä¸™æ³¢</t>
  </si>
  <si>
    <t>https://patents.google.com/patent/CN120579695B/en</t>
  </si>
  <si>
    <t>CN-219838678-U</t>
  </si>
  <si>
    <t xml:space="preserve">Ecological environment monitoring and identification device </t>
  </si>
  <si>
    <t>ä¸Šæµ·å¸‚çŽ¯å¢ƒç§‘å­¦ç ”ç©¶é™¢</t>
  </si>
  <si>
    <t>è°­å¨Ÿ, çŽ‹å¿, çŽ‹æ•, é˜®ä¿Šæ°, å´å»ºå¼º, è‹æ•¬åŽ, ä»»å¿—æ–‡</t>
  </si>
  <si>
    <t>https://patents.google.com/patent/CN219838678U/en</t>
  </si>
  <si>
    <t>CN-120804843-B</t>
  </si>
  <si>
    <t xml:space="preserve">Groundwater Environment Monitoring Methods and Systems Based on Big Data </t>
  </si>
  <si>
    <t>æ²³åŒ—çœä¿å®šæ°´æ–‡å‹˜æµ‹ç ”ç©¶ä¸­å¿ƒ</t>
  </si>
  <si>
    <t>çŽ‹å›½æ±Ÿ, çŽ‹æ’, å†¯åŒé£ž, æ¨æŸ³</t>
  </si>
  <si>
    <t>https://patents.google.com/patent/CN120804843B/en</t>
  </si>
  <si>
    <t>CN-216490889-U</t>
  </si>
  <si>
    <t xml:space="preserve">A control and monitoring system for groundwater quality treatment </t>
  </si>
  <si>
    <t>éƒ­æ™“ç‡•</t>
  </si>
  <si>
    <t>éƒ­æ™“ç‡•, çŽ‹é”äº®</t>
  </si>
  <si>
    <t>https://patents.google.com/patent/CN216490889U/en</t>
  </si>
  <si>
    <t>https://patentimages.storage.googleapis.com/87/13/9c/d65deb41831991/211227135844.png</t>
  </si>
  <si>
    <t>CN-219267175-U</t>
  </si>
  <si>
    <t xml:space="preserve">Portable groundwater remote metering control demonstration training set </t>
  </si>
  <si>
    <t>é˜¿å¸ƒéƒ½å¡ä¾æœ¨Â·é˜¿å¸ƒåŠ›ç±³æ, é©¬é“å¤, äºŽå…µè¾‰, è‘£ç‡•é¹</t>
  </si>
  <si>
    <t>https://patents.google.com/patent/CN219267175U/en</t>
  </si>
  <si>
    <t>https://patentimages.storage.googleapis.com/ba/bc/f9/c5445e027f615f/221122172844.png</t>
  </si>
  <si>
    <t>CN-217953532-U</t>
  </si>
  <si>
    <t xml:space="preserve">Well lid monitor and intelligent well lid monitoring system </t>
  </si>
  <si>
    <t>éƒ‘å·žä¸‡é©¬äº‘ç”µå­ç§‘æŠ€æœ‰é™å…¬å¸, é¸¿å¯Œé”¦ç²¾å¯†ç”µå­(éƒ‘å·ž)æœ‰é™å…¬å¸</t>
  </si>
  <si>
    <t>å‘¨æ–¹æ¯…, åˆ˜è™¹, å¼ ç¦ç¡Œ</t>
  </si>
  <si>
    <t>https://patents.google.com/patent/CN217953532U/en</t>
  </si>
  <si>
    <t>https://patentimages.storage.googleapis.com/15/df/17/c4983c86095cf7/210630055620_1.png</t>
  </si>
  <si>
    <t>CN-120495996-B</t>
  </si>
  <si>
    <t xml:space="preserve">Precipitation recharging control method and device </t>
  </si>
  <si>
    <t>æ²ˆé˜³å¸é“‚æ™ºèƒ½æ¡©å·¥æœºæ¢°æŠ€æœ¯ç ”å‘æœ‰é™å…¬å¸</t>
  </si>
  <si>
    <t>æ™æ˜±æ—», é«˜æ…Žä¼Ÿ, å­™åº·, å•æž—, çŽ‹é‡‘è‡£, æ™æ™“å½¤, æ¨æ–Œ</t>
  </si>
  <si>
    <t>https://patents.google.com/patent/CN120495996B/en</t>
  </si>
  <si>
    <t>US-12332106-B1</t>
  </si>
  <si>
    <t xml:space="preserve">Wellbore water level and health determination system and method(s) </t>
  </si>
  <si>
    <t>Imbrr, Llc</t>
  </si>
  <si>
    <t>Philip James Meyer</t>
  </si>
  <si>
    <t>https://patents.google.com/patent/US12332106B1/en</t>
  </si>
  <si>
    <t>https://patentimages.storage.googleapis.com/fa/89/30/3c8d481cc1f8c8/US12332106-20250617-D00000.png</t>
  </si>
  <si>
    <t>CN-118191253-B</t>
  </si>
  <si>
    <t xml:space="preserve">Underground pollutant monitoring method and system </t>
  </si>
  <si>
    <t>å±±ä¸œçœæ·„åšç”Ÿæ€çŽ¯å¢ƒç›‘æµ‹ä¸­å¿ƒ</t>
  </si>
  <si>
    <t>é©¬çŠ, äº“æ’æŒ¯, å®‹è‰³è‰³, åˆæŒ¯å‡¤</t>
  </si>
  <si>
    <t>https://patents.google.com/patent/CN118191253B/en</t>
  </si>
  <si>
    <t>CN-217058968-U</t>
  </si>
  <si>
    <t xml:space="preserve">Extensible automatic underground water level measuring device based on wireless transmission </t>
  </si>
  <si>
    <t>ä¸Šæµ·å‹˜å¯Ÿè®¾è®¡ç ”ç©¶é™¢(é›†å›¢)æœ‰é™å…¬å¸</t>
  </si>
  <si>
    <t>è‹è¾‰, é™ˆå«å—, è¤šä¼Ÿæ´ª, é™†çŸ³åŸº, çŽ‹æ ¡å‹‡</t>
  </si>
  <si>
    <t>https://patents.google.com/patent/CN217058968U/en</t>
  </si>
  <si>
    <t>https://patentimages.storage.googleapis.com/74/8c/10/e54e459a5d05e2/DEST_PATH_HDA0003680389840000011.png</t>
  </si>
  <si>
    <t>CN-119987236-B</t>
  </si>
  <si>
    <t xml:space="preserve">Digital twin simulation method and device for preventing seawater intrusion by pumping underground salt water </t>
  </si>
  <si>
    <t>å±±ä¸œçœæ°´åˆ©ç§‘å­¦ç ”ç©¶é™¢</t>
  </si>
  <si>
    <t>é™ˆåŽä¼Ÿ, é™ˆå­¦ç¾¤, ä»‡é’°å©·, å«æµ©, å‚…ä¸–ä¸œ, æœ±æ…§è¶…, å­™éŸ¶æ³½</t>
  </si>
  <si>
    <t>https://patents.google.com/patent/CN119987236B/en</t>
  </si>
  <si>
    <t>CN-214840473-U</t>
  </si>
  <si>
    <t xml:space="preserve">Wisdom street lamp and wisdom street lamp system </t>
  </si>
  <si>
    <t>ä¸­å¤©å®½å¸¦æŠ€æœ¯æœ‰é™å…¬å¸</t>
  </si>
  <si>
    <t>å´æ˜Š, å–»æ™¶, ç¼ªä¼¶éœž, æœ±é¸¿, ç« é¹, ç¼ªçˆ±æž—, æ¯›å­™ç‚œ</t>
  </si>
  <si>
    <t>https://patents.google.com/patent/CN214840473U/en</t>
  </si>
  <si>
    <t>https://patentimages.storage.googleapis.com/8c/93/e7/ad46168c186537/HDA0003136565530000011.png</t>
  </si>
  <si>
    <t>CN-120971702-B</t>
  </si>
  <si>
    <t xml:space="preserve">A salt drainage fault early warning system in saline soil areas based on multi-source data </t>
  </si>
  <si>
    <t>ä¸­é“åå…­å±€é›†å›¢è·¯æ¡¥å·¥ç¨‹æœ‰é™å…¬å¸, ä¸­é“åå…­å±€é›†å›¢æœ‰é™å…¬å¸, é•¿å®‰å¤§å­¦</t>
  </si>
  <si>
    <t>é™ˆæ’, ç¿æ•ˆæž—, å²æ°¸äº®, æœ±æ˜Žç”Ÿ, æœ±å…‰å®‡, å­™é’°ä¸°, æŽå¾·å¥, æŽæž—é™, å¼ æŒ¯å®‡, å¼ ä¸™æ­¦</t>
  </si>
  <si>
    <t>https://patents.google.com/patent/CN120971702B/en</t>
  </si>
  <si>
    <t>JP-7843982-B1</t>
  </si>
  <si>
    <t xml:space="preserve">Dynamically Path-Changing Maze Attraction System and Theme Park RPG System </t>
  </si>
  <si>
    <t>å¥è³‡ åŠ è—¤</t>
  </si>
  <si>
    <t>https://patents.google.com/patent/JP7843982B1/en</t>
  </si>
  <si>
    <t>KR-102850877-B1</t>
  </si>
  <si>
    <t xml:space="preserve">IoT-based Remote Groundwater Management System in Response to Climate Change </t>
  </si>
  <si>
    <t>(ì£¼)í•œê²°í…Œí¬ë‹‰ìŠ¤</t>
  </si>
  <si>
    <t>ê¹€ì¤€ì˜</t>
  </si>
  <si>
    <t>https://patents.google.com/patent/KR102850877B1/en</t>
  </si>
  <si>
    <t>CN-114108746-B</t>
  </si>
  <si>
    <t xml:space="preserve">Water resource storage system for arid oasis region </t>
  </si>
  <si>
    <t>https://patents.google.com/patent/CN114108746B/en</t>
  </si>
  <si>
    <t>CN-118865626-B</t>
  </si>
  <si>
    <t xml:space="preserve">Multi-node deep-buried tunnel wireless sensor network monitoring system </t>
  </si>
  <si>
    <t>æ´›é˜³ç†å·¥å­¦é™¢, åŽåŒ—æ°´åˆ©æ°´ç”µå¤§å­¦</t>
  </si>
  <si>
    <t>å­™æ³½å®‡, ä¸Šå®˜æž—å»º, åˆ˜ä¿ç½—, ç”°åŽè‰¯, è°¢å°å¹³, æŽä¼ é”‹, åˆ˜å‡¤é¸£, åˆ˜äº‘å¿, æŽè¿œåš, ä¸å±¹æž—, æ¢…æ¸Šæµ©, å•è‰ºè², æŽå©·, è°­åšæ–‡</t>
  </si>
  <si>
    <t>https://patents.google.com/patent/CN118865626B/en</t>
  </si>
  <si>
    <t>CN-120820695-B</t>
  </si>
  <si>
    <t xml:space="preserve">A site pollution monitoring, prediction and early warning system and method </t>
  </si>
  <si>
    <t>åŒ—äº¬å¸‚ç”Ÿæ€çŽ¯å¢ƒä¿æŠ¤ç§‘å­¦ç ”ç©¶é™¢</t>
  </si>
  <si>
    <t>çŽ‹çª</t>
  </si>
  <si>
    <t>https://patents.google.com/patent/CN120820695B/en</t>
  </si>
  <si>
    <t>CN-219796619-U</t>
  </si>
  <si>
    <t xml:space="preserve">Osmometer supporting structure for monitoring underground water level </t>
  </si>
  <si>
    <t>ä¸Šæµ·è·¬å›¾æµ‹æŽ§æ–°æŠ€æœ¯ç ”ç©¶æœ‰é™å…¬å¸, ä¸Šæµ·ç±³åº¦æµ‹æŽ§ç§‘æŠ€æœ‰é™å…¬å¸</t>
  </si>
  <si>
    <t>æ±Ÿé›·å­, æ®µå†°å¼º, å´ç« , é«˜å…¨æ–Œ, å¼ ç¥º, é©¬æŸ¯</t>
  </si>
  <si>
    <t>https://patents.google.com/patent/CN219796619U/en</t>
  </si>
  <si>
    <t>CN-119915997-B</t>
  </si>
  <si>
    <t xml:space="preserve">Intelligent sensor-based slope stability online monitoring method and system </t>
  </si>
  <si>
    <t>ä¿åˆ©é•¿å¤§å·¥ç¨‹æœ‰é™å…¬å¸</t>
  </si>
  <si>
    <t>æŽæ ‘æ°, å¼ æº¢, ä½•äº®, è°¢æ°å¿—, æ®µæ·‘çº¢</t>
  </si>
  <si>
    <t>https://patents.google.com/patent/CN119915997B/en</t>
  </si>
  <si>
    <t>CN-113720382-B</t>
  </si>
  <si>
    <t xml:space="preserve">Calculation and fusion algorithm based on dynamic inverse analysis and intelligent monitoring system </t>
  </si>
  <si>
    <t>ä¸­é“åå››å±€é›†å›¢å¤§ç›¾æž„å·¥ç¨‹æœ‰é™å…¬å¸, æµŽå—å¤§å­¦</t>
  </si>
  <si>
    <t>æœæ˜Œè¨€, åˆ˜ç‡•, éš‹ä½³æ˜Ž, åŽ†æœ‹æž—, æŽæ˜¥æž—, ç™½å¤, è¢é¹, æŽé«˜æ˜¥, ä»˜å¼º, çŽ‹è¶…, è‘£å†°, é™†é‡Ž, éƒ­å®ˆå¿—</t>
  </si>
  <si>
    <t>https://patents.google.com/patent/CN113720382B/en</t>
  </si>
  <si>
    <t>CN-120577504-B</t>
  </si>
  <si>
    <t xml:space="preserve">Soil heavy metal monitoring device </t>
  </si>
  <si>
    <t>ä¸Šæµ·å¯°åŠ¨ç§‘æŠ€è‚¡ä»½æœ‰é™å…¬å¸, å†œé“¾(ä¸Šæµ·)ç§‘æŠ€æœ‰é™å…¬å¸</t>
  </si>
  <si>
    <t>ä¸åŽ, çŽ‹å¯æµ©, æ¸©å»ºæ³¢</t>
  </si>
  <si>
    <t>https://patents.google.com/patent/CN120577504B/en</t>
  </si>
  <si>
    <t>CN-119093319-B</t>
  </si>
  <si>
    <t xml:space="preserve">A zero-carbon park intelligent system based on AI big model </t>
  </si>
  <si>
    <t>å±±ä¸œæµªæ½®æ™ºèƒ½ç»ˆç«¯ç§‘æŠ€æœ‰é™å…¬å¸</t>
  </si>
  <si>
    <t>å¼ å¹³é—¯</t>
  </si>
  <si>
    <t>https://patents.google.com/patent/CN119093319B/en</t>
  </si>
  <si>
    <t>CN-120584624-B</t>
  </si>
  <si>
    <t xml:space="preserve">Adaptive fertilization methods for landscaping </t>
  </si>
  <si>
    <t>ä¸­å›½æ°´åˆ©æ°´ç”µç¬¬å…­å·¥ç¨‹å±€æœ‰é™å…¬å¸</t>
  </si>
  <si>
    <t>èµµé˜³, æŽå‘æ˜Ž, ç¿Ÿå®‡ä½³, æŽæ±‡æºŸ</t>
  </si>
  <si>
    <t>https://patents.google.com/patent/CN120584624B/en</t>
  </si>
  <si>
    <t>CN-120355164-B</t>
  </si>
  <si>
    <t xml:space="preserve">Full life cycle management method for comprehensive utilization of solid waste soil resources </t>
  </si>
  <si>
    <t>ä¸‰å³¡å¤§å­¦</t>
  </si>
  <si>
    <t>æ¢ä¼Ÿ, å­”çº²å¼º</t>
  </si>
  <si>
    <t>https://patents.google.com/patent/CN120355164B/en</t>
  </si>
  <si>
    <t>CN-120026670-B</t>
  </si>
  <si>
    <t xml:space="preserve">Construction method of lime-sand pile foundation reinforcement for historical buildings based on reaction force calculation model </t>
  </si>
  <si>
    <t>é™•è¥¿å¤å»ºå›­æž—å»ºè®¾é›†å›¢æœ‰é™å…¬å¸</t>
  </si>
  <si>
    <t>è´ºé»Žå“², ä¿±å†›é¹, ç‰›æ™“å®‡, è‹å®å®‰, å‘¨æ˜Ž, å¸å»ºè¾‰, çŽ‹è‚, å‘ä¿Šéœ–, çŽ‹éœ‡, èµµæ¬£åš</t>
  </si>
  <si>
    <t>https://patents.google.com/patent/CN120026670B/en</t>
  </si>
  <si>
    <t>CN-121024560-B</t>
  </si>
  <si>
    <t xml:space="preserve">Construction method of in-situ grouting water-blocking system of underground coal gasification partition wall </t>
  </si>
  <si>
    <t>ä¸­å›½çŸ¿ä¸šå¤§å­¦</t>
  </si>
  <si>
    <t>æˆšç»ªå°§, é’¦é›…çª, é¥¶å®‡è½©, è®¸å¾·é‘«, å†¯ä¹ä¹, é™ˆæ…•å›, é™†å«ä¸œ, è‹ä¼Ÿä¼Ÿ, é²ä¹‰, äº“å† åœ£</t>
  </si>
  <si>
    <t>https://patents.google.com/patent/CN121024560B/en</t>
  </si>
  <si>
    <t>CN-219536839-U</t>
  </si>
  <si>
    <t xml:space="preserve">A remote monitoring integrated system of water, fertilizer and medicine </t>
  </si>
  <si>
    <t>æ²³åŒ—å†œä¸šå¤§å­¦</t>
  </si>
  <si>
    <t>æž—ç§€å›, å­™æ¶›, é‚¹äº®, å¼ æ™“ä¹¾, åˆ˜å°æ¶µ, é«˜æ–‡é™, éŸ©é›¨ç”Ÿ, ç¨‹é›ª, ä»»æŒ¯è¾‰</t>
  </si>
  <si>
    <t>https://patents.google.com/patent/CN219536839U/en</t>
  </si>
  <si>
    <t>CN-223037188-U</t>
  </si>
  <si>
    <t xml:space="preserve">Integrated intelligent gate-controlled open channel metering device </t>
  </si>
  <si>
    <t>ç¦å»ºæ’åŠ²ç§‘æŠ€æœ‰é™å…¬å¸</t>
  </si>
  <si>
    <t>çŽ‹ä¸¹, å¶æ€å€™, å¼ ç¿å¼º, å¼ è¢, å¼ è¶…æ–°, è°¢æ‹›å±•</t>
  </si>
  <si>
    <t>https://patents.google.com/patent/CN223037188U/en</t>
  </si>
  <si>
    <t>CN-115263285-B</t>
  </si>
  <si>
    <t xml:space="preserve">Hydrological monitoring well separation device and monitoring construction method suitable for various geological environments </t>
  </si>
  <si>
    <t>ä¸­ç…¤ç§‘å·¥é›†å›¢è¥¿å®‰ç ”ç©¶é™¢æœ‰é™å…¬å¸</t>
  </si>
  <si>
    <t>çŽ‹çº¢æ¢…, è‘£ä¹¦å®, å§¬äºšä¸œ, çŽ‹ä¸–ä¸œ, ç”°å¹², éƒ‘çº², éƒ­å›½å¼º, ç‰Ÿæž—</t>
  </si>
  <si>
    <t>https://patents.google.com/patent/CN115263285B/en</t>
  </si>
  <si>
    <t>CN-216674146-U</t>
  </si>
  <si>
    <t xml:space="preserve">a drip irrigation system </t>
  </si>
  <si>
    <t>é•¿å®‰å¤§å­¦, æ¹–å—äº¿æµ‹ç‰©è”ä¼ æ„ŸæŠ€æœ¯ç ”å‘æœ‰é™å…¬å¸</t>
  </si>
  <si>
    <t>æŽåŒå½•, æŽè, å¼ äºšå›½, ä»˜æ˜±å‡¯, è°¢å½©éœž, è‘£æ°¸è·¯, æŽç‡•</t>
  </si>
  <si>
    <t>https://patents.google.com/patent/CN216674146U/en</t>
  </si>
  <si>
    <t>https://patentimages.storage.googleapis.com/c9/5c/cb/91116e48fb885f/HDA0003476757880000011.png</t>
  </si>
  <si>
    <t>CN-119025920-B</t>
  </si>
  <si>
    <t xml:space="preserve">A multi-source mine water quality prediction method, device, equipment, medium and product </t>
  </si>
  <si>
    <t>å›½èƒ½ç¥žä¸œç…¤ç‚­é›†å›¢æœ‰é™è´£ä»»å…¬å¸</t>
  </si>
  <si>
    <t>çŽ‹ï¿½ä¹‰, ç¨‹æ´‹, åˆ˜å‡¯, å¼ å¨œ, åˆ˜è–‡, æŽè´¯æ°</t>
  </si>
  <si>
    <t>https://patents.google.com/patent/CN119025920B/en</t>
  </si>
  <si>
    <t>CN-121024625-B</t>
  </si>
  <si>
    <t xml:space="preserve">Method for analyzing stable support of tunnel face of composite stratum shield tunnel </t>
  </si>
  <si>
    <t>ä¸­é“åŸŽå»ºé›†å›¢æœ‰é™å…¬å¸, ä¸­é“åŸŽå»ºé›†å›¢å—æ˜Œå»ºè®¾æœ‰é™å…¬å¸, åŽä¸œäº¤é€šå¤§å­¦</t>
  </si>
  <si>
    <t>æ›¾ç»å‹¤, å¼ æµ·æž—, å¼ é‘«å…¨, åˆ˜å½¦ç”Ÿ, æœ±ç¢§å ‚, èƒ¡æ˜Žæ–‡, å¾æ°‘å†›, å”ä¸­å†›, ç½—æ±Ÿæ³¢, çŽ‹æ–‡åŽ, è°¢æ²³åŒ—, è´¾ä¸–è´µ, å°¹æµª, æ¶‚è¿å†›, å‚…éŸ¦æ´, é™ˆæµ·å‡Œ</t>
  </si>
  <si>
    <t>https://patents.google.com/patent/CN121024625B/en</t>
  </si>
  <si>
    <t>KR-102931681-B1</t>
  </si>
  <si>
    <t xml:space="preserve">Method and system for monitoring condition of ground, displacement measurement device for monitoring condition of ground </t>
  </si>
  <si>
    <t>ì •í•´ìš©, ì´ìŠ¹í˜„</t>
  </si>
  <si>
    <t>https://patents.google.com/patent/KR102931681B1/en</t>
  </si>
  <si>
    <t>CN-119861143-B</t>
  </si>
  <si>
    <t xml:space="preserve">Intelligent monitoring method and system for foundation stability in real estate projects </t>
  </si>
  <si>
    <t>è¾½å®å…´çƒ¨å»ºè®¾å·¥ç¨‹æœ‰é™å…¬å¸</t>
  </si>
  <si>
    <t>æ±ªæµ¦æ¶›, çŽ‹æµ·å³°, åˆ˜åšï¿½</t>
  </si>
  <si>
    <t>https://patents.google.com/patent/CN119861143B/en</t>
  </si>
  <si>
    <t>CN-119784149-B</t>
  </si>
  <si>
    <t xml:space="preserve">Mine water inrush disaster prevention and control evaluation method based on fault water intelligent identification and early warning </t>
  </si>
  <si>
    <t>æ–°æ±¶çŸ¿ä¸šé›†å›¢æœ‰é™è´£ä»»å…¬å¸, å±±ä¸œç§‘æŠ€å¤§å­¦</t>
  </si>
  <si>
    <t>å­™å»ºè¥¿, è‹å æž—, éŸ©å­¦è´¤, å¼ å£«å·, ä»˜åº”å‡¯, åˆ˜æˆ, ç¨‹åŸ¹æ¯…, å¼ å³°, éƒ­å¿ å¹³, é™ˆå†›æ¶›, å¼ åŸ¹æ£®, é«˜å«å¯Œ, èµµé‡‘æµ·</t>
  </si>
  <si>
    <t>https://patents.google.com/patent/CN119784149B/en</t>
  </si>
  <si>
    <t>CN-222213515-U</t>
  </si>
  <si>
    <t xml:space="preserve">Underground drainage pipe system with low-cost automatic drainage pipe blockage alarm device </t>
  </si>
  <si>
    <t>åŒ—äº¬æ³°è¿ˆé”ç§‘æŠ€æœ‰é™è´£ä»»å…¬å¸</t>
  </si>
  <si>
    <t>å®¹æ™Ÿ</t>
  </si>
  <si>
    <t>https://patents.google.com/patent/CN222213515U/en</t>
  </si>
  <si>
    <t>CN-221899180-U</t>
  </si>
  <si>
    <t xml:space="preserve">A monitoring system for farmland soil leaching solution </t>
  </si>
  <si>
    <t>åŒ—äº¬å¸‚å†œæž—ç§‘å­¦é™¢</t>
  </si>
  <si>
    <t>é©¬èŒ‚äº­, é—µæ¬£æœˆ, æœè¿žå‡¤, æŽé¡ºæ±Ÿ, åº·å‡Œäº‘, é‚¹å›½å…ƒ, è‘£ä¼Ÿ</t>
  </si>
  <si>
    <t>https://patents.google.com/patent/CN221899180U/en</t>
  </si>
  <si>
    <t>CN-221397588-U</t>
  </si>
  <si>
    <t xml:space="preserve">System based on tap water integrated reverse osmosis direct drinking water treatment process route </t>
  </si>
  <si>
    <t>å›½èƒ½æœ—æ–°æ˜Žå—äº¬çŽ¯ä¿ç§‘æŠ€æœ‰é™å…¬å¸</t>
  </si>
  <si>
    <t>ç« çª, å¼ é€Šä¹‹, éŸ©æ¯…, åˆ˜ä¼Ÿæ°, çŽ‹ç«‹æ–‡, æŽç¥¥å¤, é›å˜‰é›¯, ç½—å°ç‡•</t>
  </si>
  <si>
    <t>https://patents.google.com/patent/CN221397588U/en</t>
  </si>
  <si>
    <t>CN-118781776-B</t>
  </si>
  <si>
    <t xml:space="preserve">Mine geological disaster early warning and forecasting system and method </t>
  </si>
  <si>
    <t>å¾·é˜³æ˜ŠåŽæ¸…å¹³ç£·çŸ¿æœ‰é™å…¬å¸</t>
  </si>
  <si>
    <t>çŸ³äº®, ä½•è‰¯, é­æ˜¥å‰, å§šæ¯…, ç†Šæž—</t>
  </si>
  <si>
    <t>https://patents.google.com/patent/CN118781776B/en</t>
  </si>
  <si>
    <t>CN-215844851-U</t>
  </si>
  <si>
    <t xml:space="preserve">Intelligent monitoring high-pressure jet grouting repair process construction device </t>
  </si>
  <si>
    <t>å¤©æ´¥æ¸¤åŒ–çŽ¯å¢ƒä¿®å¤è‚¡ä»½æœ‰é™å…¬å¸, å¤©æ´¥æ¸¤æµ·ç‰©è”ç§‘æŠ€è‚¡ä»½æœ‰é™å…¬å¸</t>
  </si>
  <si>
    <t>æ¨æˆè‰¯, çŽ‹åŠ›é‘«, æŽç‘žæµ·, å°å®‡æ¾, å‘¨é•¿å®‰</t>
  </si>
  <si>
    <t>https://patents.google.com/patent/CN215844851U/en</t>
  </si>
  <si>
    <t>https://patentimages.storage.googleapis.com/90/f5/1d/e16decab5d5051/HDA0003258473590000011.png</t>
  </si>
  <si>
    <t>CN-120931457-B</t>
  </si>
  <si>
    <t xml:space="preserve">BIM and digital twin-based whole-process hoisting construction safety intelligent monitoring method and system </t>
  </si>
  <si>
    <t>æ¹–å—çœäº¤é€šç§‘å­¦ç ”ç©¶é™¢æœ‰é™å…¬å¸</t>
  </si>
  <si>
    <t>é’Ÿå«, å¼ ç§‘, é™ˆæ–‡æ°, å”å¿…åˆš, é¡¾ç»´, çŸ³äº‘å†ˆ, æ¨å‡Œæ³¢, éƒ­å³°, å¼ æ¬£è‰³, çš®ç«‹å†›</t>
  </si>
  <si>
    <t>https://patents.google.com/patent/CN120931457B/en</t>
  </si>
  <si>
    <t>KR-102794098-B1</t>
  </si>
  <si>
    <t xml:space="preserve">A water quality information integrated management system for ground-water wells by using IoT communication </t>
  </si>
  <si>
    <t>ì£¼ì‹íšŒì‚¬ ì—”ì„œì¹˜ëž©</t>
  </si>
  <si>
    <t>ì•ˆíƒœí˜•, ì•ˆì¢…ìœ¨</t>
  </si>
  <si>
    <t>https://patents.google.com/patent/KR102794098B1/en</t>
  </si>
  <si>
    <t>CN-221887342-U</t>
  </si>
  <si>
    <t xml:space="preserve">Agricultural irrigation equipment </t>
  </si>
  <si>
    <t>æ–°ç–†æƒ å†œç”Ÿæ™ºæ…§å†œä¸šç§‘æŠ€æœ‰é™å…¬å¸</t>
  </si>
  <si>
    <t>çŸ³ä¿, å§œå®‡, çŽ‹å…ƒè¾‰</t>
  </si>
  <si>
    <t>https://patents.google.com/patent/CN221887342U/en</t>
  </si>
  <si>
    <t>CN-213515861-U</t>
  </si>
  <si>
    <t xml:space="preserve">Hydraulic engineering is with water level monitoring facilities of being convenient for fixed mounting </t>
  </si>
  <si>
    <t>é»‘é¾™æ±Ÿäº‘å…´ç‰©è”ç½‘ç§‘æŠ€æœ‰é™å…¬å¸</t>
  </si>
  <si>
    <t>çŽ‹å¾¡</t>
  </si>
  <si>
    <t>https://patents.google.com/patent/CN213515861U/en</t>
  </si>
  <si>
    <t>https://patentimages.storage.googleapis.com/cc/6a/ba/044f2a69b652d1/HDA0002738219350000011.png</t>
  </si>
  <si>
    <t>CN-120584733-B</t>
  </si>
  <si>
    <t xml:space="preserve">Automatic irrigation method and equipment for high-yield cultivation of potatoes </t>
  </si>
  <si>
    <t>å†…è’™å¤å¤å…ƒå¤ªå’Œå†œä¸šç§‘æŠ€æœ‰é™å…¬å¸</t>
  </si>
  <si>
    <t>å®‹ç¿ çŽ², éœæŒ¯å›½, æŽæ–‡è¶…, å”è‰³æ¢…, é™ˆç†æ¸…, å¼ å…´å…ƒ, éŸ©ç£Š, é™ˆæ–‡å·, è‹Ÿé›„ä¸œ, å›­å›­, æŽé›…é£ž</t>
  </si>
  <si>
    <t>https://patents.google.com/patent/CN120584733B/en</t>
  </si>
  <si>
    <t>CN-216194932-U</t>
  </si>
  <si>
    <t xml:space="preserve">Multifunctional well lid alarm device for preventing waterlogging in road section </t>
  </si>
  <si>
    <t>æ­¦æ±‰è²å¥¥è¾¾ç‰©è”ç§‘æŠ€æœ‰é™å…¬å¸</t>
  </si>
  <si>
    <t>éƒ‘æ–‡</t>
  </si>
  <si>
    <t>https://patents.google.com/patent/CN216194932U/en</t>
  </si>
  <si>
    <t>https://patentimages.storage.googleapis.com/65/f0/2e/afaec555168c48/HDA0003273755040000011.png</t>
  </si>
  <si>
    <t>CN-218819145-U</t>
  </si>
  <si>
    <t xml:space="preserve">A monitoring devices for morning and evening tides water level </t>
  </si>
  <si>
    <t>å¤©æ´¥æ™ºå°˜ç§‘æŠ€æœ‰é™å…¬å¸</t>
  </si>
  <si>
    <t>å­”å‘å†›, å¼ å¿—æ–¹</t>
  </si>
  <si>
    <t>https://patents.google.com/patent/CN218819145U/en</t>
  </si>
  <si>
    <t>https://patentimages.storage.googleapis.com/83/b7/f4/7453f0c2955ef2/HDA0003912054470000011.png</t>
  </si>
  <si>
    <t>CN-119648473-B</t>
  </si>
  <si>
    <t xml:space="preserve">Water resource management and control method and system based on thunder fusion data analysis and perception </t>
  </si>
  <si>
    <t>å¤©å®‡åˆ©æ°´ä¿¡æ¯æŠ€æœ¯æˆéƒ½æœ‰é™å…¬å¸, äº‘å—çœæ°´æ–‡æ°´èµ„æºå±€å¤§ç†åˆ†å±€, äº‘å—çœæ°´æ–‡æ°´èµ„æºå±€å¾·å®åˆ†å±€</t>
  </si>
  <si>
    <t>å­™è‡ªå®‰, æŽæ–‡èŠ³, é‚µé›„å®—, é©¬å¼º, æ¨å®¶æ˜¥, è¾¾ç“¦åŸ¹æ¥š, çŽ‹æ–‡å®, é™ˆå²—, å¼ ä¼¦</t>
  </si>
  <si>
    <t>https://patents.google.com/patent/CN119648473B/en</t>
  </si>
  <si>
    <t>CN-218673739-U</t>
  </si>
  <si>
    <t xml:space="preserve">Water level and array deep displacement same-hole automatic monitoring device </t>
  </si>
  <si>
    <t>å¹¿ä¸œäº¤ç§‘æ£€æµ‹æœ‰é™å…¬å¸</t>
  </si>
  <si>
    <t>é»„è¿Žå†›, é»„éœ‡ä¸œ, é›·ä¸œéœ–, å¼ ç«‹é¹, æŽä½©å³», å¤å¶åªš</t>
  </si>
  <si>
    <t>https://patents.google.com/patent/CN218673739U/en</t>
  </si>
  <si>
    <t>https://patentimages.storage.googleapis.com/14/43/90/259986cb3a893c/HDA0003958352820000011.png</t>
  </si>
  <si>
    <t>CN-121032441-B</t>
  </si>
  <si>
    <t xml:space="preserve">A Seepage Control Method for Underground Engineering Based on Multi-Objective Precipitation Scheme Optimization and Rolling Scheduling </t>
  </si>
  <si>
    <t>åŽä¸œäº¤é€šå¤§å­¦</t>
  </si>
  <si>
    <t>å¾é•¿èŠ‚, ä¸‡çªä¼Ÿ, æ¨å¼€æ”¾, ä¸æµ·æ»¨, é­çº²</t>
  </si>
  <si>
    <t>https://patents.google.com/patent/CN121032441B/en</t>
  </si>
  <si>
    <t>CN-223991792-U</t>
  </si>
  <si>
    <t xml:space="preserve">Mine water inflow monitoring device </t>
  </si>
  <si>
    <t>å±±è¥¿æ½žå®‰çŸ¿ä¸šé›†å›¢æ…ˆæž—å±±ç…¤ä¸šæœ‰é™å…¬å¸æ…ˆæž—å±±ç…¤çŸ¿</t>
  </si>
  <si>
    <t>å¼ æ¥ , ç¨‹äºšå†›, æŸ´æž—èŒ‚, æ¨å‡¯, çŽ‹äº‘çš“</t>
  </si>
  <si>
    <t>https://patents.google.com/patent/CN223991792U/en</t>
  </si>
  <si>
    <t>CN-120891063-B</t>
  </si>
  <si>
    <t xml:space="preserve">Radon gas concentration detection system and method </t>
  </si>
  <si>
    <t>ä¸­å›½ç§‘å­¦é™¢å›½å®¶ç©ºé—´ç§‘å­¦ä¸­å¿ƒ</t>
  </si>
  <si>
    <t>æŽæ–‡, é—«å¬çˆ±, å­™å¿—æ–Œ, ç½—é™, å¾è½»å°˜, é™ˆæ¶›, éŸ©åœ†, éƒ‘ç¦, çŽ‹è‰³ç§‹</t>
  </si>
  <si>
    <t>https://patents.google.com/patent/CN120891063B/en</t>
  </si>
  <si>
    <t>CN-118091072-B</t>
  </si>
  <si>
    <t xml:space="preserve">UVCOD sensor microorganism influence compensation method and system </t>
  </si>
  <si>
    <t>å”å‹‡, ç½—æ›¼ç³, æ±¤æ±Ÿæ–‡, ç« æ–‡, åˆ˜å­¦è¾‰, æ¨å»ºæ³¢, æ›¹æƒ æ¸Š, æ–‡çˆ±å¹³, æ¨å®</t>
  </si>
  <si>
    <t>https://patents.google.com/patent/CN118091072B/en</t>
  </si>
  <si>
    <t>KR-102856598-B1</t>
  </si>
  <si>
    <t xml:space="preserve">Smart black ice prevention system comprising non-contact moisture detection sensor and installing method of the same </t>
  </si>
  <si>
    <t>ì´ì¢…ìŠ¹, ì´ëŒ€ì—´, ì´ë„ì—´</t>
  </si>
  <si>
    <t>https://patents.google.com/patent/KR102856598B1/en</t>
  </si>
  <si>
    <t>CN-120952587-B</t>
  </si>
  <si>
    <t xml:space="preserve">A multi-source data fusion monitoring system for geological disaster control projects </t>
  </si>
  <si>
    <t>ä¸­æ ¸å¤§åœ°ç”Ÿæ€ç§‘æŠ€æœ‰é™å…¬å¸</t>
  </si>
  <si>
    <t>æŽæ–‡å¹³, ä¼é¡ºæˆ, æŽé’Ÿæž¢, æŽé˜³, é»„è¿¢</t>
  </si>
  <si>
    <t>https://patents.google.com/patent/CN120952587B/en</t>
  </si>
  <si>
    <t>CN-119046850-B</t>
  </si>
  <si>
    <t xml:space="preserve">Full-automatic identification method, system and device for foundation coefficient </t>
  </si>
  <si>
    <t>ä¸­é“åä¸ƒå±€é›†å›¢ç¬¬äºŒå·¥ç¨‹æœ‰é™å…¬å¸</t>
  </si>
  <si>
    <t>ä»»æ¶›, éŸ©èŠ³, çŽ‹é“®, çŽ‹çš‘æ™“</t>
  </si>
  <si>
    <t>https://patents.google.com/patent/CN119046850B/en</t>
  </si>
  <si>
    <t>CN-121297614-B</t>
  </si>
  <si>
    <t xml:space="preserve">Remote centralized control method and system for artificial-free intelligent equipment of tunnel by drilling and blasting method </t>
  </si>
  <si>
    <t>æœ±ç¢§å ‚, æ¶‚æ™“ç‘¶, ç½—æ–‡ä¿Š, çŽ‹å¸Œäº‘, è´ºä½³, çŽ‹ä¸œ</t>
  </si>
  <si>
    <t>https://patents.google.com/patent/CN121297614B/en</t>
  </si>
  <si>
    <t>CN-118887190-B</t>
  </si>
  <si>
    <t xml:space="preserve">A river ecology detection method and system based on digital twin </t>
  </si>
  <si>
    <t>æ‹“æ’æŠ€æœ¯æœ‰é™å…¬å¸</t>
  </si>
  <si>
    <t>å¼ ï¿½æˆ, è”¡æ™“é£ž</t>
  </si>
  <si>
    <t>https://patents.google.com/patent/CN118887190B/en</t>
  </si>
  <si>
    <t>CN-121230817-B</t>
  </si>
  <si>
    <t xml:space="preserve">BIM-based construction environment monitoring method, device, equipment and medium </t>
  </si>
  <si>
    <t>ä¸­å»ºç§‘å·¥é›†å›¢æœ‰é™å…¬å¸</t>
  </si>
  <si>
    <t>å´çº¢æ¢…, æˆ´æŒ¯å‹‹, éƒ‘æ·, å´”å¿—å‹‡, å®å•Ÿæ˜Œ, é‚±æ–‡å¹³, å½­è­¦, çŽ‹ä¿å†›, èƒ¡è‡ªæ¥</t>
  </si>
  <si>
    <t>https://patents.google.com/patent/CN121230817B/en</t>
  </si>
  <si>
    <t>ES-3052458-T3</t>
  </si>
  <si>
    <t xml:space="preserve">Process and system for processing and using weighing data </t>
  </si>
  <si>
    <t>Utilcell S R O</t>
  </si>
  <si>
    <t>Jorge Truffin</t>
  </si>
  <si>
    <t>https://patents.google.com/patent/ES3052458T3/en</t>
  </si>
  <si>
    <t>CN-218099136-U</t>
  </si>
  <si>
    <t xml:space="preserve">Novel environment monitoring instrument based on Internet of things </t>
  </si>
  <si>
    <t>äº‘æ¡¥ç§‘æŠ€(æµ·å—)æœ‰é™å…¬å¸</t>
  </si>
  <si>
    <t>ä»˜çº¢ç£Š</t>
  </si>
  <si>
    <t>https://patents.google.com/patent/CN218099136U/en</t>
  </si>
  <si>
    <t>https://patentimages.storage.googleapis.com/ee/fd/f4/4c4fd9d4846ceb/HDA0003837095310000011.png</t>
  </si>
  <si>
    <t>CN-119958645-B</t>
  </si>
  <si>
    <t xml:space="preserve">A dynamic monitoring method and system for ancient tree growth environment based on the Internet of Things </t>
  </si>
  <si>
    <t>å±±ä¸œå†œä¸šå·¥ç¨‹å­¦é™¢, å±±ä¸œå»ºç­‘å¤§å­¦, æ³°å®‰å¸‚åšç‰©é¦†, å›¾çµäº‘(å±±ä¸œ)ç‰©è”ç§‘æŠ€æœ‰é™å…¬å¸</t>
  </si>
  <si>
    <t>å¤ç”œç”œ, å¼ å¿ å³°, æŽç§€èŠ¬, åˆ˜ä¸¹, åˆ˜é¹, åˆ˜ç¿Œæ™¨, çŽ‹äº¬çŽ‰, åºžæ¬£é›¨, éƒ­æ¾æ˜Š, å¼ é«˜ç‘ž</t>
  </si>
  <si>
    <t>https://patents.google.com/patent/CN119958645B/en</t>
  </si>
  <si>
    <t>CN-222255715-U</t>
  </si>
  <si>
    <t xml:space="preserve">A remote monitoring device for water conservancy projects based on the Internet of Things </t>
  </si>
  <si>
    <t>å±±ä¸œæ”¿æ°‘é€šä¿¡æ¯ç§‘æŠ€æœ‰é™å…¬å¸</t>
  </si>
  <si>
    <t>è¤šå¾·å³°, åˆ˜æµ·æ³•, åˆ˜å¿—æˆ, å­™å‡¤é¸£, å¼ éœ‡</t>
  </si>
  <si>
    <t>https://patents.google.com/patent/CN222255715U/en</t>
  </si>
  <si>
    <t>US-12552686-B1</t>
  </si>
  <si>
    <t xml:space="preserve">Systems and methods for production of potable water by recycling processed wastewater streams </t>
  </si>
  <si>
    <t>Mulberry River Environmental LLC</t>
  </si>
  <si>
    <t>Barton Prideaux, Warren Cody Armstrong</t>
  </si>
  <si>
    <t>https://patents.google.com/patent/US12552686B1/en</t>
  </si>
  <si>
    <t>https://patentimages.storage.googleapis.com/US12552686B1/US12552686-20260217-D00000.png</t>
  </si>
  <si>
    <t>CN-218238996-U</t>
  </si>
  <si>
    <t xml:space="preserve">Rainwater garden monitoring system based on NB-IoT internet of things transmission </t>
  </si>
  <si>
    <t>æ˜“å¨, é™ˆç¹, é™ˆå‹‡, ç©†æ¯…, çŽ‹åšä¼Ÿ, éƒ­å¿—æµ©</t>
  </si>
  <si>
    <t>https://patents.google.com/patent/CN218238996U/en</t>
  </si>
  <si>
    <t>https://patentimages.storage.googleapis.com/e2/a5/d5/15a9e0053ac663/221101162200.png</t>
  </si>
  <si>
    <t>CN-110963203-B</t>
  </si>
  <si>
    <t xml:space="preserve">An automatic garbage sorting device based on Internet of Things technology </t>
  </si>
  <si>
    <t>è´µå·žå¸ˆèŒƒå­¦é™¢</t>
  </si>
  <si>
    <t>äºŽå›½é¾™, æŽå¥, å´”å¿ ä¼Ÿ, ç†Šä¼Ÿç¨‹, å¼ è°¢é¦¥, æŽé£˜</t>
  </si>
  <si>
    <t>https://patents.google.com/patent/CN110963203B/en</t>
  </si>
  <si>
    <t>https://patentimages.storage.googleapis.com/25/83/df/e32675f4c872ca/200108170152.png</t>
  </si>
  <si>
    <t>CN-113914887-B</t>
  </si>
  <si>
    <t xml:space="preserve">Data management system of full-face tunnel boring machine </t>
  </si>
  <si>
    <t>ä¸­é“ç¬¬ä¸€å‹˜å¯Ÿè®¾è®¡é™¢é›†å›¢æœ‰é™å…¬å¸</t>
  </si>
  <si>
    <t>ä»˜ä¼Ÿ, å¼ å¿—äº®, å†¯å¨, çŽ‹ç”Ÿä», é»„å‹‡, æ¨å¾·å®, å¸¸å¸…é¹, å¼ åˆ©å›½, ç”°åˆ©å·, éƒ­æ±Ÿ</t>
  </si>
  <si>
    <t>https://patents.google.com/patent/CN113914887B/en</t>
  </si>
  <si>
    <t>CN-218952263-U</t>
  </si>
  <si>
    <t xml:space="preserve">Automatic monitoring and early warning device for deep displacement of side slope rock soil layer </t>
  </si>
  <si>
    <t>å¹¿å·žåœ°å»ºå²©åœŸå·¥ç¨‹æŠ€æœ¯æœ‰é™å…¬å¸</t>
  </si>
  <si>
    <t>å»–è, é™ˆæ˜Žæ™“, é™ˆå¢ƒå®‡, é™ˆä¸€å‡¡</t>
  </si>
  <si>
    <t>https://patents.google.com/patent/CN218952263U/en</t>
  </si>
  <si>
    <t>https://patentimages.storage.googleapis.com/50/d6/fc/1562fd0d3157ea/HDA0003819617940000011.png</t>
  </si>
  <si>
    <t>CN-220454646-U</t>
  </si>
  <si>
    <t xml:space="preserve">Novel groundwater metering facility </t>
  </si>
  <si>
    <t>ç”˜è‚ƒæ¬£æµ·æ°´åˆ©ç§‘æŠ€å‘å±•æœ‰é™å…¬å¸</t>
  </si>
  <si>
    <t>æŽæ–‡è‹—, æŽæµ·é¾™, å´”é¾™, çŸ³å›½éœž</t>
  </si>
  <si>
    <t>https://patents.google.com/patent/CN220454646U/en</t>
  </si>
  <si>
    <t>CN-117071659-B</t>
  </si>
  <si>
    <t xml:space="preserve">Fan capacity expansion foundation reconstruction and reinforcement method </t>
  </si>
  <si>
    <t>æ²³åŒ—å·¥ä¸šå¤§å­¦, ä¸­å›½ç”µå»ºé›†å›¢æ˜†æ˜Žå‹˜æµ‹è®¾è®¡ç ”ç©¶é™¢æœ‰é™å…¬å¸</t>
  </si>
  <si>
    <t>å®‹å®œç¥¥, å•è…¾å®‡, çŽ‹çŽ‰èµž, æŽæ™“é›·, å­”ä»¤è¶…, æŽå½¦å¥‡, å²‘å¤ºä¸°, åˆ˜ç‰§å†², æœç«‹å…µ</t>
  </si>
  <si>
    <t>https://patents.google.com/patent/CN117071659B/en</t>
  </si>
  <si>
    <t>CN-214097398-U</t>
  </si>
  <si>
    <t xml:space="preserve">A multifunctional water quality monitoring station based on the Internet of Things </t>
  </si>
  <si>
    <t>å—äº¬ä¿¡æ±Ÿç‰©è”ç½‘æŠ€æœ¯æœ‰é™å…¬å¸</t>
  </si>
  <si>
    <t>è‡§å›½è£</t>
  </si>
  <si>
    <t>https://patents.google.com/patent/CN214097398U/en</t>
  </si>
  <si>
    <t>https://patentimages.storage.googleapis.com/8e/ff/50/252bd9e11545fb/HDA0002831528710000011.png</t>
  </si>
  <si>
    <t>CN-119849048-B</t>
  </si>
  <si>
    <t xml:space="preserve">In-situ injection method and device for barrier material </t>
  </si>
  <si>
    <t>å¹¿ä¸œå·¥ä¸šå¤§å­¦, æ±•å¤´å¹¿å·¥å¤§ååŒåˆ›æ–°ç ”ç©¶é™¢</t>
  </si>
  <si>
    <t>é™ˆæµ©ä½³, éƒ‘é”¦èˆª, é»„å¤©å²³, é™ˆæ”¾</t>
  </si>
  <si>
    <t>https://patents.google.com/patent/CN119849048B/en</t>
  </si>
  <si>
    <t>LU-601958-B1</t>
  </si>
  <si>
    <t xml:space="preserve">Method and system for identifying geological disasters based on multi-source data fusion </t>
  </si>
  <si>
    <t>https://patents.google.com/patent/LU601958B1/en</t>
  </si>
  <si>
    <t>KR-102931449-B1</t>
  </si>
  <si>
    <t xml:space="preserve">Smart Farm Agricultural Complex Creating Business Model for Location of City Residents to Resolve Local Population Problems and Device </t>
  </si>
  <si>
    <t>ì—”ì˜¤ì›”ë“œ ì£¼ì‹íšŒì‚¬, (ì£¼)ì—ìŠ¤í‹°ì—ìŠ¤ê±´ì„¤</t>
  </si>
  <si>
    <t>ì •í›ˆ, ë°•ì¡°ë¯¼, í•¨ì°½í¬</t>
  </si>
  <si>
    <t>https://patents.google.com/patent/KR102931449B1/en</t>
  </si>
  <si>
    <t>CN-112766784-B</t>
  </si>
  <si>
    <t xml:space="preserve">Hydraulic engineering construction potential safety hazard monitoring system and method based on Internet of things </t>
  </si>
  <si>
    <t>æ¹–å—çœç‘žå¤§å·¥ç¨‹å»ºè®¾æœ‰é™å…¬å¸</t>
  </si>
  <si>
    <t>æŽæˆ, çŽ‹é¡ºå–œ, å‘¨ä¹å¹³</t>
  </si>
  <si>
    <t>https://patents.google.com/patent/CN112766784B/en</t>
  </si>
  <si>
    <t>CN-219201951-U</t>
  </si>
  <si>
    <t xml:space="preserve">Pipeline detection monitoring equipment based on Internet of things </t>
  </si>
  <si>
    <t>åŽ¦é—¨ç¿çƒ½ç§‘æŠ€æœ‰é™å…¬å¸</t>
  </si>
  <si>
    <t>é™ˆç‚œé›„, æ¸©æ°¸æ ¹</t>
  </si>
  <si>
    <t>https://patents.google.com/patent/CN219201951U/en</t>
  </si>
  <si>
    <t>https://patentimages.storage.googleapis.com/ce/98/f8/21ab169e23a683/HDA0004167862200000011.png</t>
  </si>
  <si>
    <t>CN-120298187-B</t>
  </si>
  <si>
    <t xml:space="preserve">Analysis and early warning method and system for heavy metal pollution of soil </t>
  </si>
  <si>
    <t>åŒ—äº¬åŽèƒ½é•¿æ±ŸçŽ¯ä¿ç§‘æŠ€ç ”ç©¶é™¢æœ‰é™å…¬å¸, åŽèƒ½é•¿æ±ŸçŽ¯ä¿ç§‘æŠ€æœ‰é™å…¬å¸</t>
  </si>
  <si>
    <t>é²è½¶å‡¡, æ–¹èŠ³, è¢é‡Ž, æ®·å­ç¥º, éƒéœ„ç€š, å­™å¤©é˜³, æŽä½³å¡, å§œæ˜Ÿæˆ, å¼ é€¸è½©</t>
  </si>
  <si>
    <t>https://patents.google.com/patent/CN120298187B/en</t>
  </si>
  <si>
    <t>CN-220926432-U</t>
  </si>
  <si>
    <t xml:space="preserve">Intelligent treatment device for iron-manganese-containing water </t>
  </si>
  <si>
    <t>å¹¿ä¸œå¯Œäº‹æ™ºèƒ½é¥®æ°´è®¾å¤‡æœ‰é™å…¬å¸</t>
  </si>
  <si>
    <t>è–›æ¹˜æ±Ÿ, é™ˆæ‰¿è¿</t>
  </si>
  <si>
    <t>https://patents.google.com/patent/CN220926432U/en</t>
  </si>
  <si>
    <t>CN-116625973-B</t>
  </si>
  <si>
    <t xml:space="preserve">A groundwater detection system and method based on Fourier infrared technology </t>
  </si>
  <si>
    <t>é’Ÿé“æ—­, çŽ‹æ°´, åˆ˜ä¼Ÿ, æŽæ¢¦é›…, æœ±å†°æ¸…</t>
  </si>
  <si>
    <t>https://patents.google.com/patent/CN116625973B/en</t>
  </si>
  <si>
    <t>CN-214997640-U</t>
  </si>
  <si>
    <t xml:space="preserve">Intelligent production device for coal mine </t>
  </si>
  <si>
    <t>ç™¾æ–¯ç‰¹(å¤©æ´¥)è‡ªåŠ¨åŒ–ç§‘æŠ€æœ‰é™å…¬å¸</t>
  </si>
  <si>
    <t>ç†Šå½¦æƒ, ç†Šå½¦è¿‡, å¼ å»ºå¤«, å¼ å¸Œæ¢…</t>
  </si>
  <si>
    <t>https://patents.google.com/patent/CN214997640U/en</t>
  </si>
  <si>
    <t>https://patentimages.storage.googleapis.com/7e/08/46/390a35dc7c0118/HDA0003062500880000011.png</t>
  </si>
  <si>
    <t>CN-121027471-B</t>
  </si>
  <si>
    <t xml:space="preserve">Soil Pollution Risk Analysis Method and System Based on IoT Sensors </t>
  </si>
  <si>
    <t>å†…è’™å¤è´¢ç»å¤§å­¦</t>
  </si>
  <si>
    <t>çŽ‹å²³, è’™ä»²ä¸¾, é«˜å¹¿ç£Š, å•æ…§, å±ˆå¿—å¼º, äºŽæ˜Žå«, èµµåª›åª›, æŽæ—­, å‘¨æ˜¥ç”Ÿ</t>
  </si>
  <si>
    <t>https://patents.google.com/patent/CN121027471B/en</t>
  </si>
  <si>
    <t>CN-117763859-B</t>
  </si>
  <si>
    <t xml:space="preserve">Intelligent geothermal field construction method and system </t>
  </si>
  <si>
    <t>ä¸­å›½çŸ³æ²¹å¤§å­¦(åŒ—äº¬), è¥¿å—äº¤é€šå¤§å­¦</t>
  </si>
  <si>
    <t>å®‹å…ˆçŸ¥, çŸ³å®‡, çŽ‹é«˜å‡, æŽæ ¹ç”Ÿ, é»„ä¸­ä¼Ÿ, è®¸å¯Œå¼º, å®‹å›½é”‹, æŽçˆ½</t>
  </si>
  <si>
    <t>https://patents.google.com/patent/CN117763859B/en</t>
  </si>
  <si>
    <t>CN-119665164-B</t>
  </si>
  <si>
    <t xml:space="preserve">Detection method and device for underground drainage pipes </t>
  </si>
  <si>
    <t>åœ°æ³°å…‹å·¥ç¨‹å‹˜å¯Ÿ(ä¸Šæµ·)æœ‰é™å…¬å¸</t>
  </si>
  <si>
    <t>å®‰èª, æŽæ–‡é™</t>
  </si>
  <si>
    <t>https://patents.google.com/patent/CN119665164B/en</t>
  </si>
  <si>
    <t>CN-221195420-U</t>
  </si>
  <si>
    <t xml:space="preserve">Submerged pump monitoring system based on industrial Internet of things </t>
  </si>
  <si>
    <t>ä¸Šæµ·å‡¯å£«æ¯”æ³µæœ‰é™å…¬å¸</t>
  </si>
  <si>
    <t>åˆ˜å¤, çŸ³ç£Š, å‚…ä¿Šè¾‰, å‘¨ä¹¦æ±‰</t>
  </si>
  <si>
    <t>https://patents.google.com/patent/CN221195420U/en</t>
  </si>
  <si>
    <t>CN-217332410-U</t>
  </si>
  <si>
    <t>æ½˜å°å†°</t>
  </si>
  <si>
    <t>https://patents.google.com/patent/CN217332410U/en</t>
  </si>
  <si>
    <t>https://patentimages.storage.googleapis.com/c4/69/c6/f9e1c5d757de49/HDA0003414774520000011.png</t>
  </si>
  <si>
    <t>CN-119147616-B</t>
  </si>
  <si>
    <t xml:space="preserve">Method and system for rapidly detecting pollutants </t>
  </si>
  <si>
    <t>å´æ™“èŠ³, åˆ˜æ¯…, éŸ©ç¿˜æ¥š, æœ±å²—è¾‰, æŽåª›åª›, åˆ˜ä¼Ÿæ±Ÿ</t>
  </si>
  <si>
    <t>https://patents.google.com/patent/CN119147616B/en</t>
  </si>
  <si>
    <t>CN-224101457-U</t>
  </si>
  <si>
    <t xml:space="preserve">A waste recycling biodegradable bin </t>
  </si>
  <si>
    <t>ç”˜è‚ƒæž—ä¸šèŒä¸šæŠ€æœ¯å¤§å­¦</t>
  </si>
  <si>
    <t>æŽä¾é™, çŸ³æ™“è, è´¾é¸¿å„’, çŽ‹æ€¡å›, çŽ‹æ™“æ˜¥, æŽé¸¿æ°, å¼ è¶…</t>
  </si>
  <si>
    <t>https://patents.google.com/patent/CN224101457U/en</t>
  </si>
  <si>
    <t>CN-219977705-U</t>
  </si>
  <si>
    <t xml:space="preserve">An intelligent monitoring system for piped direct drinking water </t>
  </si>
  <si>
    <t>é•¿æ²™åº·ç¥ºçŽ¯ä¿ç§‘æŠ€æœ‰é™å…¬å¸, æ¹–å—å¤§å­¦</t>
  </si>
  <si>
    <t>è‚–é›„ä», é’±é¹é£ž, é‡‘ç½—è–‡, å½­é“¶æµª, åˆ˜å‹‡, å…³é²é›„</t>
  </si>
  <si>
    <t>https://patents.google.com/patent/CN219977705U/en</t>
  </si>
  <si>
    <t>CN-120630303-B</t>
  </si>
  <si>
    <t xml:space="preserve">Ground subsidence monitoring method, device, equipment, medium and product based on passive source seismic data </t>
  </si>
  <si>
    <t>å›½å‹˜æ•°å­—åœ°çƒ(åŒ—äº¬)ç§‘æŠ€æœ‰é™å…¬å¸</t>
  </si>
  <si>
    <t>æ¨æ™“, å‘¨è‰³ä¼Ÿ, æ¨Šé¾™åˆš</t>
  </si>
  <si>
    <t>https://patents.google.com/patent/CN120630303B/en</t>
  </si>
  <si>
    <t>CN-120139842-B</t>
  </si>
  <si>
    <t xml:space="preserve">A pipe jacking engineering roadbed and pavement settlement reduction structure and monitoring method thereof </t>
  </si>
  <si>
    <t>å¹¿å·žå¸‚åŸŽå»ºè§„åˆ’è®¾è®¡é™¢æœ‰é™å…¬å¸</t>
  </si>
  <si>
    <t>èŽ«å¯ä¹, ç¨‹æ–¹æ°, æŸ¯è´¤æˆ, ç¥é›„æ¶›, é«˜ä¸°, æ¸©å•Ÿè´¤</t>
  </si>
  <si>
    <t>https://patents.google.com/patent/CN120139842B/en</t>
  </si>
  <si>
    <t>CN-219823932-U</t>
  </si>
  <si>
    <t xml:space="preserve">Rural modularized small-sized water purifying and supplying equipment </t>
  </si>
  <si>
    <t>é™•è¥¿æ±‡ä¸°çŽ¯ä¿è®¾å¤‡æœ‰é™å…¬å¸</t>
  </si>
  <si>
    <t>å‘¨å…‹æµ·</t>
  </si>
  <si>
    <t>https://patents.google.com/patent/CN219823932U/en</t>
  </si>
  <si>
    <t>CN-223856455-U</t>
  </si>
  <si>
    <t xml:space="preserve">Channel self-adaptive settlement monitoring device based on multisource data fusion </t>
  </si>
  <si>
    <t>å¾è²é›ª</t>
  </si>
  <si>
    <t>å¾è²é›ª, çŽ‹æ˜¥æ—­, å±ˆæ–‡å›½, å†¯æ¸…ç¿ , é«˜çš“å¸†, è®¸å¾·æ¬£</t>
  </si>
  <si>
    <t>https://patents.google.com/patent/CN223856455U/en</t>
  </si>
  <si>
    <t>CN-211264435-U</t>
  </si>
  <si>
    <t xml:space="preserve">A landslide collapse monitoring alarm device </t>
  </si>
  <si>
    <t>æ²³å—ä¹¾å®‡æ˜Ÿç»˜ä¿¡æ¯æŠ€æœ¯æœ‰é™å…¬å¸</t>
  </si>
  <si>
    <t>å¼ è¦è¾‰, å¼ å…ˆå“²</t>
  </si>
  <si>
    <t>https://patents.google.com/patent/CN211264435U/en</t>
  </si>
  <si>
    <t>https://patentimages.storage.googleapis.com/4a/9a/9c/e01d4715cbfd70/HDA0002428045380000011.png</t>
  </si>
  <si>
    <t>CN-112599277-B</t>
  </si>
  <si>
    <t xml:space="preserve">A modularized intelligent in-situ active purification system for groundwater in uranium tailings reservoir </t>
  </si>
  <si>
    <t>å—åŽå¤§å­¦</t>
  </si>
  <si>
    <t>é»„å€©æ–‡, åˆ˜æ°¸, å¼ æ™“æ–‡, å‘¨è½¶ç‰, è°¢å®‡é¹, å²å…‹æ²¹, é™ˆæ˜Š, äºŽå®ˆå¯Œ, é™ˆé€¸å‡¡, æŽå¯†, å´æ™“ç‡•, å¼ å¿—å†›, ç« æ±‚æ‰, å´å°å†›</t>
  </si>
  <si>
    <t>https://patents.google.com/patent/CN112599277B/en</t>
  </si>
  <si>
    <t>https://patentimages.storage.googleapis.com/41/be/16/5460e743970b57/HDA0002762900290000011.png</t>
  </si>
  <si>
    <t>CN-118892065-B</t>
  </si>
  <si>
    <t xml:space="preserve">An intelligent irrigation system for desert afforestation and its application method </t>
  </si>
  <si>
    <t>é™•è¥¿çœæž—ä¸šç§‘å­¦é™¢</t>
  </si>
  <si>
    <t>çŽ‹æµ·ç‡•, çŽ‹æµ·é¹°, æŽæ¬¢æ¬¢, ä»˜å¹¿å†›, å¼ é¦¨èŠ, è’‹æ™‹è±«, æŽç¿, çŽ‹çŽ‰å®, å§šé¹é£ž, åˆ˜æ‰¬</t>
  </si>
  <si>
    <t>https://patents.google.com/patent/CN118892065B/en</t>
  </si>
  <si>
    <t>CN-120799351-B</t>
  </si>
  <si>
    <t xml:space="preserve">Urban Lifeline Pipeline Burst Prevention System and Method Based on Internet of Things Big Data Model </t>
  </si>
  <si>
    <t>é‚µæ±‰èˆ’, å‘¨èŽ™ç„±, æ›¾æ€ç»´, èŒ¹é”</t>
  </si>
  <si>
    <t>https://patents.google.com/patent/CN120799351B/en</t>
  </si>
  <si>
    <t>KR-102652407-B1</t>
  </si>
  <si>
    <t xml:space="preserve">Smart farm system using renewable energy </t>
  </si>
  <si>
    <t>ì„¸í•œì—ë„ˆì§€ ì£¼ì‹íšŒì‚¬</t>
  </si>
  <si>
    <t>ê¶Œì˜í˜¸, ì •ìž¬ìš©, ë‚¨í˜„ê·œ, ê°•ì„±ê±¸</t>
  </si>
  <si>
    <t>https://patents.google.com/patent/KR102652407B1/en</t>
  </si>
  <si>
    <t>https://patentimages.storage.googleapis.com/34/0e/58/1206e69dc62e41/112023059924356-pat00001.png</t>
  </si>
  <si>
    <t>CN-117074180-B</t>
  </si>
  <si>
    <t xml:space="preserve">Method for measuring pressure change of underground soil body of building </t>
  </si>
  <si>
    <t>ä½™å¿ ç¥¥, å‘¨åœ†åœ†, å‘¨å®—å¼º, æ±ªç»§è‘µ, ç¨‹ä¼Ÿä»™, æ–¹è¶…æ°</t>
  </si>
  <si>
    <t>https://patents.google.com/patent/CN117074180B/en</t>
  </si>
  <si>
    <t>KR-102925274-B1</t>
  </si>
  <si>
    <t xml:space="preserve">Smart clean and cooling road system </t>
  </si>
  <si>
    <t>ì•ˆí›ˆë‚¨, ìœ ì¼í•œ, (ì£¼)ë§í¬ë„·ì½”ë¦¬ì•„</t>
  </si>
  <si>
    <t>ì•ˆí›ˆë‚¨, ìœ ì¼í•œ, í™ëŒ€ì§„</t>
  </si>
  <si>
    <t>https://patents.google.com/patent/KR102925274B1/en</t>
  </si>
  <si>
    <t>KR-102713951-B1</t>
  </si>
  <si>
    <t xml:space="preserve">Smart maintenance system for railway facilities </t>
  </si>
  <si>
    <t>(ì£¼) ë‹¤ìŒê¸°ìˆ ë‹¨, ìš°ë¦¬ê¸°ìˆ  ì£¼ì‹íšŒì‚¬, ë°•ì² </t>
  </si>
  <si>
    <t>ë°•ì² , ìµœë³‘ê·œ, ì •í•´ìš©</t>
  </si>
  <si>
    <t>https://patents.google.com/patent/KR102713951B1/en</t>
  </si>
  <si>
    <t>CN-220150423-U</t>
  </si>
  <si>
    <t xml:space="preserve">Farmland rainwater utilization device </t>
  </si>
  <si>
    <t>é½åº·æ™º</t>
  </si>
  <si>
    <t>https://patents.google.com/patent/CN220150423U/en</t>
  </si>
  <si>
    <t>CN-218002688-U</t>
  </si>
  <si>
    <t xml:space="preserve">Excavation vibration buried monitor </t>
  </si>
  <si>
    <t>æ³°èƒ½å¤©ç„¶æ°”æœ‰é™å…¬å¸</t>
  </si>
  <si>
    <t>å¼ ç»§äº®, å­™æ–‡å‡¯</t>
  </si>
  <si>
    <t>https://patents.google.com/patent/CN218002688U/en</t>
  </si>
  <si>
    <t>https://patentimages.storage.googleapis.com/ef/5d/40/56c96254f1fe21/HDA0003767088110000011.png</t>
  </si>
  <si>
    <t>CN-220437493-U</t>
  </si>
  <si>
    <t xml:space="preserve">Multifunctional split water meter based on spc battery self-detection </t>
  </si>
  <si>
    <t>å®å¤éš†åŸºå®å…‰ä»ªè¡¨è‚¡ä»½æœ‰é™å…¬å¸</t>
  </si>
  <si>
    <t>å¸¸å…´æ™º, å¼ å†›, éƒ­å½©æ¢…, é©¬å¼º, ç½—é•¿è£, å±ˆå­æ—­, æ¨æ°, æ›¹å®, é™ˆç¹, å¼ å¿ å…ƒ, å–‡ä¸½, çŽ‹æµ·ç¿”</t>
  </si>
  <si>
    <t>https://patents.google.com/patent/CN220437493U/en</t>
  </si>
  <si>
    <t>CN-121093458-B</t>
  </si>
  <si>
    <t xml:space="preserve">Flexible side slope support optimal design system </t>
  </si>
  <si>
    <t>å››å·çœå»ºç­‘æœºæ¢°åŒ–å·¥ç¨‹æœ‰é™å…¬å¸</t>
  </si>
  <si>
    <t>è°¢æ™‹, é‚“ä¿Š, åˆ˜å…ˆå»º, é«˜ç‚æ–‡, å‘çµç’, å”æµ©, æŽæ™“å³°, å¸­å®‡æµ©, ç§¦æµª, å¼ æ˜Œä¹‰</t>
  </si>
  <si>
    <t>https://patents.google.com/patent/CN121093458B/en</t>
  </si>
  <si>
    <t>KR-102771585-B1</t>
  </si>
  <si>
    <t xml:space="preserve">System for providing smart farm service using water management apparatus </t>
  </si>
  <si>
    <t>ìœ í•œíšŒì‚¬ ì´í‹°ì»´íŒŒë‹ˆ</t>
  </si>
  <si>
    <t>ì •ì˜í˜¸</t>
  </si>
  <si>
    <t>https://patents.google.com/patent/KR102771585B1/en</t>
  </si>
  <si>
    <t>https://patentimages.storage.googleapis.com/1a/c5/20/48267739077e49/112023084962019-pat00004.png</t>
  </si>
  <si>
    <t>CN-117461527-B</t>
  </si>
  <si>
    <t xml:space="preserve">Water-salt dual-control intelligent irrigation system and control method for rice-crab symbiosis mode </t>
  </si>
  <si>
    <t>é™ˆæ¶›æ¶›, èƒ¡æº¢è±ª, å¼ ä¸°, æŽè‹±è±ª, éŸ©å®ä¼Ÿ, åˆ˜æµ·éœž, æŽåšæ˜Š</t>
  </si>
  <si>
    <t>https://patents.google.com/patent/CN117461527B/en</t>
  </si>
  <si>
    <t>CN-214748264-U</t>
  </si>
  <si>
    <t xml:space="preserve">High-precision water level monitor for hydraulic engineering based on transmission of Internet of things </t>
  </si>
  <si>
    <t>å´‡ä»åŽ¿æ°´ç”µå»ºç­‘å®‰è£…æœ‰é™è´£ä»»å…¬å¸</t>
  </si>
  <si>
    <t>ç”°é‡‘è´µ</t>
  </si>
  <si>
    <t>https://patents.google.com/patent/CN214748264U/en</t>
  </si>
  <si>
    <t>https://patentimages.storage.googleapis.com/4e/00/77/c6a184a28e3d28/DEST_PATH_HDA0003274071570000011.png</t>
  </si>
  <si>
    <t>CN-212965822-U</t>
  </si>
  <si>
    <t xml:space="preserve">Intelligent energy management terminal </t>
  </si>
  <si>
    <t>æ²³å—ç´¢ä»•è¾¾ç”µå­ç§‘æŠ€æœ‰é™å…¬å¸</t>
  </si>
  <si>
    <t>çŽ‹å¸…, çŽ‹è´µ</t>
  </si>
  <si>
    <t>https://patents.google.com/patent/CN212965822U/en</t>
  </si>
  <si>
    <t>https://patentimages.storage.googleapis.com/75/2d/99/4c0a898f88d380/HDA0002745764630000011.png</t>
  </si>
  <si>
    <t>CN-220829755-U</t>
  </si>
  <si>
    <t xml:space="preserve">Dry-land drainage alarm system for municipal rainwater pipe network </t>
  </si>
  <si>
    <t>æˆéƒ½å…´è“‰å¸‚æ”¿è®¾æ–½ç®¡ç†æœ‰é™å…¬å¸, æˆéƒ½çŽ¯å¢ƒåˆ›æ–°ç§‘æŠ€æœ‰é™å…¬å¸</t>
  </si>
  <si>
    <t>ç¨‹è¿›, å¼ å‡Œè™Ž, æ¨ä¸¹, èŠ®èƒœé˜³, çŽ‹ç¾ŽçŽ², ä¹ å¾·é’§, è’‹æ¢é›, ç¨‹ç£</t>
  </si>
  <si>
    <t>https://patents.google.com/patent/CN220829755U/en</t>
  </si>
  <si>
    <t>KR-102791958-B1</t>
  </si>
  <si>
    <t xml:space="preserve">Metaverse-based building safety diagnosis system and method of the same </t>
  </si>
  <si>
    <t>ì´ì—˜ì—”ì§€ë‹ˆì–´ë§(ì£¼)</t>
  </si>
  <si>
    <t>ê¹€ë‚¨ìž¬</t>
  </si>
  <si>
    <t>https://patents.google.com/patent/KR102791958B1/en</t>
  </si>
  <si>
    <t>CN-114706399-B</t>
  </si>
  <si>
    <t xml:space="preserve">Internet of things-based automatic small-shed shrimp breeding intelligent control system and method </t>
  </si>
  <si>
    <t>æ±Ÿè‹å¡å°”æ›¼èˆªå¤©åº”ç”¨æŠ€æœ¯æœ‰é™å…¬å¸</t>
  </si>
  <si>
    <t>å§¬è£å³°, æ±ªåµ©çš“, è‘£æ°¸å¹³, å¾èˆªæ¶›, å´é£ž, çŽ‹çƒ, çŽ‹æµ©</t>
  </si>
  <si>
    <t>https://patents.google.com/patent/CN114706399B/en</t>
  </si>
  <si>
    <t>https://patentimages.storage.googleapis.com/01/10/60/d0b8022ad5e88d/220318183718.png</t>
  </si>
  <si>
    <t>CN-119573660-B</t>
  </si>
  <si>
    <t xml:space="preserve">Land subsidence and disaster risk assessment method, system and equipment based on three-dimensional deformation </t>
  </si>
  <si>
    <t>ä¸­å›½ç§‘å­¦é™¢æ–°ç–†ç”Ÿæ€ä¸Žåœ°ç†ç ”ç©¶æ‰€</t>
  </si>
  <si>
    <t>èŒƒå½¬å½¬, ç½—æ ¼å¹³</t>
  </si>
  <si>
    <t>https://patents.google.com/patent/CN119573660B/en</t>
  </si>
  <si>
    <t>CN-120764967-B</t>
  </si>
  <si>
    <t xml:space="preserve">A method, medium, and equipment for water supply scheduling and planning in residential areas. </t>
  </si>
  <si>
    <t>é—½æ±Ÿå­¦é™¢, ç¦å»ºçœé—½æ±ŸæµåŸŸä¸­å¿ƒ, ç¦å»ºçœæ°´æŠ•å‹˜æµ‹è®¾è®¡æœ‰é™å…¬å¸</t>
  </si>
  <si>
    <t>é‚µæŒ¯åŽ, å¾å›½å‹‡, ç½—æ™–, æ±ªæ°´å‰, ç½—çŽ‰é¾™, ç«¥æ–‡è¾‰, éƒ‘ç³æ¦•</t>
  </si>
  <si>
    <t>https://patents.google.com/patent/CN120764967B/en</t>
  </si>
  <si>
    <t>CN-214005831-U</t>
  </si>
  <si>
    <t xml:space="preserve">Remote well electricity double-control intelligent system </t>
  </si>
  <si>
    <t>æ±Ÿè‹ä¸™è¾°ç”µå­è‚¡ä»½æœ‰é™å…¬å¸</t>
  </si>
  <si>
    <t>å´å…´ä¸­, æŸ´å­¦å‹‡, èƒ¡å®‰è·¯, åˆ˜äº‘</t>
  </si>
  <si>
    <t>https://patents.google.com/patent/CN214005831U/en</t>
  </si>
  <si>
    <t>https://patentimages.storage.googleapis.com/3d/0e/7b/eb210240963785/DEST_PATH_HDA0003139818820000011.png</t>
  </si>
  <si>
    <t>CN-119221415-B</t>
  </si>
  <si>
    <t xml:space="preserve">Canal ecological water resources allocation method based on feedback mechanism </t>
  </si>
  <si>
    <t>å¹¿è¥¿ç å§”å—å®å‹˜æµ‹è®¾è®¡é™¢æœ‰é™å…¬å¸</t>
  </si>
  <si>
    <t>æ¨æ¢…åº†, ç¨‹å»ºä¸­, å•æº</t>
  </si>
  <si>
    <t>https://patents.google.com/patent/CN119221415B/en</t>
  </si>
  <si>
    <t>CN-115896255-B</t>
  </si>
  <si>
    <t xml:space="preserve">Trace tracing method using DNA identification code </t>
  </si>
  <si>
    <t>åº·çŽ‰éºŸ, çŽ‹ç»´, è‹é¦™ç‡•, æŽæ³°ç„¶, åˆ˜æŸéŸ³, é‚±æ–‡å©·, å¼ äºšé’</t>
  </si>
  <si>
    <t>https://patents.google.com/patent/CN115896255B/en</t>
  </si>
  <si>
    <t>https://patentimages.storage.googleapis.com/60/8f/0a/b2a2ad85c558fe/FT_1.png</t>
  </si>
  <si>
    <t>CN-121094477-B</t>
  </si>
  <si>
    <t xml:space="preserve">Methods and systems for efficient soil moisture utilization in dryland farming areas </t>
  </si>
  <si>
    <t>ä¸­å›½å†œä¸šç§‘å­¦é™¢å†œä¸šèµ„æºä¸Žå†œä¸šåŒºåˆ’ç ”ç©¶æ‰€</t>
  </si>
  <si>
    <t>æŽç”Ÿå¹³, é«˜åœ£è¶…, æ­¦é›ªè, æŽæ™¯, éƒ‘å‡¤å›, æ¨æ­¦, å¼ æ˜Žé‰´, æ¨æ™¨å¸Œ</t>
  </si>
  <si>
    <t>https://patents.google.com/patent/CN121094477B/en</t>
  </si>
  <si>
    <t>CN-223134990-U</t>
  </si>
  <si>
    <t xml:space="preserve">Intelligent CNC anti-overturning swivel support and system </t>
  </si>
  <si>
    <t>æ²³åŒ—å®å®‰å·¥ç¨‹ææ–™æœ‰é™å…¬å¸</t>
  </si>
  <si>
    <t>å¼ é”¦ç½—, çŽ‹ä¹, è–›ç»´, å¼ é‡‘ç‡•, å¼ æŒ¯æ‹´, ä¸œæ˜¥æ»¡</t>
  </si>
  <si>
    <t>https://patents.google.com/patent/CN223134990U/en</t>
  </si>
  <si>
    <t>CN-119380135-B</t>
  </si>
  <si>
    <t xml:space="preserve">A hydrogeological parameter inversion method and system based on time-series InSAR </t>
  </si>
  <si>
    <t>https://patents.google.com/patent/CN119380135B/en</t>
  </si>
  <si>
    <t>CN-218673794-U</t>
  </si>
  <si>
    <t xml:space="preserve">Water level visualizer </t>
  </si>
  <si>
    <t>çŽ‹ç»´ç»´</t>
  </si>
  <si>
    <t>https://patents.google.com/patent/CN218673794U/en</t>
  </si>
  <si>
    <t>https://patentimages.storage.googleapis.com/4c/4f/86/7c9e25b39eee86/HDA0003911043070000011.png</t>
  </si>
  <si>
    <t>CN-117118477-B</t>
  </si>
  <si>
    <t xml:space="preserve">LTE, NB-IoT, loRa and Beidou multi-radio frequency fusion circuit, signal processing method and application </t>
  </si>
  <si>
    <t>é•¿æ±Ÿä¿¡è¾¾è½¯ä»¶æŠ€æœ¯ï¼ˆæ­¦æ±‰ï¼‰æœ‰é™è´£ä»»å…¬å¸</t>
  </si>
  <si>
    <t>å­™é£ž, å¼ æ’é£ž, æŽå°é¾™, å”å…‰è¾‰, ç½—å¸†, çŽ‹å¸…, æ±Ÿå±±, æˆé›ªå¤«</t>
  </si>
  <si>
    <t>https://patents.google.com/patent/CN117118477B/en</t>
  </si>
  <si>
    <t>CN-212903353-U</t>
  </si>
  <si>
    <t xml:space="preserve">Water metering intelligent terminal </t>
  </si>
  <si>
    <t>åŒ—äº¬å¸‚æ°´åˆ©è‡ªåŠ¨åŒ–ç ”ç©¶æ‰€</t>
  </si>
  <si>
    <t>å¼ æ–°, é›·å¥, åˆ˜å»ºå›½, æŽæ™“æ¢…, è‚æ˜Žæ°, å¼ å…´ä¸š, çŽ‹è‹§å‰, æŽæ¥ , è´¾é™†ç’, ç”°æ™“å®‡</t>
  </si>
  <si>
    <t>https://patents.google.com/patent/CN212903353U/en</t>
  </si>
  <si>
    <t>https://patentimages.storage.googleapis.com/0b/cd/78/4487a52dbe4a6f/210115104313.png</t>
  </si>
  <si>
    <t>CN-219956608-U</t>
  </si>
  <si>
    <t xml:space="preserve">Environment-friendly monitoring system based on monitoring equipment in factory </t>
  </si>
  <si>
    <t>åŒ—äº¬å»ºç§‘åšé”å·¥ç¨‹æŠ€æœ¯æœ‰é™å…¬å¸</t>
  </si>
  <si>
    <t>åˆ˜é¾™é›³, é‚±å»ºåŽ, éƒ­æ ‹èŒ‚, å°šäº‘å³°, é«˜å¼º, è°­å¯¿å²©, æŽèŠ³èŠ³, èµµçº¢èŒ¹</t>
  </si>
  <si>
    <t>https://patents.google.com/patent/CN219956608U/en</t>
  </si>
  <si>
    <t>KR-102337289-B1</t>
  </si>
  <si>
    <t xml:space="preserve">Urban heat island reduction system through eco-friendly rainwater management </t>
  </si>
  <si>
    <t>https://patents.google.com/patent/KR102337289B1/en</t>
  </si>
  <si>
    <t>https://patentimages.storage.googleapis.com/5b/37/f4/d5f2a1549dbbcc/112020101825317-pat00001.png</t>
  </si>
  <si>
    <t>CN-212846428-U</t>
  </si>
  <si>
    <t xml:space="preserve">Intelligent well lid controller with flood monitoring function </t>
  </si>
  <si>
    <t>æµ™æ±Ÿåˆ›åŠ›ç”µå­è‚¡ä»½æœ‰é™å…¬å¸, æµ™æ±Ÿé­”è±†ç§‘æŠ€æœ‰é™å…¬å¸</t>
  </si>
  <si>
    <t>é™ˆçªé”‹, å¼ ä»é˜³, ä¸æµ·æƒ, é™ˆé«˜ä¸°, å¾æ³½æ·±, åˆ˜æˆ, é™ˆå† è‡£, è°­æ³³æž—, æŽä¸•å¦‚, å¾è‰³è‰³, çŽ‹å¿ æˆ, é’±æ–‡åŠ›, è°¢çºçº, ç¿å¿ç’‡</t>
  </si>
  <si>
    <t>https://patents.google.com/patent/CN212846428U/en</t>
  </si>
  <si>
    <t>https://patentimages.storage.googleapis.com/92/72/45/85cea040556c50/200808085523.png</t>
  </si>
  <si>
    <t>CN-120105919-B</t>
  </si>
  <si>
    <t xml:space="preserve">A method, device, medium and product for predicting surface deformation </t>
  </si>
  <si>
    <t>å…°å·žäº¤é€šå¤§å­¦</t>
  </si>
  <si>
    <t>è‹å°å®, å¼ è¾‰, æ¨ç»´èŠ³, æŽç¥–é”‹, åº·æ°¸æ³°, é»„å®¶ä¹, å­”å¾·å¼º, å­Ÿå›½æ°</t>
  </si>
  <si>
    <t>https://patents.google.com/patent/CN120105919B/en</t>
  </si>
  <si>
    <t>CN-212937192-U</t>
  </si>
  <si>
    <t xml:space="preserve">Irrigation system of wisdom agricultural </t>
  </si>
  <si>
    <t>æ›¹ä¸½ä¸½</t>
  </si>
  <si>
    <t>https://patents.google.com/patent/CN212937192U/en</t>
  </si>
  <si>
    <t>https://patentimages.storage.googleapis.com/e7/26/ee/7c12f75c104b4b/HDA0002528044810000011.png</t>
  </si>
  <si>
    <t>CN-216621360-U</t>
  </si>
  <si>
    <t xml:space="preserve">A water level warning device </t>
  </si>
  <si>
    <t>å›½å®¶èƒ½æºé›†å›¢å›½æºç”µåŠ›æœ‰é™å…¬å¸, å±±è¥¿é²èƒ½æ²³æ›²å‘ç”µæœ‰é™å…¬å¸</t>
  </si>
  <si>
    <t>èµµè·¯, ä»˜æ ‘å¼º, éƒ­ä»å¹¿, æ¨Šé™æ³¢, å‘¨å–œå³°, å­Ÿç»´å‡¯</t>
  </si>
  <si>
    <t>https://patents.google.com/patent/CN216621360U/en</t>
  </si>
  <si>
    <t>https://patentimages.storage.googleapis.com/28/01/ac/3c43c2d684963e/HDA0003455174030000011.png</t>
  </si>
  <si>
    <t>CN-218097906-U</t>
  </si>
  <si>
    <t xml:space="preserve">A direct drinking water IoT water meter </t>
  </si>
  <si>
    <t>å±±ä¸œç§‰æ¬ä¿¡æ¯ç§‘æŠ€æœ‰é™å…¬å¸</t>
  </si>
  <si>
    <t>å‘¨åœ£ä»“, æŽå®, æ¨ç¦è¾‰, å‘¨å¿—ä¼Ÿ, ç¨‹è¿žæ³¢, æŽæ™¶, ä¸çº¢é›·</t>
  </si>
  <si>
    <t>https://patents.google.com/patent/CN218097906U/en</t>
  </si>
  <si>
    <t>https://patentimages.storage.googleapis.com/83/c0/e7/f0170002980ca3/HDA0003723026920000011.png</t>
  </si>
  <si>
    <t>KR-102895393-B1</t>
  </si>
  <si>
    <t xml:space="preserve">AI-based Intelligent Hydraulic Circulation Road De-icing System </t>
  </si>
  <si>
    <t>ì£¼ì‹íšŒì‚¬ í•˜ì´ë¹„í‹°</t>
  </si>
  <si>
    <t>ì´ì¹˜ê·œ</t>
  </si>
  <si>
    <t>https://patents.google.com/patent/KR102895393B1/en</t>
  </si>
  <si>
    <t>CN-120739509-B</t>
  </si>
  <si>
    <t xml:space="preserve">Sensor network-based real-time geological advanced detection method for multi-arm drilling operation </t>
  </si>
  <si>
    <t>å—æ°´åŒ—è°ƒ(å’Œé¾™)èƒ½æºæœ‰é™å…¬å¸</t>
  </si>
  <si>
    <t>éŸ©å®éŸ¬, è”¡é¸¥, è§£é¢–è¶…, å¼ è€€, èƒ¡ç ç§‹, ä»‰å¥‰å¿ , èƒ¡æµ·åŽ, çŽ‹å®‡, çŽ‹æ˜¯ä¸š, å‘¨é‡‘è¾‰</t>
  </si>
  <si>
    <t>https://patents.google.com/patent/CN120739509B/en</t>
  </si>
  <si>
    <t>CN-212459629-U</t>
  </si>
  <si>
    <t xml:space="preserve">Automatic water quality monitoring device and running water quality monitoring system of secondary water supply side </t>
  </si>
  <si>
    <t>å¯¼æ´(åŒ—äº¬)çŽ¯å¢ƒç§‘æŠ€æœ‰é™å…¬å¸</t>
  </si>
  <si>
    <t>é¥¶ä¸½çµ</t>
  </si>
  <si>
    <t>https://patents.google.com/patent/CN212459629U/en</t>
  </si>
  <si>
    <t>https://patentimages.storage.googleapis.com/e1/e0/e8/55a1c687c0f539/HDA0002386143570000011.png</t>
  </si>
  <si>
    <t>CN-120338477-B</t>
  </si>
  <si>
    <t xml:space="preserve">A comprehensive protection management system and method for cultural relics throughout their life cycle </t>
  </si>
  <si>
    <t>æ²³å—å•†éƒ½å¤å»ºå·¥ç¨‹æœ‰é™å…¬å¸</t>
  </si>
  <si>
    <t>å®‹æ–‡ä½³, å´ç›, å­™å¤§å¿—, çŽ‹å‡¯, æŽçº¢å¹³, é™¶ä½³, æ›¹èŠ³</t>
  </si>
  <si>
    <t>https://patents.google.com/patent/CN120338477B/en</t>
  </si>
  <si>
    <t>CN-120252559-B</t>
  </si>
  <si>
    <t xml:space="preserve">Deformation monitoring system and method based on phase information </t>
  </si>
  <si>
    <t>å´ç¼, è¾›ç‚³å¤, ä»£é••æº, æŽå®å¿</t>
  </si>
  <si>
    <t>https://patents.google.com/patent/CN120252559B/en</t>
  </si>
  <si>
    <t>CN-117875912-B</t>
  </si>
  <si>
    <t xml:space="preserve">BIM+IOT-based intelligent piling management monitoring tracking system </t>
  </si>
  <si>
    <t>ä¸­å»ºä¸‰å±€é›†å›¢åŽå—æœ‰é™å…¬å¸</t>
  </si>
  <si>
    <t>é™ˆæ˜Ž, çŽ‹ä¸½, è°¢ç¥¥èª, ç« é’¦é’¦</t>
  </si>
  <si>
    <t>https://patents.google.com/patent/CN117875912B/en</t>
  </si>
  <si>
    <t>CN-120252634-B</t>
  </si>
  <si>
    <t xml:space="preserve">Sedimentation monitoring system and method for geological survey </t>
  </si>
  <si>
    <t>æ›¹åŽçŽ², ä¹”ä¸¹, å¼ å€©, çŽ‹æ”€è£, æ›¹æ‰æ´², æŽæ ‹, é™ˆåš, æ›¾å°å†›, æ¨Šå¹¿åˆ©, éƒ‘æ°, éƒ‘å½¬, ä¼å­¦æ™º</t>
  </si>
  <si>
    <t>https://patents.google.com/patent/CN120252634B/en</t>
  </si>
  <si>
    <t>CN-221197049-U</t>
  </si>
  <si>
    <t xml:space="preserve">Drain pipe blocking monitoring device </t>
  </si>
  <si>
    <t>é•¿æ˜¥ä¸­æµ·ç‰©ä¸šç®¡ç†æœ‰é™å…¬å¸, ä¸­æµ·ç‰©ä¸šç®¡ç†æœ‰é™å…¬å¸, æ·±åœ³å¸‚æµ·åšå·¥ç¨‹ç§‘æŠ€æœ‰é™å…¬å¸, æ·±åœ³å¸‚å…´æµ·æœºç”µå·¥ç¨‹æœ‰é™å…¬å¸</t>
  </si>
  <si>
    <t>èµµé•¿ä½™, åˆ˜æ™“æ˜†, å¼ æ˜Š, çŽ‹ç»´å‰‘, æŽæµ·å‡¤, å¼ ç£Š, åˆ˜åŽä¼Ÿ</t>
  </si>
  <si>
    <t>https://patents.google.com/patent/CN221197049U/en</t>
  </si>
  <si>
    <t>CN-121350499-B</t>
  </si>
  <si>
    <t xml:space="preserve">Analysis method and related device for environment monitoring data </t>
  </si>
  <si>
    <t>ä¸­å›½çŽ¯å¢ƒç›‘æµ‹æ€»ç«™</t>
  </si>
  <si>
    <t>åˆ˜å¸¸æ°¸, çŽ‹å‹‡, æœè°¨å®, æ¨ä¼Ÿä¼Ÿ, é«˜æ™¨å…‰, çŽ‹æˆ, å­™å›½ç¿ , é™ˆå²©, çŽ‹å†›éœž, çŽ‹é”·ä¸€, å´æ€€æ°‘</t>
  </si>
  <si>
    <t>https://patents.google.com/patent/CN121350499B/en</t>
  </si>
  <si>
    <t>CN-222351804-U</t>
  </si>
  <si>
    <t xml:space="preserve">Drainage pipe network outer water dynamic investigation device </t>
  </si>
  <si>
    <t>æ­å·žèšè”ä¼ æ„Ÿç§‘æŠ€æœ‰é™å…¬å¸</t>
  </si>
  <si>
    <t>æ±ªæ°¸æ˜Ž, å‘¨ç„¶, æ¨æ”€å³°</t>
  </si>
  <si>
    <t>https://patents.google.com/patent/CN222351804U/en</t>
  </si>
  <si>
    <t>CN-220752321-U</t>
  </si>
  <si>
    <t xml:space="preserve">Geological disaster monitoring station </t>
  </si>
  <si>
    <t>æ¨ç»´ä¿¡, ç™½é©å­¦, ä¸‡å®å³°, æŽèŠ³å†›, ä½™é£ž</t>
  </si>
  <si>
    <t>https://patents.google.com/patent/CN220752321U/en</t>
  </si>
  <si>
    <t>CN-119984082-B</t>
  </si>
  <si>
    <t xml:space="preserve">Method, equipment and medium for monitoring and repairing tunnel deformation </t>
  </si>
  <si>
    <t>æµŽå—ç‘žæºæ™ºèƒ½åŸŽå¸‚å¼€å‘æœ‰é™å…¬å¸</t>
  </si>
  <si>
    <t>éƒ­æ­£, æ±ªç¥º, çŽ‹å›, åˆ˜æ¶µçª</t>
  </si>
  <si>
    <t>https://patents.google.com/patent/CN119984082B/en</t>
  </si>
  <si>
    <t>CN-117992617-B</t>
  </si>
  <si>
    <t xml:space="preserve">Method, device, equipment and storage medium for representing earth resource environment tuple </t>
  </si>
  <si>
    <t>ä¸­å›½ç§‘å­¦é™¢ç©ºå¤©ä¿¡æ¯åˆ›æ–°ç ”ç©¶é™¢</t>
  </si>
  <si>
    <t>å½­çŽ², è‘›æ˜Ÿå½¤, è¦ƒæ²§, æ¨ä¸½å¨œ, æŽçŽ®è¶…</t>
  </si>
  <si>
    <t>https://patents.google.com/patent/CN117992617B/en</t>
  </si>
  <si>
    <t>CN-120930955-B</t>
  </si>
  <si>
    <t xml:space="preserve">Disaster Prevention and Control Methods and Systems Based on Regional Spatiotemporal Correlation Models </t>
  </si>
  <si>
    <t>æµ™æ±Ÿçœæµ·æ´‹ç§‘å­¦é™¢</t>
  </si>
  <si>
    <t>å¼ åˆ™é£ž, ä¸é›ªéœ–, å´å¯¿å¸¸, æœ±æ°¸, æœ±éªä¾ , åº·æ³¢, å†¯æŒ¯æ´², å²³ç¾²å’Œ, é™ˆå²šæ£®, æ²ˆé›¨èˆª</t>
  </si>
  <si>
    <t>https://patents.google.com/patent/CN120930955B/en</t>
  </si>
  <si>
    <t>CN-222954411-U</t>
  </si>
  <si>
    <t xml:space="preserve">A water-fertilizer integrated drip irrigation system for Chinese medicinal materials </t>
  </si>
  <si>
    <t>æ²³å—çœå†œä¸šç§‘å­¦é™¢ä¸­è¯æç ”ç©¶æ‰€, æ²³å—åŒä¿¡ç”Ÿç‰©ç§‘æŠ€æœ‰é™å…¬å¸</t>
  </si>
  <si>
    <t>èµµéœž, æ¨è±«é¾™, çŽ‹ä¼šé”‹, ç‡•æ ‘é”‹, åˆ˜ç‚¹, æ¢æ…§ç, æ¨å»ºï¿½</t>
  </si>
  <si>
    <t>https://patents.google.com/patent/CN222954411U/en</t>
  </si>
  <si>
    <t>CN-118071105-B</t>
  </si>
  <si>
    <t xml:space="preserve">Intelligent control method and system for rural drinking water treatment </t>
  </si>
  <si>
    <t>å¹¿å·žé«˜å¾—çŽ¯ä¿ç§‘æŠ€è‚¡ä»½æœ‰é™å…¬å¸</t>
  </si>
  <si>
    <t>åˆ˜å‡é˜³, èµµé¡ºè¿ž, æž—è¿›èˆª</t>
  </si>
  <si>
    <t>https://patents.google.com/patent/CN118071105B/en</t>
  </si>
  <si>
    <t>CN-119900265-B</t>
  </si>
  <si>
    <t xml:space="preserve">Production method and construction method of assembled high-strength and toughness composite prefabricated stand column pile </t>
  </si>
  <si>
    <t>æ±Ÿè‹å»ºé™¢è¥é€ è‚¡ä»½æœ‰é™å…¬å¸, æ±Ÿè‹å»ºé™¢åŸŽå¸‚å‘å±•æœ‰é™å…¬å¸</t>
  </si>
  <si>
    <t>é«˜å¼º, é­é¹, å´æ–ŒåŽ, å¼ æ™¶, éŸ©åº†, æœ±ç£Š, å‘¨èª, ä½™æ°¸, é©¬æ°¸å‡, æ¯•ç»ç†, é™ˆé™, æµ¦ä¸€æ˜Ÿ</t>
  </si>
  <si>
    <t>https://patents.google.com/patent/CN119900265B/en</t>
  </si>
  <si>
    <t>CN-219551642-U</t>
  </si>
  <si>
    <t xml:space="preserve">Internet of things type water level measuring device </t>
  </si>
  <si>
    <t>è¾½å®ä¸œæ–¹å›½ç«‹ç”µå­ç³»ç»Ÿæœ‰é™å…¬å¸</t>
  </si>
  <si>
    <t>éƒ­ç«‹</t>
  </si>
  <si>
    <t>https://patents.google.com/patent/CN219551642U/en</t>
  </si>
  <si>
    <t>CN-121049300-B</t>
  </si>
  <si>
    <t xml:space="preserve">Soil moisture content monitor containing modified bentonite shutoff </t>
  </si>
  <si>
    <t>https://patents.google.com/patent/CN121049300B/en</t>
  </si>
  <si>
    <t>CN-121279461-B</t>
  </si>
  <si>
    <t xml:space="preserve">Question-answering system control method, equipment and storage medium based on engineering management </t>
  </si>
  <si>
    <t>æ·±åœ³å¸‚æ™ºé€ å»ºç­‘ä¿¡æ¯ç§‘æŠ€æœ‰é™å…¬å¸</t>
  </si>
  <si>
    <t>è‚–å¾, æ¨å¿ </t>
  </si>
  <si>
    <t>https://patents.google.com/patent/CN121279461B/en</t>
  </si>
  <si>
    <t>CN-120764334-B</t>
  </si>
  <si>
    <t xml:space="preserve">A tunnel dual-energy clustering routing method based on multi-objective optimization </t>
  </si>
  <si>
    <t>ç«ä¹…å…ƒ, æ›¹èŠ³, æ¨ç»§å¹¿, é­æ–‡äº®, é˜šç”²èµŸ, ç©†èª</t>
  </si>
  <si>
    <t>https://patents.google.com/patent/CN120764334B/en</t>
  </si>
  <si>
    <t>CN-219994616-U</t>
  </si>
  <si>
    <t xml:space="preserve">Wall of a well sealing device is inspected to gas direct burial pipeline </t>
  </si>
  <si>
    <t>å¤§è¿žç›Šå¤šç®¡é“æœ‰é™å…¬å¸</t>
  </si>
  <si>
    <t>ç™½å…‰, åˆ˜å»ºç­‘, äºŽé“, å‰å ‚ç››, é«˜è¿žé£ž, ç”°æµ·ç”Ÿ, è°¢å¦‚é¹, ä¾¯é»Žé»Ž, çŽ‹è¯—æ¥·</t>
  </si>
  <si>
    <t>https://patents.google.com/patent/CN219994616U/en</t>
  </si>
  <si>
    <t>CN-216410155-U</t>
  </si>
  <si>
    <t xml:space="preserve">Building settlement monitoring system based on LoRa wireless communication </t>
  </si>
  <si>
    <t>æ²³å—çœå»ºç­‘ç§‘å­¦ç ”ç©¶é™¢æœ‰é™å…¬å¸, æ²³å—çœå»ºç­‘å·¥ç¨‹è´¨é‡æ£€éªŒæµ‹è¯•ä¸­å¿ƒç«™æœ‰é™å…¬å¸, ä¸Šæµ·æ­¥é’ä»ªå™¨è®¾å¤‡æœ‰é™å…¬å¸, ä¸Šæµ·æ­¥é’ç§‘æŠ€å‘å±•æœ‰é™å…¬å¸</t>
  </si>
  <si>
    <t>è’‹é“­å‡¯, å­Ÿä¹¦æ°, å¼ æŒ¯é£ž, å†¯å‹‡, å¾ç›Ÿ, æŽç§‹å³°, æŽè…¾é¾™, å¼ å“, éŸ©äº®äº®, é½æ¨åŽ, å¯‡ç‘žå¿, è‹æ¬£</t>
  </si>
  <si>
    <t>https://patents.google.com/patent/CN216410155U/en</t>
  </si>
  <si>
    <t>https://patentimages.storage.googleapis.com/08/ad/9a/1e8a7fdf8cb708/HDA0003229724430000011.png</t>
  </si>
  <si>
    <t>CN-213085564-U</t>
  </si>
  <si>
    <t xml:space="preserve">Electric control device for buried water treatment equipment </t>
  </si>
  <si>
    <t>æˆéƒ½çŽ¯èƒ½å¾·ç¾ŽçŽ¯ä¿è£…å¤‡åˆ¶é€ æœ‰é™å…¬å¸</t>
  </si>
  <si>
    <t>æž—å¾·èª</t>
  </si>
  <si>
    <t>https://patents.google.com/patent/CN213085564U/en</t>
  </si>
  <si>
    <t>https://patentimages.storage.googleapis.com/c6/d5/a0/4ab8546210c889/HDA0002537066430000011.png</t>
  </si>
  <si>
    <t>CN-116545498-B</t>
  </si>
  <si>
    <t xml:space="preserve">Satellite data acquisition system, method, equipment and storage medium </t>
  </si>
  <si>
    <t>åŒ—äº¬å’Œå¾·å®‡èˆªæŠ€æœ¯æœ‰é™å…¬å¸</t>
  </si>
  <si>
    <t>å‘¨å¤§åˆ›, æŽè¿ä¼Ÿ</t>
  </si>
  <si>
    <t>https://patents.google.com/patent/CN116545498B/en</t>
  </si>
  <si>
    <t>US-12038209-B2</t>
  </si>
  <si>
    <t xml:space="preserve">System and control method for a self-contained marine air conditioner unit </t>
  </si>
  <si>
    <t>Archer Power Solutions Inc.</t>
  </si>
  <si>
    <t>Onat DOGRUER</t>
  </si>
  <si>
    <t>https://patents.google.com/patent/US12038209B2/en</t>
  </si>
  <si>
    <t>https://patentimages.storage.googleapis.com/f1/96/2b/0b1ae1513db573/US12038209-20240716-D00000.png</t>
  </si>
  <si>
    <t>CN-219080433-U</t>
  </si>
  <si>
    <t xml:space="preserve">Convenient Combined Foundation Pit Monitor </t>
  </si>
  <si>
    <t>ä¸­é“åä¹å±€é›†å›¢ç¬¬å…­å·¥ç¨‹æœ‰é™å…¬å¸, ä¸­é“åä¹å±€é›†å›¢æœ‰é™å…¬å¸</t>
  </si>
  <si>
    <t>é™¶ç¦, çŽ‹å¥‡, éƒ­è•Šæ°‘, éŸ©å¸Œå¹³, åˆ˜ç¥¥æ•</t>
  </si>
  <si>
    <t>https://patents.google.com/patent/CN219080433U/en</t>
  </si>
  <si>
    <t>https://patentimages.storage.googleapis.com/b5/bd/53/9b0c4491f08b50/HDA0004023471680000011.png</t>
  </si>
  <si>
    <t>CN-118983018-B</t>
  </si>
  <si>
    <t xml:space="preserve">A method, device and medium for evaluating CO2 flooding effect in low permeability reservoirs </t>
  </si>
  <si>
    <t>å¾·ä»•èƒ½æºç§‘æŠ€é›†å›¢è‚¡ä»½æœ‰é™å…¬å¸</t>
  </si>
  <si>
    <t>å´”ä»•ç« , åˆ˜å»ºæ°‘, çŽ‹é»Žæ˜Ž, å•æµ·ä¸¹, å¼ å‘çº¢, é©¬ä¸½, ä¸æ¾æ¾, ç‰Ÿå›½æ¯…</t>
  </si>
  <si>
    <t>https://patents.google.com/patent/CN118983018B/en</t>
  </si>
  <si>
    <t>CN-215814489-U</t>
  </si>
  <si>
    <t xml:space="preserve">Hydrologic cycle response monitoring alarm device of thing networking </t>
  </si>
  <si>
    <t>æ¹–å—æ°´åˆ©æ°´ç”µèŒä¸šæŠ€æœ¯å­¦é™¢</t>
  </si>
  <si>
    <t>å•æ¸…åŽ, åˆ˜äº¬é“„, æœ±å§£, é¢œæ¸…æˆ</t>
  </si>
  <si>
    <t>https://patents.google.com/patent/CN215814489U/en</t>
  </si>
  <si>
    <t>https://patentimages.storage.googleapis.com/82/9d/3e/d50f38539eed53/HDA0003265024370000011.png</t>
  </si>
  <si>
    <t>CN-215495353-U</t>
  </si>
  <si>
    <t xml:space="preserve">Intelligent host for analyzing online monitoring data of waste gas </t>
  </si>
  <si>
    <t>å¤©æ´¥çŽ¯å‹˜æŠ€æœ¯æœåŠ¡æœ‰é™å…¬å¸</t>
  </si>
  <si>
    <t>æŽæ™“éž, è°¢ä¸œæ°, æŽé‡‘å½•</t>
  </si>
  <si>
    <t>https://patents.google.com/patent/CN215495353U/en</t>
  </si>
  <si>
    <t>https://patentimages.storage.googleapis.com/a3/ce/06/a91acde7b754a0/HDA0003170237490000011.png</t>
  </si>
  <si>
    <t>CN-214012178-U</t>
  </si>
  <si>
    <t xml:space="preserve">IoT terminal data monitoring equipment </t>
  </si>
  <si>
    <t>æ·±åœ³æŠ€æœ¯å¤§å­¦</t>
  </si>
  <si>
    <t>ç½—å‡¯æ–‡, èµµå»º, æž—å®å£¤, ç›¸éŸ¶åŽ, å§œæƒ æ•</t>
  </si>
  <si>
    <t>https://patents.google.com/patent/CN214012178U/en</t>
  </si>
  <si>
    <t>https://patentimages.storage.googleapis.com/c9/b7/c6/f162cde2922760/HDA0002781177070000011.png</t>
  </si>
  <si>
    <t>CN-116541441-B</t>
  </si>
  <si>
    <t xml:space="preserve">Ecological environment middle platform system based on micro-service </t>
  </si>
  <si>
    <t>å¹¿è¥¿å£®æ—è‡ªæ²»åŒºçŽ¯å¢ƒä¿¡æ¯ä¸­å¿ƒ</t>
  </si>
  <si>
    <t>æ›¾é“œç‚³, è°¢æ˜¥æº, çŽ‹é›ªé£ž, å‘¨æ¹˜é¾™, æŽé›…ç®, é¾™æœˆæ¢…, æ¢é’, ç½—èª, é™ˆå­è±ª, é™ˆæ˜¥è, æ¢é“­, è…¾å®‡ç”Ÿ, éŸ¦å§—æ³‰</t>
  </si>
  <si>
    <t>https://patents.google.com/patent/CN116541441B/en</t>
  </si>
  <si>
    <t>JP-3234074-U</t>
  </si>
  <si>
    <t xml:space="preserve">Steam turbine type regular power generation system </t>
  </si>
  <si>
    <t>æ ªå¼ä¼šç¤¾ãƒ¯ãƒ¼ãƒ«ãƒ‰ã‚¨ãƒãƒ«ã‚®ãƒ¼ç¿¼</t>
  </si>
  <si>
    <t>è—¤äº•ã€€åˆ©å¤«, åˆ©å¤« è—¤äº•</t>
  </si>
  <si>
    <t>https://patents.google.com/patent/JP3234074U/en</t>
  </si>
  <si>
    <t>https://patentimages.storage.googleapis.com/c9/84/81/84bdc7859606dd/0003234074-3.png</t>
  </si>
  <si>
    <t>CN-220928048-U</t>
  </si>
  <si>
    <t xml:space="preserve">Water supply equipment capable of detecting water supply pressure and flow </t>
  </si>
  <si>
    <t>å®‹é”</t>
  </si>
  <si>
    <t>https://patents.google.com/patent/CN220928048U/en</t>
  </si>
  <si>
    <t>CN-120235591-B</t>
  </si>
  <si>
    <t xml:space="preserve">Automatic processing and intelligent management integrated system for laboratory water sample recording piece </t>
  </si>
  <si>
    <t>æ±Ÿè‹æ–¹æ´‹çŽ¯å¢ƒç›‘æµ‹æœ‰é™å…¬å¸</t>
  </si>
  <si>
    <t>çŽ‹å…¶ä»“, å¼ å©·, å‘¨äºšè¿, çºªçç, å®‹å®å®</t>
  </si>
  <si>
    <t>https://patents.google.com/patent/CN120235591B/en</t>
  </si>
  <si>
    <t>CN-214668996-U</t>
  </si>
  <si>
    <t xml:space="preserve">Terminal water quality monitoring device of drainage based on thing networking </t>
  </si>
  <si>
    <t>https://patents.google.com/patent/CN214668996U/en</t>
  </si>
  <si>
    <t>https://patentimages.storage.googleapis.com/97/70/ac/c6162540a0467e/210119140952.png</t>
  </si>
  <si>
    <t>CN-219374398-U</t>
  </si>
  <si>
    <t xml:space="preserve">Intelligent drinking water equipment for campus drinking water safety and health </t>
  </si>
  <si>
    <t>æ–°ç–†é˜³å…‰å‡€æ°´èŠ‚èƒ½çŽ¯ä¿ç§‘æŠ€æœ‰é™å…¬å¸</t>
  </si>
  <si>
    <t>å¼ å†€</t>
  </si>
  <si>
    <t>https://patents.google.com/patent/CN219374398U/en</t>
  </si>
  <si>
    <t>CN-220671595-U</t>
  </si>
  <si>
    <t xml:space="preserve">Underground high-voltage cable connects running condition monitoring devices based on thing networking </t>
  </si>
  <si>
    <t>æŽå¹³</t>
  </si>
  <si>
    <t>æŽå¹³, é™ˆçº¢å½¬, å¾æµ©æ³‰</t>
  </si>
  <si>
    <t>https://patents.google.com/patent/CN220671595U/en</t>
  </si>
  <si>
    <t>CN-113596730-B</t>
  </si>
  <si>
    <t xml:space="preserve">Data collection methods, systems, drone equipment and media for multi-event monitoring </t>
  </si>
  <si>
    <t>å¹¿å·žå·¥ç¨‹æŠ€æœ¯èŒä¸šå­¦é™¢</t>
  </si>
  <si>
    <t>æ›¹æƒ èŒ¹, çŽ‹æ¯…, ä½•å‹°ç»¯, ä½•æ³¢</t>
  </si>
  <si>
    <t>https://patents.google.com/patent/CN113596730B/en</t>
  </si>
  <si>
    <t>CN-218975004-U</t>
  </si>
  <si>
    <t xml:space="preserve">Monitoring device for pollutants in water </t>
  </si>
  <si>
    <t>æ¯›ç›¼</t>
  </si>
  <si>
    <t>å®‹ä½œæ ‹, æ¯›ç›¼, å¼ å˜‰ç¦, çŽ‹æ³½é¹</t>
  </si>
  <si>
    <t>https://patents.google.com/patent/CN218975004U/en</t>
  </si>
  <si>
    <t>https://patentimages.storage.googleapis.com/a9/c2/34/782fba76348531/221118115059.png</t>
  </si>
  <si>
    <t>CN-217008335-U</t>
  </si>
  <si>
    <t xml:space="preserve">Hydrology monitoring facilities based on thing networking </t>
  </si>
  <si>
    <t>å¤©æ´¥é£žæ™®ç§‘æŠ€æœ‰é™å…¬å¸</t>
  </si>
  <si>
    <t>æŽæ™—, æŽæµ™ä¸œ</t>
  </si>
  <si>
    <t>https://patents.google.com/patent/CN217008335U/en</t>
  </si>
  <si>
    <t>https://patentimages.storage.googleapis.com/72/ee/19/50218bca2a46dd/HDA0003548114680000011.png</t>
  </si>
  <si>
    <t>CN-120295342-B</t>
  </si>
  <si>
    <t xml:space="preserve">Cluster control methods based on swarm intelligence control </t>
  </si>
  <si>
    <t>æ­¦æ±‰å·¥ç¨‹å¤§å­¦</t>
  </si>
  <si>
    <t>éƒ‘æµ©æº, æˆ¢å³», æŽä¼šç¥¥, ç”°ç¦å³°</t>
  </si>
  <si>
    <t>https://patents.google.com/patent/CN120295342B/en</t>
  </si>
  <si>
    <t>CN-120408825-B</t>
  </si>
  <si>
    <t xml:space="preserve">Integrated construction fence design method based on smart city construction </t>
  </si>
  <si>
    <t>æˆéƒ½å¤§å­¦</t>
  </si>
  <si>
    <t>é™¶çº¢åˆ©, å®‹ä¿Šæ°, æŽæ¬£æ˜±, æŽæ•¬è½©, è‘£æ³“, å†‰ç‚ç¿, æŽå¼º</t>
  </si>
  <si>
    <t>https://patents.google.com/patent/CN120408825B/en</t>
  </si>
  <si>
    <t>CN-119325962-B</t>
  </si>
  <si>
    <t xml:space="preserve">Cotton pest prevention and control equipment </t>
  </si>
  <si>
    <t>æ·„åšå¸‚å†œä¸šç§‘å­¦ç ”ç©¶é™¢</t>
  </si>
  <si>
    <t>åˆ˜è, æ¨äº‘å³°, è€¿å†›, åˆ˜è¶…, åˆ˜ç¥–æ™¨, è·¯é›…æ´</t>
  </si>
  <si>
    <t>https://patents.google.com/patent/CN119325962B/en</t>
  </si>
  <si>
    <t>CN-213209613-U</t>
  </si>
  <si>
    <t xml:space="preserve">Underground water intake control device </t>
  </si>
  <si>
    <t>å­™é›ªå³°, åˆ˜æ–‡è´µ, æŽå²©</t>
  </si>
  <si>
    <t>https://patents.google.com/patent/CN213209613U/en</t>
  </si>
  <si>
    <t>https://patentimages.storage.googleapis.com/38/66/a2/06171cec2fea52/HDA0002726240730000011.png</t>
  </si>
  <si>
    <t>CN-119631875-B</t>
  </si>
  <si>
    <t xml:space="preserve">An intelligent control system and method for agricultural irrigation mode based on climate environment </t>
  </si>
  <si>
    <t>å—äº¬è£æ™ºé¼Žç§‘æŠ€æœ‰é™å…¬å¸</t>
  </si>
  <si>
    <t>å­™æ—‹</t>
  </si>
  <si>
    <t>https://patents.google.com/patent/CN119631875B/en</t>
  </si>
  <si>
    <t>CN-223985740-U</t>
  </si>
  <si>
    <t xml:space="preserve">Water conservancy facilities distributing type intelligent safety monitoring system based on thing networking </t>
  </si>
  <si>
    <t>æµ™æ±Ÿå¤§ç¦¹ä¿¡æ¯æŠ€æœ¯æœ‰é™å…¬å¸</t>
  </si>
  <si>
    <t>è–›è‹æ¾, å‘¨è¡é“¶, ç¨‹æ¬¢, é™ˆæµ©, å¼ æ–°æ´‹</t>
  </si>
  <si>
    <t>https://patents.google.com/patent/CN223985740U/en</t>
  </si>
  <si>
    <t>CN-116806603-B</t>
  </si>
  <si>
    <t xml:space="preserve">Intelligent agricultural planting management system based on Internet of things </t>
  </si>
  <si>
    <t>èŠœæ¹–åŸºæŸ¯ä¿¡æ¯ç§‘æŠ€æœ‰é™å…¬å¸</t>
  </si>
  <si>
    <t>éƒ‘è¶…</t>
  </si>
  <si>
    <t>https://patents.google.com/patent/CN116806603B/en</t>
  </si>
  <si>
    <t>CN-117687316-B</t>
  </si>
  <si>
    <t xml:space="preserve">Intelligent household interaction system based on intelligent processing </t>
  </si>
  <si>
    <t>ä¸­å›½ä¼ åª’å¤§å­¦</t>
  </si>
  <si>
    <t>æ¨æ™¯æ¶µ</t>
  </si>
  <si>
    <t>https://patents.google.com/patent/CN117687316B/en</t>
  </si>
  <si>
    <t>CN-119714201-B</t>
  </si>
  <si>
    <t xml:space="preserve">Pipeline sedimentation detection device </t>
  </si>
  <si>
    <t>éžå±±å¤©æ±‡ç§‘æŠ€æœ‰é™å…¬å¸</t>
  </si>
  <si>
    <t>åˆ˜å‰é¾™, å¼ è¿ç”Ÿ</t>
  </si>
  <si>
    <t>https://patents.google.com/patent/CN119714201B/en</t>
  </si>
  <si>
    <t>CN-215599395-U</t>
  </si>
  <si>
    <t xml:space="preserve">Integrated monitoring device for rainfall and material level </t>
  </si>
  <si>
    <t>åŒ—äº¬è“å°Šç§‘æŠ€æœ‰é™å…¬å¸</t>
  </si>
  <si>
    <t>ç„¦æ™“å²­, è–„ç»†å§£, è”¡å¹¿é“¶</t>
  </si>
  <si>
    <t>https://patents.google.com/patent/CN215599395U/en</t>
  </si>
  <si>
    <t>https://patentimages.storage.googleapis.com/85/96/9d/a5932e8d2b3a25/HDA0003276148170000011.png</t>
  </si>
  <si>
    <t>CN-218735572-U</t>
  </si>
  <si>
    <t xml:space="preserve">Submersible pump water intake metering control device </t>
  </si>
  <si>
    <t>æ‰¬å·žæ™ºæ°´ç‰©è”ç½‘æœ‰é™å…¬å¸</t>
  </si>
  <si>
    <t>é©¬é“å¤, åº”æ˜Œè¡«, èƒ¡ä¹ƒåˆš, è¾¹æ–°æ´‹, æŽè¿</t>
  </si>
  <si>
    <t>https://patents.google.com/patent/CN218735572U/en</t>
  </si>
  <si>
    <t>https://patentimages.storage.googleapis.com/5c/24/79/deb98ce71c47b8/HDA0003622529030000011.png</t>
  </si>
  <si>
    <t>CN-121052618-B</t>
  </si>
  <si>
    <t xml:space="preserve">Inspection method and system for urban water supply and drainage pipeline </t>
  </si>
  <si>
    <t>ç¦å·žå¸‚æ°´åŠ¡å·¥ç¨‹æœ‰é™è´£ä»»å…¬å¸</t>
  </si>
  <si>
    <t>ç½—æ™ºç¨‹, æž—å¢žä¹, æ¨å¾, å»–å¤§å¼º</t>
  </si>
  <si>
    <t>https://patents.google.com/patent/CN121052618B/en</t>
  </si>
  <si>
    <t>CN-217763844-U</t>
  </si>
  <si>
    <t xml:space="preserve">Central air conditioning water flow control system </t>
  </si>
  <si>
    <t>æ¹–å·žå¸‚è§„åˆ’è®¾è®¡ç ”ç©¶é™¢</t>
  </si>
  <si>
    <t>å´è¾‰é¸¿, ç™½æ°¸å…°, ä¸ç«‹æ–Œ, æœ±è¦, æ²ˆå»ºåŽ, å¿»å›½ç¥¥, åµ‡ç«‹å‹‡, å–»å›½å‹‡, ç¥å›­æ±Ÿ, è°¢é›…æ˜Ž, å‘¨å¿—å‹‡</t>
  </si>
  <si>
    <t>https://patents.google.com/patent/CN217763844U/en</t>
  </si>
  <si>
    <t>https://patentimages.storage.googleapis.com/9b/2b/88/4e64080cd1ca1e/220718135823.png</t>
  </si>
  <si>
    <t>CN-113957929-B</t>
  </si>
  <si>
    <t xml:space="preserve">Municipal pipe network intelligence well lid </t>
  </si>
  <si>
    <t>é»‘é¾™æ±Ÿå¤§å­¦, å“ˆå°”æ»¨å·¥ä¸šå¤§å­¦ï¼ˆæ·±åœ³ï¼‰</t>
  </si>
  <si>
    <t>è®¸é“å¤«, é™¶å½§, çŽ‹çˆ±æ°</t>
  </si>
  <si>
    <t>https://patents.google.com/patent/CN113957929B/en</t>
  </si>
  <si>
    <t>https://patentimages.storage.googleapis.com/f7/55/47/610c0a07e70c7a/HDA0003336159570000011.png</t>
  </si>
  <si>
    <t>CN-211849803-U</t>
  </si>
  <si>
    <t xml:space="preserve">Control system of intelligent toilet </t>
  </si>
  <si>
    <t>å±±ä¸œé¸¿èŠ¯ç‰©è”ç½‘ç§‘æŠ€æœ‰é™å…¬å¸</t>
  </si>
  <si>
    <t>çŽ‹éœ‡, æŽæ˜Ž</t>
  </si>
  <si>
    <t>https://patents.google.com/patent/CN211849803U/en</t>
  </si>
  <si>
    <t>https://patentimages.storage.googleapis.com/4b/be/4f/3886a3b0a52abf/200403112402.png</t>
  </si>
  <si>
    <t>CN-119445252-B</t>
  </si>
  <si>
    <t xml:space="preserve">A method for constructing a visualized power well environment system </t>
  </si>
  <si>
    <t>å›½ç½‘ä¸Šæµ·å¸‚ç”µåŠ›å…¬å¸</t>
  </si>
  <si>
    <t>é«˜ä½³è¿, å´æ¸…æ¶›, ç™½è•¾, å‚…æ™“æ°, å´æ˜Š, è®¸ä¼Ÿæ°</t>
  </si>
  <si>
    <t>https://patents.google.com/patent/CN119445252B/en</t>
  </si>
  <si>
    <t>CN-114698431-B</t>
  </si>
  <si>
    <t xml:space="preserve">Biogas slurry periodic quantitative returning intelligent control system </t>
  </si>
  <si>
    <t>æµ™æ±Ÿå†œæž—å¤§å­¦</t>
  </si>
  <si>
    <t>éª†æž—å¹³, é™ˆæ°¸åˆš, æ›¹çŽ‰æˆ, å§œåŸ¹å¤, åº”çŠçŠ</t>
  </si>
  <si>
    <t>https://patents.google.com/patent/CN114698431B/en</t>
  </si>
  <si>
    <t>https://patentimages.storage.googleapis.com/44/29/0c/51e85f3744b347/220507142344.png</t>
  </si>
  <si>
    <t>CN-222073701-U</t>
  </si>
  <si>
    <t xml:space="preserve">Intelligent mining explosion-proof frequency converter cooling device </t>
  </si>
  <si>
    <t>åŽå¤å¤©ä¿¡æ™ºèƒ½ç‰©è”è‚¡ä»½æœ‰é™å…¬å¸</t>
  </si>
  <si>
    <t>æ¢æŸ±, è°¢æ°¸æ˜Œ, å¼ å½¬, è‰¾å›½æ˜Œ, å®‡æ–‡åš, å®‹çŽ‰æ–Œ, å¼ é‘«æ»¨, å­™å®è´µ, çŽ‹å¾·æ˜Ž, æ›¹å¨Ÿ</t>
  </si>
  <si>
    <t>https://patents.google.com/patent/CN222073701U/en</t>
  </si>
  <si>
    <t>CN-219711490-U</t>
  </si>
  <si>
    <t xml:space="preserve">Natural gas coal bed gas thing networking drainage control system </t>
  </si>
  <si>
    <t>æ²³å—ä¸‡ç¥ºèƒ½æºç§‘æŠ€æœ‰é™å…¬å¸</t>
  </si>
  <si>
    <t>éƒ­ä¸–è±ª, æ¨å‡¡, é™ˆçŽ‰, èƒ¡æ¶›, çŽ‹å›é‚¦, è‘£æ–‡å¥Ž</t>
  </si>
  <si>
    <t>https://patents.google.com/patent/CN219711490U/en</t>
  </si>
  <si>
    <t>CN-216411937-U</t>
  </si>
  <si>
    <t xml:space="preserve">Wisdom building site atomizing sprays control system based on thing networking </t>
  </si>
  <si>
    <t>åˆè‚¥å˜‰è”æ™ºèƒ½ç§‘æŠ€æœ‰é™å…¬å¸</t>
  </si>
  <si>
    <t>æœ±åˆš</t>
  </si>
  <si>
    <t>https://patents.google.com/patent/CN216411937U/en</t>
  </si>
  <si>
    <t>https://patentimages.storage.googleapis.com/25/52/b6/500ead789db372/HDA0003214642040000011.png</t>
  </si>
  <si>
    <t>CN-214750249-U</t>
  </si>
  <si>
    <t xml:space="preserve">An IoT-based water quality monitoring device </t>
  </si>
  <si>
    <t>è¡¢å·žå­¦é™¢</t>
  </si>
  <si>
    <t>å¶çœŸå«, ç››é™, è®¸å¤§æ˜Ÿ</t>
  </si>
  <si>
    <t>https://patents.google.com/patent/CN214750249U/en</t>
  </si>
  <si>
    <t>https://patentimages.storage.googleapis.com/4f/67/0f/c65c30292eaa5a/HDA0003040081810000011.png</t>
  </si>
  <si>
    <t>CN-119046646-B</t>
  </si>
  <si>
    <t xml:space="preserve">An end-to-end urban environment monitoring method based on deep learning </t>
  </si>
  <si>
    <t>æ±Ÿè‹çœå—äº¬çŽ¯å¢ƒç›‘æµ‹ä¸­å¿ƒ</t>
  </si>
  <si>
    <t>å®‹ç¥–åŽ, æ¬§é˜³å¤éª</t>
  </si>
  <si>
    <t>https://patents.google.com/patent/CN119046646B/en</t>
  </si>
  <si>
    <t>CN-214843448-U</t>
  </si>
  <si>
    <t xml:space="preserve">Photoelectric direct-reading water-gas meter module based on communication module OPENPU technology </t>
  </si>
  <si>
    <t>æ­å·žäº‘ç¿¼ç‰©è”ç½‘ç§‘æŠ€æœ‰é™å…¬å¸</t>
  </si>
  <si>
    <t>è’‹ä½œè¾‰, æŽé›„</t>
  </si>
  <si>
    <t>https://patents.google.com/patent/CN214843448U/en</t>
  </si>
  <si>
    <t>https://patentimages.storage.googleapis.com/24/c2/50/0aeb616f80cd7e/HDA0002845664850000011.png</t>
  </si>
  <si>
    <t>KR-102678622-B1</t>
  </si>
  <si>
    <t>ê¹€ë„ê·¼</t>
  </si>
  <si>
    <t>https://patents.google.com/patent/KR102678622B1/en</t>
  </si>
  <si>
    <t>https://patentimages.storage.googleapis.com/f5/02/30/9014f60cd6d84b/112022071772934-pat00001.png</t>
  </si>
  <si>
    <t>CN-219261261-U</t>
  </si>
  <si>
    <t xml:space="preserve">Intelligent rain and sewage diverter </t>
  </si>
  <si>
    <t>å±±ä¸œçœä¸–çºªé¾™æµ©ä¿¡æ¯æŠ€æœ¯æœ‰é™å…¬å¸</t>
  </si>
  <si>
    <t>èµµèŠ’, å¼ æ—­, çŽ‹å¦‚å¦‚, èµµæ°‘å®‰, å‘¨ä¼Ÿåº·, æŽèˆœ, æŽé¦¥ç’¨, æ¨æ™Ÿ, æŽæ°¸ä¸½</t>
  </si>
  <si>
    <t>https://patents.google.com/patent/CN219261261U/en</t>
  </si>
  <si>
    <t>https://patentimages.storage.googleapis.com/df/c1/3a/185651d3cb2952/HDA0004069294590000011.png</t>
  </si>
  <si>
    <t>CN-216689363-U</t>
  </si>
  <si>
    <t xml:space="preserve">Closely parallel high-speed railway ground is protection system of low disturbance of wall even </t>
  </si>
  <si>
    <t>ä¸­é“äºŒåå››å±€é›†å›¢æœ‰é™å…¬å¸</t>
  </si>
  <si>
    <t>æŽåŽšè£, é™ˆé•¿é’, åˆ˜é€¸æ•, æœ±å…‹å®, é™ˆæ™“ä¸œ, ç››ç¿å†›, å¼ å…´åŽ, é™ˆä¹‰è¾‰</t>
  </si>
  <si>
    <t>https://patents.google.com/patent/CN216689363U/en</t>
  </si>
  <si>
    <t>https://patentimages.storage.googleapis.com/15/bb/8e/c1feafae1840a9/211129155139.png</t>
  </si>
  <si>
    <t>CN-213707783-U</t>
  </si>
  <si>
    <t xml:space="preserve">A remote monitoring system for rural domestic sewage treatment facilities </t>
  </si>
  <si>
    <t>çŽ‹æ´ªè‰¯, é¦™å®, çŽ‹çŽ¥, æ¨æ˜Šéœ–, è–›æ´ªæµ·, é™ˆè¯—åŽ</t>
  </si>
  <si>
    <t>https://patents.google.com/patent/CN213707783U/en</t>
  </si>
  <si>
    <t>https://patentimages.storage.googleapis.com/0f/3b/63/ebd547bee90f13/HDA0002767385960000011.png</t>
  </si>
  <si>
    <t>CN-115183751-B</t>
  </si>
  <si>
    <t xml:space="preserve">Hydrological telemetering device and data transmission method based on double-channel network communication </t>
  </si>
  <si>
    <t>çŽ‹æ™ºèª, å¼ å†›, çŽ‹å°é¾™, å¼ æ¶›, çŸ³å²©, çŽ‹æ˜Šæ˜Ÿ, æ¨æµ©, å¾ç»´æ³½</t>
  </si>
  <si>
    <t>https://patents.google.com/patent/CN115183751B/en</t>
  </si>
  <si>
    <t>CN-211651738-U</t>
  </si>
  <si>
    <t xml:space="preserve">a water heater </t>
  </si>
  <si>
    <t>é’æµ·çœæ°´æ–‡æ°´èµ„æºå‹˜æµ‹å±€((é’æµ·çœæ°´çŽ¯å¢ƒç›‘æµ‹ä¸­å¿ƒ))</t>
  </si>
  <si>
    <t>çŽ‹çŽ‰ç’‹, é­å›½æ™‹, ç¥ç»Ÿçº¢, çŽ‹ç»Ÿæ—­</t>
  </si>
  <si>
    <t>https://patents.google.com/patent/CN211651738U/en</t>
  </si>
  <si>
    <t>https://patentimages.storage.googleapis.com/aa/d6/2f/886875f2db426e/HDA0002406134740000011.png</t>
  </si>
  <si>
    <t>CN-221509738-U</t>
  </si>
  <si>
    <t xml:space="preserve">Agricultural water conservancy service system </t>
  </si>
  <si>
    <t>ä¸­å›½å†œä¸šé“¶è¡Œè‚¡ä»½æœ‰é™å…¬å¸å±±ä¸œçœåˆ†è¡Œ</t>
  </si>
  <si>
    <t>æ™¯æµ©, èµµå¨œ, å­™è´»ç›¸</t>
  </si>
  <si>
    <t>https://patents.google.com/patent/CN221509738U/en</t>
  </si>
  <si>
    <t>CN-222850101-U</t>
  </si>
  <si>
    <t xml:space="preserve">A multifunctional intelligent manhole cover monitoring terminal device </t>
  </si>
  <si>
    <t>ä¸Šæµ·ä¸­äº•æ±‰é¼Žæ•°å­—æŠ€æœ¯æœ‰é™å…¬å¸, æ¡‚æž—ç”µå­ç§‘æŠ€å¤§å­¦</t>
  </si>
  <si>
    <t>å…³å£«è°¦, å¼ å¼º, å¼ ä¼šå…µ, å¼ ç³, è´¾é£ž</t>
  </si>
  <si>
    <t>https://patents.google.com/patent/CN222850101U/en</t>
  </si>
  <si>
    <t>KR-102776901-B1</t>
  </si>
  <si>
    <t xml:space="preserve">An apparatus transmitting and receiving measurement data in a system for controlling and distributing resource using location-based communication and a method thereof </t>
  </si>
  <si>
    <t>ê¹€ê¸°ë²”</t>
  </si>
  <si>
    <t>https://patents.google.com/patent/KR102776901B1/en</t>
  </si>
  <si>
    <t>CN-120079513-B</t>
  </si>
  <si>
    <t xml:space="preserve">Recovery processing system for fine sand secondary application </t>
  </si>
  <si>
    <t>é‡åº†ç§‘ç‘žå—æµ·åˆ¶è¯æœ‰é™è´£ä»»å…¬å¸</t>
  </si>
  <si>
    <t>åˆ˜å…‰æ°¸, å†‰è¶…, å¼ é¢–, é»„æ•, ä½•å»ºèŠ³, è‚å›½ç¥¥, å´”é¢¢, é»„å°çº¢, ä½•è‰³çŽ², çŽ‹è–‡</t>
  </si>
  <si>
    <t>https://patents.google.com/patent/CN120079513B/en</t>
  </si>
  <si>
    <t>CN-213543689-U</t>
  </si>
  <si>
    <t xml:space="preserve">Intelligent direct drinking water meter based on Internet of things </t>
  </si>
  <si>
    <t>å¤©æ´¥äº¿é€šè¾¾ç§‘æŠ€å‘å±•æœ‰é™å…¬å¸</t>
  </si>
  <si>
    <t>å®‹æ³¢</t>
  </si>
  <si>
    <t>https://patents.google.com/patent/CN213543689U/en</t>
  </si>
  <si>
    <t>https://patentimages.storage.googleapis.com/b6/f6/22/6c66240f8242b1/HDA0002652530040000011.png</t>
  </si>
  <si>
    <t>CN-214833236-U</t>
  </si>
  <si>
    <t xml:space="preserve">Intelligent drainage system for channel </t>
  </si>
  <si>
    <t>å¼“å¯æ˜Ž, è´ºä¼Ÿé”‹, æŽæ˜†éœ–, è‹å°å©·, å¼ æ¬£å®œ, é™ˆå²—</t>
  </si>
  <si>
    <t>https://patents.google.com/patent/CN214833236U/en</t>
  </si>
  <si>
    <t>https://patentimages.storage.googleapis.com/d4/33/e6/5a54eb53765142/210323095141.png</t>
  </si>
  <si>
    <t>KR-102661552-B1</t>
  </si>
  <si>
    <t xml:space="preserve">System for water pressure sensing using IoT </t>
  </si>
  <si>
    <t>(ì£¼)ì´ˆë¡ì´ë…¸í…, ì‚¼ì„±ë¬¼ì‚° ì£¼ì‹íšŒì‚¬</t>
  </si>
  <si>
    <t>ì–‘ê´‘í˜¸, ê¹€í˜•ì‹, ìœ ë³‘ìš±, ìœ¤í•´ìˆ˜, ì–‘ì§„ìš°, ì´ì¶©ë²”, ê°•ê´‘ì§„</t>
  </si>
  <si>
    <t>https://patents.google.com/patent/KR102661552B1/en</t>
  </si>
  <si>
    <t>https://patentimages.storage.googleapis.com/16/32/ca/5da025ac84dc53/112021120580812-pat00001.png</t>
  </si>
  <si>
    <t>CN-222825126-U</t>
  </si>
  <si>
    <t xml:space="preserve">A smart construction site construction material calculation device </t>
  </si>
  <si>
    <t>åˆè‚¥ä½°ä»Ÿäº¿ç§‘æŠ€æœ‰é™å…¬å¸</t>
  </si>
  <si>
    <t>æŽå…µ, ä½•æ¶›, é©¬ä¼Ÿ</t>
  </si>
  <si>
    <t>https://patents.google.com/patent/CN222825126U/en</t>
  </si>
  <si>
    <t>CN-118569603-B</t>
  </si>
  <si>
    <t xml:space="preserve">Intelligent city planning management method based on CIS integrated system </t>
  </si>
  <si>
    <t>ä¸­è‰²è“å›¾ç§‘æŠ€è‚¡ä»½æœ‰é™å…¬å¸</t>
  </si>
  <si>
    <t>çŽ‹å¤©æ˜Ž, è’‹æè¶…, æŽæž—æž—, é‚¹æ˜¥èŠ±, ç©†æ˜Ÿ, çŽ‹é¡º, é‡‘æ˜•, é©¬ä¸–æ°</t>
  </si>
  <si>
    <t>https://patents.google.com/patent/CN118569603B/en</t>
  </si>
  <si>
    <t>CN-223956123-U</t>
  </si>
  <si>
    <t xml:space="preserve">Intelligent water supply device </t>
  </si>
  <si>
    <t>å±±ä¸œå‘çŽ°å¥½æ°´å±±æ³‰æ°´æœ‰é™å…¬å¸</t>
  </si>
  <si>
    <t>åˆ˜æ•¬å±±, åˆ˜å‡¯æ°, åˆ˜æ´ªçŽ®</t>
  </si>
  <si>
    <t>https://patents.google.com/patent/CN223956123U/en</t>
  </si>
  <si>
    <t>CN-216935508-U</t>
  </si>
  <si>
    <t xml:space="preserve">Online pure washing membrane device based on Internet of things </t>
  </si>
  <si>
    <t>æµŽå—å°šæ©çŽ¯ä¿ç§‘æŠ€æœ‰é™å…¬å¸</t>
  </si>
  <si>
    <t>è‘£è¯—æ˜Ž, è‘£çŽ‰èƒœ</t>
  </si>
  <si>
    <t>https://patents.google.com/patent/CN216935508U/en</t>
  </si>
  <si>
    <t>https://patentimages.storage.googleapis.com/9f/1d/f6/f4b193ce9f03e1/HDA0003376167600000011.png</t>
  </si>
  <si>
    <t>CN-120875583-B</t>
  </si>
  <si>
    <t xml:space="preserve">Comprehensive pipe rack water level monitoring and processing method and system </t>
  </si>
  <si>
    <t>æµŽå—å´‡é“æ™ºèƒ½ç§‘æŠ€æœ‰é™å…¬å¸</t>
  </si>
  <si>
    <t>å­™å›½ç‘ž, çŸ³ç¾Ž, é‚µå‡¯</t>
  </si>
  <si>
    <t>https://patents.google.com/patent/CN120875583B/en</t>
  </si>
  <si>
    <t>CN-212452793-U</t>
  </si>
  <si>
    <t xml:space="preserve">But well lid equipment of water level monitoring based on NB-IoT </t>
  </si>
  <si>
    <t>https://patents.google.com/patent/CN212452793U/en</t>
  </si>
  <si>
    <t>https://patentimages.storage.googleapis.com/bd/85/4d/cbfb5e157113b3/HDA0002515138930000011.png</t>
  </si>
  <si>
    <t>CN-223347229-U</t>
  </si>
  <si>
    <t xml:space="preserve">Intelligent dam safety monitor </t>
  </si>
  <si>
    <t>æ·±åœ³å¸‚ä¸œæ·±æ™ºèƒ½æŠ€æœ¯æœ‰é™å…¬å¸</t>
  </si>
  <si>
    <t>æ­¦åº”å…ƒ, åœæ™“ä¸œ, çŽ‹å¨œ</t>
  </si>
  <si>
    <t>https://patents.google.com/patent/CN223347229U/en</t>
  </si>
  <si>
    <t>CN-220084842-U</t>
  </si>
  <si>
    <t xml:space="preserve">Well lid robot for water quality detection </t>
  </si>
  <si>
    <t>æ­¦æ±‰é“å°é£žç§‘æŠ€æœ‰é™å…¬å¸</t>
  </si>
  <si>
    <t>å´æˆ, è‚–é¾™, é‡‘éœ‡, ç½—å®æž—, é¡¹ä¸ºæ°‘</t>
  </si>
  <si>
    <t>https://patents.google.com/patent/CN220084842U/en</t>
  </si>
  <si>
    <t>CN-120386977-B</t>
  </si>
  <si>
    <t xml:space="preserve">Water supply pipeline water leakage signal data enhancement method, system, equipment and medium </t>
  </si>
  <si>
    <t>å†…è’™å¤å¸ˆèŒƒå¤§å­¦</t>
  </si>
  <si>
    <t>éƒ­æ”¹æž, æŽç«¥æ­¦, å·¦ä¿æˆ, èµµåšä¹¦, è®¸å‚²</t>
  </si>
  <si>
    <t>https://patents.google.com/patent/CN120386977B/en</t>
  </si>
  <si>
    <t>CN-223806850-U</t>
  </si>
  <si>
    <t xml:space="preserve">An adjustable-level IoT manhole cover monitor </t>
  </si>
  <si>
    <t>ä¸­äº¿æ™ºäº‘(æ·±åœ³)ç§‘æŠ€æœ‰é™å…¬å¸</t>
  </si>
  <si>
    <t>æ¶‚æ°, åˆ˜ä¿Šå®¹</t>
  </si>
  <si>
    <t>https://patents.google.com/patent/CN223806850U/en</t>
  </si>
  <si>
    <t>CN-119902479-B</t>
  </si>
  <si>
    <t xml:space="preserve">Mine water treatment automation and remote monitoring system and method </t>
  </si>
  <si>
    <t>å±±ä¸œçŽ¯æŠ•çŽ¯å¢ƒå·¥ç¨‹æœ‰é™å…¬å¸</t>
  </si>
  <si>
    <t>éƒæ•¬ç‘ž, å§œè‘³, éƒå½¦æµ·, æŸ´å…‰æ—­, å¼ è¶…, çŽ‹è‰³, å¼ è¡è¾‰</t>
  </si>
  <si>
    <t>https://patents.google.com/patent/CN119902479B/en</t>
  </si>
  <si>
    <t>CN-119426337-B</t>
  </si>
  <si>
    <t xml:space="preserve">A kitchen waste treatment method, system, equipment and medium based on green circulation </t>
  </si>
  <si>
    <t>æ³¸å·žå…´æ³¸çŽ¯å¢ƒé›†å›¢è‚¡ä»½æœ‰é™å…¬å¸</t>
  </si>
  <si>
    <t>å¾äº‘, å´å°æ¸…, é™ˆäº®, çŽ‹å¥, å´ä»•å¥Ž, é’±èŒ…, å¶èŒ‚, æ–‡æ¶µå®‡, èƒ¡çŽ¥, è®¸æ˜¥éœž, è¢å¿ å¥Ž</t>
  </si>
  <si>
    <t>https://patents.google.com/patent/CN119426337B/en</t>
  </si>
  <si>
    <t>CN-115096487-B</t>
  </si>
  <si>
    <t xml:space="preserve">Pressure measuring device and method for soil </t>
  </si>
  <si>
    <t>é’å²›ç†å·¥å¤§å­¦, é’å²›ä¸œæ±‡æ³‰ç§‘æŠ€æœ‰é™å…¬å¸</t>
  </si>
  <si>
    <t>çŽ‹ä¿Šåˆš, é»„æ¶›, å¾å¤§ä¼—, è‚–æ–Œè¶…, åˆ˜æˆ, åˆ˜ä¹ƒå‹, çŽ‹ç’, çŽ‹æœé˜³, å§šé‘«, é™ˆè‹—è‹—, éƒ­å«, çŽ‹å‡¯</t>
  </si>
  <si>
    <t>https://patents.google.com/patent/CN115096487B/en</t>
  </si>
  <si>
    <t>CN-223870118-U</t>
  </si>
  <si>
    <t xml:space="preserve">Intelligent microenvironment monitoring terminal </t>
  </si>
  <si>
    <t>åŒ—äº¬çŸ³çƒç§‘æŠ€æœ‰é™å…¬å¸</t>
  </si>
  <si>
    <t>çŽ‹ç»Ÿ, åˆ˜æ™“æ™–, éƒ‘æ´‹å¸†, éƒ­çŽ®, éƒ—å½¦æ¶›</t>
  </si>
  <si>
    <t>https://patents.google.com/patent/CN223870118U/en</t>
  </si>
  <si>
    <t>CN-221302385-U</t>
  </si>
  <si>
    <t xml:space="preserve">Comprehensive equipment management station for reservoir rain condition and dam safety monitoring </t>
  </si>
  <si>
    <t>é‡åº†å›ºæ¶¦ç§‘æŠ€å‘å±•æœ‰é™å…¬å¸</t>
  </si>
  <si>
    <t>æŽå¿—åˆš, å§šæµå¼º, çŽ‹æŒ¯å³°, å°¹æ¢“ç»…</t>
  </si>
  <si>
    <t>https://patents.google.com/patent/CN221302385U/en</t>
  </si>
  <si>
    <t>CN-216565469-U</t>
  </si>
  <si>
    <t xml:space="preserve">Intelligent water and electricity remote measurement control terminal machine of Internet of things </t>
  </si>
  <si>
    <t>æ²³å—æ½œæ¶¦èŠ‚æ°´ç§‘æŠ€æœ‰é™å…¬å¸</t>
  </si>
  <si>
    <t>æ¨æž—å±±</t>
  </si>
  <si>
    <t>https://patents.google.com/patent/CN216565469U/en</t>
  </si>
  <si>
    <t>https://patentimages.storage.googleapis.com/48/19/20/95a2c3c20614e3/211008150653.png</t>
  </si>
  <si>
    <t>CN-217980392-U</t>
  </si>
  <si>
    <t xml:space="preserve">Landslide monitoring devices based on trees angular momentum and degree of buckling real-time supervision </t>
  </si>
  <si>
    <t>ä¸­éœ‡ç§‘å»º(å¹¿ä¸œ)é˜²ç¾å‡ç¾ç ”ç©¶é™¢æœ‰é™å…¬å¸</t>
  </si>
  <si>
    <t>çŽ‹ç¿”é¹°, èµµæµ©å†‰, å­™æ˜Ÿæœˆ, çŽ‹è‡ªæ³•</t>
  </si>
  <si>
    <t>https://patents.google.com/patent/CN217980392U/en</t>
  </si>
  <si>
    <t>https://patentimages.storage.googleapis.com/49/22/12/9d6b088331c441/HDA0003673697120000011.png</t>
  </si>
  <si>
    <t>CN-220448672-U</t>
  </si>
  <si>
    <t xml:space="preserve">Intelligent hazardous waste storage equipment and intelligent hazardous waste supervision system </t>
  </si>
  <si>
    <t>ç”Ÿæ€çŽ¯å¢ƒéƒ¨å›ºä½“åºŸç‰©ä¸ŽåŒ–å­¦å“ç®¡ç†æŠ€æœ¯ä¸­å¿ƒ, æ²³å—æ–°è¾°çŽ¯ä¿æŠ€æœ¯ç ”ç©¶é™¢æœ‰é™å…¬å¸</t>
  </si>
  <si>
    <t>è–›å®å®, å­™äº¬æ¥ , åˆ˜ä¿æ‰, çŽ‹æ³¢, å‘¨èƒ, é»„é¾™</t>
  </si>
  <si>
    <t>https://patents.google.com/patent/CN220448672U/en</t>
  </si>
  <si>
    <t>CN-114382049-B</t>
  </si>
  <si>
    <t xml:space="preserve">Urban underground space waterlogging prevention system </t>
  </si>
  <si>
    <t>å¹¿å·žå¸‚å¸‚æ”¿å·¥ç¨‹è®¾è®¡ç ”ç©¶æ€»é™¢æœ‰é™å…¬å¸</t>
  </si>
  <si>
    <t>çŽ‹å¹¿åŽ, æœè‡³åŠ›, æŽæ–‡æ¶›</t>
  </si>
  <si>
    <t>https://patents.google.com/patent/CN114382049B/en</t>
  </si>
  <si>
    <t>CN-216079145-U</t>
  </si>
  <si>
    <t xml:space="preserve">Mine geological environment data acquisition device based on thing networking </t>
  </si>
  <si>
    <t>åŒ—äº¬å¸‚åœ°è´¨çŸ¿äº§å‹˜æŸ¥å¼€å‘é›†å›¢æœ‰é™å…¬å¸</t>
  </si>
  <si>
    <t>æŽçŽ‰å€©, åˆ˜å¾·æˆ, ç”°å›­å›­</t>
  </si>
  <si>
    <t>https://patents.google.com/patent/CN216079145U/en</t>
  </si>
  <si>
    <t>https://patentimages.storage.googleapis.com/25/93/ed/669d1286fa5228/HDA0003238378430000011.png</t>
  </si>
  <si>
    <t>CN-217687541-U</t>
  </si>
  <si>
    <t xml:space="preserve">Distributed sensor monitoring device based on ground source heat pump </t>
  </si>
  <si>
    <t>è¥¿å®‰å¤©é€šç‰©è”ç½‘ç§‘æŠ€æœ‰é™å…¬å¸</t>
  </si>
  <si>
    <t>åº„é“ç¦</t>
  </si>
  <si>
    <t>https://patents.google.com/patent/CN217687541U/en</t>
  </si>
  <si>
    <t>https://patentimages.storage.googleapis.com/1e/30/c4/5c97c250f78419/HDA0003652843610000011.png</t>
  </si>
  <si>
    <t>CN-220648095-U</t>
  </si>
  <si>
    <t xml:space="preserve">Fog forest lamp pole with adjustable spraying direction </t>
  </si>
  <si>
    <t>æ­¦æ±‰ç¿ å† å›­æž—å·¥ç¨‹æœ‰é™å…¬å¸</t>
  </si>
  <si>
    <t>å•æ–Œ, æŽæ¡‚èŠ¹, ç†Šæ³½ç§€</t>
  </si>
  <si>
    <t>https://patents.google.com/patent/CN220648095U/en</t>
  </si>
  <si>
    <t>CN-218634952-U</t>
  </si>
  <si>
    <t xml:space="preserve">Demonstration training set based on open channel water supply intelligent monitoring and control equipment </t>
  </si>
  <si>
    <t>https://patents.google.com/patent/CN218634952U/en</t>
  </si>
  <si>
    <t>https://patentimages.storage.googleapis.com/8d/33/b5/d09cedd68b2590/221115162221.png</t>
  </si>
  <si>
    <t>CN-215264420-U</t>
  </si>
  <si>
    <t xml:space="preserve">Intelligence well lid collection monitoring circuit </t>
  </si>
  <si>
    <t>å¤©é¾™ä¸­é—½ç§‘æŠ€æœ‰é™å…¬å¸</t>
  </si>
  <si>
    <t>å‚…æ±‰å…ƒ</t>
  </si>
  <si>
    <t>https://patents.google.com/patent/CN215264420U/en</t>
  </si>
  <si>
    <t>https://patentimages.storage.googleapis.com/15/b8/8e/069997c69e2559/HDA0002969576520000011.png</t>
  </si>
  <si>
    <t>CN-211377991-U</t>
  </si>
  <si>
    <t xml:space="preserve">Wisdom river monitoring's transmission signal detection circuitry </t>
  </si>
  <si>
    <t>å—äº¬ç‡šéœ†ç‰©è”ç½‘ç§‘æŠ€æœ‰é™å…¬å¸</t>
  </si>
  <si>
    <t>å”æˆ, çŽ‹æ·‘å†›, å”é“­æ³½, é™ˆå‹‡, å¾é’Š, å¶æž«, æ¯›å®‡é¹</t>
  </si>
  <si>
    <t>https://patents.google.com/patent/CN211377991U/en</t>
  </si>
  <si>
    <t>https://patentimages.storage.googleapis.com/9e/eb/18/06e9d3a7e5fb81/HDA0002412993910000011.png</t>
  </si>
  <si>
    <t>CN-223624235-U</t>
  </si>
  <si>
    <t xml:space="preserve">An online water quality monitoring device </t>
  </si>
  <si>
    <t>æ— é”¡ç»´ç‘žæ•°æ®ç§‘æŠ€æœ‰é™å…¬å¸</t>
  </si>
  <si>
    <t>è’‹å®œè¾°, éƒå¿ </t>
  </si>
  <si>
    <t>https://patents.google.com/patent/CN223624235U/en</t>
  </si>
  <si>
    <t>CN-214845180-U</t>
  </si>
  <si>
    <t xml:space="preserve">Low-power consumption thing networking water quality testing appearance </t>
  </si>
  <si>
    <t>å®‹æŒ¯çŽ¯</t>
  </si>
  <si>
    <t>https://patents.google.com/patent/CN214845180U/en</t>
  </si>
  <si>
    <t>https://patentimages.storage.googleapis.com/4e/9f/fa/c51c7e73f1c3fa/HDA0002782717550000011.png</t>
  </si>
  <si>
    <t>CN-116036766-B</t>
  </si>
  <si>
    <t xml:space="preserve">Method and device for integrally treating atmospheric dust pollution of steel enterprise based on five dimensions </t>
  </si>
  <si>
    <t>å¾·é¾™é’¢é“æœ‰é™å…¬å¸</t>
  </si>
  <si>
    <t>åˆ˜å›½æ——, çŽ‹æ°æ–‡, éœå¢žæ²³, é‡‘æŒ¯å®¶, éƒ­å½¦ç£Š, å‘¨æ–°è¶…, èŒƒäº®, ç¢è‡ªçº, é³è‚²ä¸œ, å¼ å‡¯, å‘¨æœ‹, é™ˆä¼ ä¸–, é«˜ä¼Ÿæ¸…, å¼ å½¦äº¬, æ›¾å¼º, å¼ æœˆæ˜Ÿ, ç”°ä¸œ</t>
  </si>
  <si>
    <t>https://patents.google.com/patent/CN116036766B/en</t>
  </si>
  <si>
    <t>CN-213801273-U</t>
  </si>
  <si>
    <t xml:space="preserve">Thing networking intelligent classification rubbish cabinet </t>
  </si>
  <si>
    <t>ç›Šå¤©ç§‘æŠ€(æ­å·ž)æœ‰é™å…¬å¸</t>
  </si>
  <si>
    <t>è‘›ä½³å³°</t>
  </si>
  <si>
    <t>https://patents.google.com/patent/CN213801273U/en</t>
  </si>
  <si>
    <t>https://patentimages.storage.googleapis.com/c5/12/ed/744613a21fb1c1/HDA0002745367270000011.png</t>
  </si>
  <si>
    <t>CN-223576315-U</t>
  </si>
  <si>
    <t xml:space="preserve">An aerobic fermentation manure treatment device </t>
  </si>
  <si>
    <t>è¥¿å®‰é’äºˆçŽ¯èƒ½ç§‘æŠ€è‚¡ä»½æœ‰é™å…¬å¸, å§šå¹¿é¾™, ä»»å…´æ˜¥</t>
  </si>
  <si>
    <t>å§šå¹¿é¾™, çŽ‹è¿œè·¯</t>
  </si>
  <si>
    <t>https://patents.google.com/patent/CN223576315U/en</t>
  </si>
  <si>
    <t>CN-115979383-B</t>
  </si>
  <si>
    <t xml:space="preserve">An intelligent liquid level measuring instrument </t>
  </si>
  <si>
    <t>å¸¸å·žå‡¯å¾·ç”µå™¨æœ‰é™å…¬å¸</t>
  </si>
  <si>
    <t>æ›¹é“­è´¤, çŽ‹äº‘å¿—, ä½•æ–Œ</t>
  </si>
  <si>
    <t>https://patents.google.com/patent/CN115979383B/en</t>
  </si>
  <si>
    <t>CN-119959518-B</t>
  </si>
  <si>
    <t xml:space="preserve">Petroleum pollutant concentration monitoring method, device and system </t>
  </si>
  <si>
    <t>ä¸­å›½çŸ³æ²¹å¤©ç„¶æ°”é›†å›¢æœ‰é™å…¬å¸, ä¸­å›½çŸ³æ²¹é›†å›¢å®‰å…¨çŽ¯ä¿æŠ€æœ¯ç ”ç©¶é™¢æœ‰é™å…¬å¸</t>
  </si>
  <si>
    <t>å®‹æƒå¨, è–›é•‡å¤, è°¢åŠ æ‰, æœæ˜¾å…ƒ, é™ˆå®å¤, å¼ æ™“é£ž, çŽ‹æ¸…å¨, å´æ…§å›, å­™ç»§å¹³</t>
  </si>
  <si>
    <t>https://patents.google.com/patent/CN119959518B/en</t>
  </si>
  <si>
    <t>CN-213363831-U</t>
  </si>
  <si>
    <t xml:space="preserve">Inspection shaft monitoring facilities's upper cover structure </t>
  </si>
  <si>
    <t>https://patents.google.com/patent/CN213363831U/en</t>
  </si>
  <si>
    <t>https://patentimages.storage.googleapis.com/1d/38/4e/195998250644ea/HDA0002748672200000011.png</t>
  </si>
  <si>
    <t>CN-220794234-U</t>
  </si>
  <si>
    <t xml:space="preserve">NB-IOT-based low-power consumption intelligent monitoring system for gas well </t>
  </si>
  <si>
    <t>è¥¿å®‰ä¸­æ˜Ÿæµ‹æŽ§æœ‰é™å…¬å¸</t>
  </si>
  <si>
    <t>é‚¢é–è™¹, ç½—è¶…, æ™å³°</t>
  </si>
  <si>
    <t>https://patents.google.com/patent/CN220794234U/en</t>
  </si>
  <si>
    <t>CN-218725669-U</t>
  </si>
  <si>
    <t xml:space="preserve">Quality of water layering sampling equipment </t>
  </si>
  <si>
    <t>æ¹–å—ä¸€æ±€ç‰©è”ç½‘ç§‘æŠ€æœ‰é™å…¬å¸</t>
  </si>
  <si>
    <t>æŽä¼Ÿ</t>
  </si>
  <si>
    <t>https://patents.google.com/patent/CN218725669U/en</t>
  </si>
  <si>
    <t>https://patentimages.storage.googleapis.com/e5/11/8c/c7ee6a53ee32d0/HDA0003877228520000011.png</t>
  </si>
  <si>
    <t>CN-116510215-B</t>
  </si>
  <si>
    <t xml:space="preserve">A fire monitor with intelligent IoT function </t>
  </si>
  <si>
    <t>æ°´åŠ›æ¶ˆé˜²ç§‘æŠ€æœ‰é™å…¬å¸</t>
  </si>
  <si>
    <t>çŽ‹ç§‹è‰¯, é»„å‘æ˜Ž, éƒ‘æµ·å±±, æž—å¾·èª, é™ˆå¿—è¶…, å§šç…Œæ–Œ, å¶é›…å©·, é™ˆé”¦å…´</t>
  </si>
  <si>
    <t>https://patents.google.com/patent/CN116510215B/en</t>
  </si>
  <si>
    <t>CN-120850639-B</t>
  </si>
  <si>
    <t xml:space="preserve">A Method for Constructing Digital Twin Community Models for Urban Renewal Projects </t>
  </si>
  <si>
    <t>å¹¿ä¸œæ³°é¼Žå»ºè®¾æœ‰é™å…¬å¸, å¹¿ä¸œåŽå—æ°´ç”µé«˜æ–°æŠ€æœ¯å¼€å‘æœ‰é™å…¬å¸</t>
  </si>
  <si>
    <t>èƒ¡åˆš, å¾å«£</t>
  </si>
  <si>
    <t>https://patents.google.com/patent/CN120850639B/en</t>
  </si>
  <si>
    <t>CN-224052193-U</t>
  </si>
  <si>
    <t xml:space="preserve">Soil heavy metal environment monitoring device </t>
  </si>
  <si>
    <t>é™•è¥¿çœçŽ¯å¢ƒç§‘å­¦ç ”ç©¶é™¢</t>
  </si>
  <si>
    <t>æŸ³çŽ², æŽç’, å¼ å¼›, é²æ³¢, è‘£ç…œ, éƒ­æ€æ‘</t>
  </si>
  <si>
    <t>https://patents.google.com/patent/CN224052193U/en</t>
  </si>
  <si>
    <t>CN-217953539-U</t>
  </si>
  <si>
    <t xml:space="preserve">A thing networking monitoring devices for toadstool is planted </t>
  </si>
  <si>
    <t>çŽ‹æ¢“è±ª</t>
  </si>
  <si>
    <t>çŽ‹æ¢“è±ª, åˆ˜å‡¤ç³, é‚¹æµ·é¾™, å”æµ·é¹, åˆ˜ä¿žå¸Œ, çŽ‹éœ², é™ˆé›ªå©·</t>
  </si>
  <si>
    <t>https://patents.google.com/patent/CN217953539U/en</t>
  </si>
  <si>
    <t>https://patentimages.storage.googleapis.com/fa/bf/48/50019ae3e8ec20/HDA0003688637770000011.png</t>
  </si>
  <si>
    <t>CN-121052524-B</t>
  </si>
  <si>
    <t xml:space="preserve">Method and device for calculating carbon footprint of phthalate ester pollutant based on retrieval enhancement </t>
  </si>
  <si>
    <t>è‚–æºª, æŸ´æµ©å“², ä¸¥æ¶›, å´è¿œç§‘, éƒ­æ—­å³°, é™ˆç¾Žå¥½, æœ±è‹±æ°, åˆ˜æ´‹, å·¦ç« ç¦</t>
  </si>
  <si>
    <t>https://patents.google.com/patent/CN121052524B/en</t>
  </si>
  <si>
    <t>CN-213934617-U</t>
  </si>
  <si>
    <t xml:space="preserve">Wireless remote measurement and control terminal </t>
  </si>
  <si>
    <t>é‡åº†å·¨æ³°ç‰©è”ç½‘é›†å›¢æœ‰é™å…¬å¸</t>
  </si>
  <si>
    <t>å¼ è““, è‚–ç¥–å‹‡, é™ˆå¼€æ¾, çŽ‹æ²›ä¸€</t>
  </si>
  <si>
    <t>https://patents.google.com/patent/CN213934617U/en</t>
  </si>
  <si>
    <t>https://patentimages.storage.googleapis.com/61/dc/90/f4e53c2aa1db96/HDA0002919913300000011.png</t>
  </si>
  <si>
    <t>CN-120706664-B</t>
  </si>
  <si>
    <t xml:space="preserve">Intelligent advisor system and method for aquaculture </t>
  </si>
  <si>
    <t>åŽå—å¸ˆèŒƒå¤§å­¦</t>
  </si>
  <si>
    <t>æ›¾ç«‹åŽ, è–›å®‡å®, é‚å¿—æ¨, å¼ ç€šæ–‡, æŽå¥½, é»„å°å¸…</t>
  </si>
  <si>
    <t>https://patents.google.com/patent/CN120706664B/en</t>
  </si>
  <si>
    <t>CN-112398938-B</t>
  </si>
  <si>
    <t xml:space="preserve">Method and system for transmitting feedback information of sewage treatment plant to cloud </t>
  </si>
  <si>
    <t>åŒ—äº¬è¾¾æºçŽ¯ä¿ç§‘æŠ€æœ‰é™å…¬å¸</t>
  </si>
  <si>
    <t>å¾å¾·æˆ, çŽ‹æ¬£, å´è¾‰</t>
  </si>
  <si>
    <t>https://patents.google.com/patent/CN112398938B/en</t>
  </si>
  <si>
    <t>CN-221304063-U</t>
  </si>
  <si>
    <t xml:space="preserve">Unmanned on duty monitoring early warning system of side slope </t>
  </si>
  <si>
    <t>æ¹–å—æ¹˜å»ºæ™ºç§‘å·¥ç¨‹æŠ€æœ¯æœ‰é™å…¬å¸</t>
  </si>
  <si>
    <t>å½­å­¦å…ˆ, è®¸æ¢¦å…°, åº·å»ºå½¬, æ²ˆé‡‘é˜³, åˆ˜ä¸¹, å´æ˜¥, çŽ‹åŸŽå¢™</t>
  </si>
  <si>
    <t>https://patents.google.com/patent/CN221304063U/en</t>
  </si>
  <si>
    <t>CN-213902446-U</t>
  </si>
  <si>
    <t xml:space="preserve">Full-automatic ecological observation station </t>
  </si>
  <si>
    <t>åŒ—äº¬å¤©èˆªåŽåˆ›ç§‘æŠ€è‚¡ä»½æœ‰é™å…¬å¸</t>
  </si>
  <si>
    <t>ç¥æ™“å…‰</t>
  </si>
  <si>
    <t>https://patents.google.com/patent/CN213902446U/en</t>
  </si>
  <si>
    <t>https://patentimages.storage.googleapis.com/b8/10/3f/4b2fa865fb08e0/HDA0002728182790000011.png</t>
  </si>
  <si>
    <t>CN-214252596-U</t>
  </si>
  <si>
    <t xml:space="preserve">A kind of seismic macro field cloud monitoring platform </t>
  </si>
  <si>
    <t>æ²³å—è°¨ä¹‹è‡»ç§‘æŠ€æœ‰é™å…¬å¸</t>
  </si>
  <si>
    <t>ä¾¯æ˜¥èŠ³, é—«å† å†›</t>
  </si>
  <si>
    <t>https://patents.google.com/patent/CN214252596U/en</t>
  </si>
  <si>
    <t>https://patentimages.storage.googleapis.com/72/26/03/51d8a5ffb6c2ee/210309171848.png</t>
  </si>
  <si>
    <t>CN-121071664-B</t>
  </si>
  <si>
    <t xml:space="preserve">Safety monitoring method and system under satellite signal rejection environment </t>
  </si>
  <si>
    <t>ä¸­å›½ç”µå»ºé›†å›¢ä¸­å—å‹˜æµ‹è®¾è®¡ç ”ç©¶é™¢æœ‰é™å…¬å¸, å¹¿è¥¿é«˜å³°çŸ¿ä¸šæœ‰é™è´£ä»»å…¬å¸, ä¸­å›½ç”µå­äº§å“å¯é æ€§ä¸ŽçŽ¯å¢ƒè¯•éªŒç ”ç©¶æ‰€ï¼ˆï¼ˆå·¥ä¸šå’Œä¿¡æ¯åŒ–éƒ¨ç”µå­ç¬¬äº”ç ”ç©¶æ‰€ï¼‰ï¼ˆä¸­å›½èµ›å®å®žéªŒå®¤ï¼‰ï¼‰, éƒ‘å·žè”ç¿ç”µå­ç§‘æŠ€æœ‰é™å…¬å¸</t>
  </si>
  <si>
    <t>åº„æ™“æ°, è”¡è¯šæˆ, ç™½æ²»å†›, è°­è‰³æ¸…, å¼ å®‡èˆª, èµµå…ƒå…ƒ, å…¨æŸé£ž, éŸ¦å†›, æ¨èŒ, åˆ˜ä¸½ç, è‚–å²©, è´ºç¦, åˆ˜æ˜Ÿ, èµµäºšæ¥ </t>
  </si>
  <si>
    <t>https://patents.google.com/patent/CN121071664B/en</t>
  </si>
  <si>
    <t>CN-217974519-U</t>
  </si>
  <si>
    <t xml:space="preserve">Intelligent safety monitoring system for deep foundation pit in urban complex environment </t>
  </si>
  <si>
    <t>ä¸­å›½ç”µå»ºå¸‚æ”¿å»ºè®¾é›†å›¢æœ‰é™å…¬å¸</t>
  </si>
  <si>
    <t>æŽå¹¿, æŽå…¨è¾‰, å•å­¦å¿—, å¢é˜³æ—­, åˆ˜å…´å³°</t>
  </si>
  <si>
    <t>https://patents.google.com/patent/CN217974519U/en</t>
  </si>
  <si>
    <t>https://patentimages.storage.googleapis.com/07/97/d0/c72fce91c38b07/HDA0003704779690000011.png</t>
  </si>
  <si>
    <t>CN-213926370-U</t>
  </si>
  <si>
    <t xml:space="preserve">Mounting for equipment installation in inspection well cover </t>
  </si>
  <si>
    <t>https://patents.google.com/patent/CN213926370U/en</t>
  </si>
  <si>
    <t>https://patentimages.storage.googleapis.com/32/75/45/e77040e54b309c/HDA0002749343180000011.png</t>
  </si>
  <si>
    <t>CN-215898017-U</t>
  </si>
  <si>
    <t xml:space="preserve">Underwater monitoring system based on wireless sensor network </t>
  </si>
  <si>
    <t>éƒ­æ„</t>
  </si>
  <si>
    <t>https://patents.google.com/patent/CN215898017U/en</t>
  </si>
  <si>
    <t>https://patentimages.storage.googleapis.com/91/55/80/d32655bceda2c6/210422133618.png</t>
  </si>
  <si>
    <t>US-12578099-B2</t>
  </si>
  <si>
    <t xml:space="preserve">Systems and methods for reducing condensation on building water supply lines </t>
  </si>
  <si>
    <t>Storm Innovations LLC</t>
  </si>
  <si>
    <t>Peter Storm</t>
  </si>
  <si>
    <t>https://patents.google.com/patent/US12578099B2/en</t>
  </si>
  <si>
    <t>https://patentimages.storage.googleapis.com/US12578099B2/US12578099-20260317-D00000.png</t>
  </si>
  <si>
    <t>CN-222231706-U</t>
  </si>
  <si>
    <t xml:space="preserve">A multi-sensor data acquisition box </t>
  </si>
  <si>
    <t>ç”˜è‚ƒçœäº¤é€šè§„åˆ’å‹˜å¯Ÿè®¾è®¡é™¢è‚¡ä»½æœ‰é™å…¬å¸</t>
  </si>
  <si>
    <t>è´¾å½¦å…š, æŽæ°¸å¹³, ä½•é›¨æ³½</t>
  </si>
  <si>
    <t>https://patents.google.com/patent/CN222231706U/en</t>
  </si>
  <si>
    <t>CN-119445251-B</t>
  </si>
  <si>
    <t xml:space="preserve">Electric power underground survey method using machine to replace manual work </t>
  </si>
  <si>
    <t>å‘¨è¶Š, æŽä¿Šæ°, å¼ æ€¡, æœ±å¯å‡Œ, å®‰å¸…, é©¬é­æ¾</t>
  </si>
  <si>
    <t>https://patents.google.com/patent/CN119445251B/en</t>
  </si>
  <si>
    <t>CN-223691811-U</t>
  </si>
  <si>
    <t xml:space="preserve">Intelligent agricultural sensor device for field </t>
  </si>
  <si>
    <t>æ¹–å—çœå†œæž—å·¥ä¸šå‹˜å¯Ÿè®¾è®¡ç ”ç©¶é™¢æœ‰é™å…¬å¸</t>
  </si>
  <si>
    <t>é»„æµª, è’‹å°åŽ, é»Žç¨ä¹‹, å”æ²™, è§£åˆšä¼Ÿ</t>
  </si>
  <si>
    <t>https://patents.google.com/patent/CN223691811U/en</t>
  </si>
  <si>
    <t>CN-221708174-U</t>
  </si>
  <si>
    <t xml:space="preserve">Device suitable for monitoring and early warning geological disaster of irregular stone cave temple cave </t>
  </si>
  <si>
    <t>äº‘å—å¤§å­¦</t>
  </si>
  <si>
    <t>æ¨å‡¯</t>
  </si>
  <si>
    <t>https://patents.google.com/patent/CN221708174U/en</t>
  </si>
  <si>
    <t>CN-213517101-U</t>
  </si>
  <si>
    <t xml:space="preserve">Multispectral water quality monitoring of low-power consumption is equipped </t>
  </si>
  <si>
    <t>å—äº¬ä¸­ç†™ç‰©è”ç½‘æœ‰é™å…¬å¸</t>
  </si>
  <si>
    <t>é­ç­±ç£Š, å–»å¨‡é¾™, å´æˆæ¥¼</t>
  </si>
  <si>
    <t>https://patents.google.com/patent/CN213517101U/en</t>
  </si>
  <si>
    <t>https://patentimages.storage.googleapis.com/8c/51/cf/ce09dab1efa27d/HDA0002724503690000011.png</t>
  </si>
  <si>
    <t>CN-214951665-U</t>
  </si>
  <si>
    <t xml:space="preserve">Underground pipe network liquid level detection well lid </t>
  </si>
  <si>
    <t>ä¾¬æ³°è½²ï¼ˆæ˜†å±±ï¼‰æ£€æµ‹ç§‘æŠ€æœ‰é™å…¬å¸</t>
  </si>
  <si>
    <t>æ½˜æ°¸ä¸œ, èµµé‡‘å³°, æŽç§‹çŽ‰, è´ºæ–‡ä½³</t>
  </si>
  <si>
    <t>https://patents.google.com/patent/CN214951665U/en</t>
  </si>
  <si>
    <t>https://patentimages.storage.googleapis.com/67/2a/31/a999281eb769ab/HDA0002761381830000011.png</t>
  </si>
  <si>
    <t>CN-221531624-U</t>
  </si>
  <si>
    <t xml:space="preserve">Sharing hot water meter based on three-mode communication </t>
  </si>
  <si>
    <t>æ·±åœ³å¸‚åŒ—ç”µä»ªè¡¨æœ‰é™å…¬å¸</t>
  </si>
  <si>
    <t>å†¯ç«‹å¹³</t>
  </si>
  <si>
    <t>https://patents.google.com/patent/CN221531624U/en</t>
  </si>
  <si>
    <t>CN-211826961-U</t>
  </si>
  <si>
    <t xml:space="preserve">Thing networking collection system based on thermoelectric generation technique </t>
  </si>
  <si>
    <t>çƒŸå°é”æŽ§è‡ªåŠ¨åŒ–æŽ§åˆ¶å·¥ç¨‹æœ‰é™å…¬å¸</t>
  </si>
  <si>
    <t>é‚¹è´µé¹, è‘£è¡åŽ, èµµé¹ç¿€, å¾æ–‡äº®</t>
  </si>
  <si>
    <t>https://patents.google.com/patent/CN211826961U/en</t>
  </si>
  <si>
    <t>https://patentimages.storage.googleapis.com/e9/81/3d/c622c9c8224074/HDA0002470893400000011.png</t>
  </si>
  <si>
    <t>CN-115522511-B</t>
  </si>
  <si>
    <t xml:space="preserve">Assembled ecological bank protection </t>
  </si>
  <si>
    <t>æŽæ²›, å´”æº¦, æ­¦æ¢¦è¿ª, è´ºæ¬£å®‡, å®å‡¡æ¸…, æ›¹å²³</t>
  </si>
  <si>
    <t>https://patents.google.com/patent/CN115522511B/en</t>
  </si>
  <si>
    <t>CN-211928439-U</t>
  </si>
  <si>
    <t xml:space="preserve">Pipeline magnetic adsorption can turn IoT cruise system </t>
  </si>
  <si>
    <t>å¤§è¿žå¸‚äº‘ä»™å¼•äº’è”ç½‘æœåŠ¡æœ‰é™å…¬å¸, å¤§è¿žæ°‘æ—å¤§å­¦</t>
  </si>
  <si>
    <t>æŽé‡‘ä»“, é«˜åƒå–œ, çŽ‹å­¦ä¹‰, æ±ªè¯­å“², å¼ ç¦</t>
  </si>
  <si>
    <t>https://patents.google.com/patent/CN211928439U/en</t>
  </si>
  <si>
    <t>https://patentimages.storage.googleapis.com/1c/6b/a8/5692693b860fdf/HDA0002476333150000011.png</t>
  </si>
  <si>
    <t>CN-222336539-U</t>
  </si>
  <si>
    <t xml:space="preserve">A vibration detection device with alarm function </t>
  </si>
  <si>
    <t>å¾å·žè¯ºåˆ›é€šç§‘æŠ€æœ‰é™å…¬å¸</t>
  </si>
  <si>
    <t>æŽç§‘, èµµè¿Žå®¾, æ¨çŽ‰æ˜Œ, é³å¤©ç¥¥, äºŽå­çš“</t>
  </si>
  <si>
    <t>https://patents.google.com/patent/CN222336539U/en</t>
  </si>
  <si>
    <t>CN-118966837-B</t>
  </si>
  <si>
    <t xml:space="preserve">A method, device and equipment for regulating ecological functions of sand prevention and control projects in sandy land </t>
  </si>
  <si>
    <t>æ°´åˆ©éƒ¨ç‰§åŒºæ°´åˆ©ç§‘å­¦ç ”ç©¶æ‰€, å†…è’™å¤å†œä¸šå¤§å­¦</t>
  </si>
  <si>
    <t>æ¨æŒ¯å¥‡, éƒ­å»ºè‹±, è¦æŒ¯å®‡, åˆ˜å¿ƒå®‡, é«˜å¤©æ˜Ž, æŽé¾™, è‘£æ™“å®‡, å¼ é“åˆš, åˆ˜é“å†›, æ¢æ–‡æ¶›</t>
  </si>
  <si>
    <t>https://patents.google.com/patent/CN118966837B/en</t>
  </si>
  <si>
    <t>CN-118694793-B</t>
  </si>
  <si>
    <t xml:space="preserve">A water conservancy construction management system based on data link system </t>
  </si>
  <si>
    <t>å†…è’™å¤è¿ˆå®žç§‘æŠ€æœ‰é™è´£ä»»å…¬å¸, å†…è’™å¤è‡ªæ²»åŒºæ°´æ—±ç¾å®³é˜²å¾¡æŠ€æœ¯ä¸­å¿ƒ</t>
  </si>
  <si>
    <t>çŽ‹å¸…, æ¨å½¬, åŒ…æ¾æž—, èµµæ–‡è´µ, æŽä¾—æ¶¦, ç™½éŸ³, æ½˜åŠ­åš, è‚å¸…, åˆ˜å­å˜‰, æœ±æ™–, å¼ çš“, çŽ‹é‡Ž</t>
  </si>
  <si>
    <t>https://patents.google.com/patent/CN118694793B/en</t>
  </si>
  <si>
    <t>CN-215371452-U</t>
  </si>
  <si>
    <t xml:space="preserve">A pipe connection device for hydraulic engineering </t>
  </si>
  <si>
    <t>æ–°ç–†æ€¡æž—å®žä¸šè‚¡ä»½æœ‰é™å…¬å¸</t>
  </si>
  <si>
    <t>é™ˆå¿—ä¹‰, å¼ å…‰ä¼¶, æ›¹æž—éœž, èƒ¡è, å´å«å†›, é‚¢ç‘žéœž</t>
  </si>
  <si>
    <t>https://patents.google.com/patent/CN215371452U/en</t>
  </si>
  <si>
    <t>https://patentimages.storage.googleapis.com/17/9b/5e/6a8cea9d2b69dc/HDA0003051774200000011.png</t>
  </si>
  <si>
    <t>CN-115979336-B</t>
  </si>
  <si>
    <t xml:space="preserve">A geological disaster safety monitoring device and its power supply control method </t>
  </si>
  <si>
    <t>èˆªå¤©ç§‘å·¥æƒ¯æ€§æŠ€æœ¯æœ‰é™å…¬å¸</t>
  </si>
  <si>
    <t>å¼ æ–‡é¹, å¾é”, å¼ ç¡•, å¤é¡ºç›ˆ, æŽç¦å·</t>
  </si>
  <si>
    <t>https://patents.google.com/patent/CN115979336B/en</t>
  </si>
  <si>
    <t>CN-120990662-B</t>
  </si>
  <si>
    <t xml:space="preserve">A split-type intelligent monitoring system for pressure-bearing anchor bolts, a monitoring and early warning system, and a method thereof. </t>
  </si>
  <si>
    <t>ä¿¡æžœé‡åº†æœºæ¢°é›¶éƒ¨ä»¶è‚¡ä»½æœ‰é™å…¬å¸</t>
  </si>
  <si>
    <t>æŽé¸¿æ–Œ, å¼ ç†å†›, å·«å¯è¾‰, èµµç£Š</t>
  </si>
  <si>
    <t>https://patents.google.com/patent/CN120990662B/en</t>
  </si>
  <si>
    <t>CN-119860503-B</t>
  </si>
  <si>
    <t xml:space="preserve">Municipal pipe network state monitoring device </t>
  </si>
  <si>
    <t>ä¸Šæµ·å‹˜æµ‹è®¾è®¡ç ”ç©¶é™¢æœ‰é™å…¬å¸, ä¸‰å³¡æ™ºæ…§æ°´åŠ¡ç§‘æŠ€æœ‰é™å…¬å¸</t>
  </si>
  <si>
    <t>è®¸çŽ‹è¾°, é™ˆç‘žå¼˜, åˆ˜æ­£å½ª, é™†ç†™, é™†æ¾æŸ³</t>
  </si>
  <si>
    <t>https://patents.google.com/patent/CN119860503B/en</t>
  </si>
  <si>
    <t>CN-218297287-U</t>
  </si>
  <si>
    <t xml:space="preserve">A water level monitoring device for wisdom water conservancy </t>
  </si>
  <si>
    <t>å†…è’™å¤ç”³ç§‘å›½åœŸæŠ€æœ¯æœ‰é™è´£ä»»å…¬å¸</t>
  </si>
  <si>
    <t>ç™½æ—­, æŽå¨œ, å†€æ˜Žé£ž, æ–½é›…å©·, æ¸©ä¹, é™ˆé‘«å‘, ä¹”å…‰è€€</t>
  </si>
  <si>
    <t>https://patents.google.com/patent/CN218297287U/en</t>
  </si>
  <si>
    <t>https://patentimages.storage.googleapis.com/3a/3b/c4/86e2b0f19528a2/HDA0003854909070000011.png</t>
  </si>
  <si>
    <t>CN-119960021-B</t>
  </si>
  <si>
    <t xml:space="preserve">A method for dynamically monitoring underground structural changes in a target area using regional earthquakes </t>
  </si>
  <si>
    <t>æ¹–åŒ—çœåœ°éœ‡å±€(ä¸­å›½åœ°éœ‡å±€åœ°éœ‡ç ”ç©¶æ‰€)</t>
  </si>
  <si>
    <t>å¼ ä¸½èŠ¬, å»–æ­¦æž—, èµµè‰³å—, æŽäº•å†ˆ, å‘¨ç´«å²©, å•æ•, çŽ‹é¡º</t>
  </si>
  <si>
    <t>https://patents.google.com/patent/CN119960021B/en</t>
  </si>
  <si>
    <t>CN-222013265-U</t>
  </si>
  <si>
    <t xml:space="preserve">Water level monitoring device for intelligent water conservancy </t>
  </si>
  <si>
    <t>è¾½å®çœç”µå­ç ”ç©¶è®¾è®¡é™¢æœ‰é™å…¬å¸</t>
  </si>
  <si>
    <t>æž—è, äºŽè›Ÿ, ç”³äº•å…ƒ</t>
  </si>
  <si>
    <t>https://patents.google.com/patent/CN222013265U/en</t>
  </si>
  <si>
    <t>CN-119052298-B</t>
  </si>
  <si>
    <t xml:space="preserve">Abnormality monitoring and analyzing method and system based on water ecological environment </t>
  </si>
  <si>
    <t>é•¿æ±Ÿç”Ÿæ€çŽ¯ä¿é›†å›¢æœ‰é™å…¬å¸, ä¸‰å³¡æ™ºæŽ§ç§‘æŠ€æœ‰é™å…¬å¸</t>
  </si>
  <si>
    <t>èµµå¼º, æŽé“­, åˆ˜ç…œ, è®¸å½¦, ç†Šæœé˜³, æ¨æ­£ç« , çŽ‹æµ©ç„¶, æŽå°å¤, å½­ä¿Š</t>
  </si>
  <si>
    <t>https://patents.google.com/patent/CN119052298B/en</t>
  </si>
  <si>
    <t>CN-121235499-B</t>
  </si>
  <si>
    <t xml:space="preserve">Method and System for Group Replacement of Rigid Crossbeams in Multi-Line Parallel High-Speed Railway Contact Network </t>
  </si>
  <si>
    <t>ä¸­é“ç”µæ°”åŒ–å±€é›†å›¢æœ‰é™å…¬å¸, ä¸­é“ç”µæ°”åŒ–å±€é›†å›¢ç¬¬ä¸€å·¥ç¨‹æœ‰é™å…¬å¸</t>
  </si>
  <si>
    <t>æŽèŒ‚æ‰, æŽæ‹“, è‹‘çŽ‰è¶…, æœéº¾, å´å‘é˜³, å¼ ç«‹é‚£, çŽ‹ä½©åˆš, æŽå è‹±, é™ˆäºšæ—», å®‹å†›è¾‰, æœ±å»ºåŽ, è§£äº‘å‡¯, é©¬å¯, å¾æ ¹å…¨, æ¨å­Ÿæ˜Ž</t>
  </si>
  <si>
    <t>https://patents.google.com/patent/CN121235499B/en</t>
  </si>
  <si>
    <t>CN-213354768-U</t>
  </si>
  <si>
    <t xml:space="preserve">Buoy type water quality monitoring terminal </t>
  </si>
  <si>
    <t>https://patents.google.com/patent/CN213354768U/en</t>
  </si>
  <si>
    <t>https://patentimages.storage.googleapis.com/96/2e/f7/51d6e65da6864d/HDA0002724831530000011.png</t>
  </si>
  <si>
    <t>CN-212616664-U</t>
  </si>
  <si>
    <t xml:space="preserve">Air valve capable of being remotely measured </t>
  </si>
  <si>
    <t>æ›¹çŽ‰æŸ±</t>
  </si>
  <si>
    <t>æ›¹çŽ‰æŸ±, æ›¹å®‰æ°</t>
  </si>
  <si>
    <t>https://patents.google.com/patent/CN212616664U/en</t>
  </si>
  <si>
    <t>https://patentimages.storage.googleapis.com/61/68/cf/972eaf64cfda21/200717145349.png</t>
  </si>
  <si>
    <t>CN-213895418-U</t>
  </si>
  <si>
    <t xml:space="preserve">Rural drinking water nanofiltration water purification tank </t>
  </si>
  <si>
    <t>https://patents.google.com/patent/CN213895418U/en</t>
  </si>
  <si>
    <t>https://patentimages.storage.googleapis.com/65/bb/ac/93f701d7326891/200927151337.png</t>
  </si>
  <si>
    <t>CN-219287727-U</t>
  </si>
  <si>
    <t xml:space="preserve">A battery-powered bluetooth water meter data acquisition device </t>
  </si>
  <si>
    <t>æµ™æ±Ÿå¨æ˜Ÿæ™ºèƒ½ä»ªè¡¨è‚¡ä»½æœ‰é™å…¬å¸</t>
  </si>
  <si>
    <t>é‚¹èˆª, å”ç¼</t>
  </si>
  <si>
    <t>https://patents.google.com/patent/CN219287727U/en</t>
  </si>
  <si>
    <t>https://patentimages.storage.googleapis.com/28/6c/f5/b59be700e1d185/221209170655.png</t>
  </si>
  <si>
    <t>CN-120219111-B</t>
  </si>
  <si>
    <t xml:space="preserve">Method, device and equipment for determining resilience index of urban water environment </t>
  </si>
  <si>
    <t>ä¸­å›½ç§‘å­¦é™¢ç”Ÿæ€çŽ¯å¢ƒç ”ç©¶ä¸­å¿ƒ</t>
  </si>
  <si>
    <t>èµµæ´ªæ¶›, æœ±æ˜Š, æŽä½³ä¸½</t>
  </si>
  <si>
    <t>https://patents.google.com/patent/CN120219111B/en</t>
  </si>
  <si>
    <t>CN-118627874-B</t>
  </si>
  <si>
    <t xml:space="preserve">Water, fertilizer and pesticide management method and device based on physical calendar </t>
  </si>
  <si>
    <t>éƒ­ç³ç³, çŽ‹å®‡ç¿”, çŽ‹è”šä¸¹</t>
  </si>
  <si>
    <t>https://patents.google.com/patent/CN118627874B/en</t>
  </si>
  <si>
    <t>CN-222825077-U</t>
  </si>
  <si>
    <t xml:space="preserve">A dike information collection system </t>
  </si>
  <si>
    <t>æ­¦æ±‰èˆ¹èˆ¶èŒä¸šæŠ€æœ¯å­¦é™¢</t>
  </si>
  <si>
    <t>å²³æ˜Ÿä½, æŽé“æŒ¯, æ­¦è•¾</t>
  </si>
  <si>
    <t>https://patents.google.com/patent/CN222825077U/en</t>
  </si>
  <si>
    <t>CN-218376439-U</t>
  </si>
  <si>
    <t xml:space="preserve">Low-power-consumption underground intelligent device based on NB-IOT </t>
  </si>
  <si>
    <t>å­™æ¶µ, æ™‹çŽ‰å‰‘, ç„¦æµ·ç‡•, æ®·è°¦, éƒœè¿ª, ä½•è‹±æ°, å‘¨é“å¼º, å¼ çˆ½</t>
  </si>
  <si>
    <t>https://patents.google.com/patent/CN218376439U/en</t>
  </si>
  <si>
    <t>https://patentimages.storage.googleapis.com/b8/31/14/e5a0c2d2de674a/HDA0003686208610000011.png</t>
  </si>
  <si>
    <t>CN-221167920-U</t>
  </si>
  <si>
    <t xml:space="preserve">Multi-antenna intelligent well lid based on magnetic attraction sensing </t>
  </si>
  <si>
    <t>å›½ç½‘æ€æžç´«å…‰(é’å²›)äº‘æ•°ç§‘æŠ€æœ‰é™å…¬å¸</t>
  </si>
  <si>
    <t>é™ˆæµ·, è¿žé›„ä¼Ÿ</t>
  </si>
  <si>
    <t>https://patents.google.com/patent/CN221167920U/en</t>
  </si>
  <si>
    <t>CN-121212818-B</t>
  </si>
  <si>
    <t xml:space="preserve">BIM-based dynamic early warning method for safety risks in deep foundation pit construction </t>
  </si>
  <si>
    <t>æ¹–å—çœç¬¬å…­å·¥ç¨‹æœ‰é™å…¬å¸</t>
  </si>
  <si>
    <t>æ®·æµ©</t>
  </si>
  <si>
    <t>https://patents.google.com/patent/CN121212818B/en</t>
  </si>
  <si>
    <t>CN-119278845-B</t>
  </si>
  <si>
    <t xml:space="preserve">A method for managing and predicting the yield of hydroponically grown lettuce. </t>
  </si>
  <si>
    <t>é‡‘é™µç§‘æŠ€å­¦é™¢</t>
  </si>
  <si>
    <t>é™ˆä¸¹è‰³, æ²ˆçŠçŠ, åˆ˜å¨…, æŽæµ·çŽ², é©¬æ•¬æ³½, æŽä¸–é¾™, å§œæ™“è•Š, æˆ´è‰¾å‡, å­”ç¥¥å®‡, å¼ å®‡è½©, çŽ‹åŠ è¥, ç¥æ’</t>
  </si>
  <si>
    <t>https://patents.google.com/patent/CN119278845B/en</t>
  </si>
  <si>
    <t>CN-214060249-U</t>
  </si>
  <si>
    <t xml:space="preserve">An intelligent control SBBR sewage treatment system based on photovoltaic power generation </t>
  </si>
  <si>
    <t>è¾½å®çœç”Ÿæ€çŽ¯å¢ƒä¿æŠ¤ç§‘æŠ€ä¸­å¿ƒ</t>
  </si>
  <si>
    <t>åˆ˜å²šæ˜•, çŽ‹ç•™é”, ç¨‹å¸Œé›·, çŽ‹èµ«</t>
  </si>
  <si>
    <t>https://patents.google.com/patent/CN214060249U/en</t>
  </si>
  <si>
    <t>https://patentimages.storage.googleapis.com/21/79/90/a421be59a71720/HDA0002691275340000011.png</t>
  </si>
  <si>
    <t>CN-224133846-U</t>
  </si>
  <si>
    <t xml:space="preserve">A smart unmanned water supply system </t>
  </si>
  <si>
    <t>å†€ä¸œæ°´æ³¥é“œå·æœ‰é™å…¬å¸</t>
  </si>
  <si>
    <t>æ®·å°è™Ž, æŽæŒ¯é›·, é¢›å‘é˜³, æ¨ç«‹å›½, è®¸æ™®å›½, å‘¨å…‹æ–‡, é³é«˜å³°</t>
  </si>
  <si>
    <t>https://patents.google.com/patent/CN224133846U/en</t>
  </si>
  <si>
    <t>CN-223335194-U</t>
  </si>
  <si>
    <t xml:space="preserve">Novel adjustable cultivation greenhouse </t>
  </si>
  <si>
    <t>è‹å·žä¸‡äº‹ä½³æ–°åž‹å»ºææœ‰é™å…¬å¸</t>
  </si>
  <si>
    <t>æœ±æ ‘çº¢</t>
  </si>
  <si>
    <t>https://patents.google.com/patent/CN223335194U/en</t>
  </si>
  <si>
    <t>CN-212658991-U</t>
  </si>
  <si>
    <t xml:space="preserve">High temperature resistant, high-protection wisdom thing networking perception equipment </t>
  </si>
  <si>
    <t>é‚¹è´µé¹, å®«æ­£å†›, èµµé¹ç¿€, å¼ æ™“é¾™</t>
  </si>
  <si>
    <t>https://patents.google.com/patent/CN212658991U/en</t>
  </si>
  <si>
    <t>https://patentimages.storage.googleapis.com/58/6d/a2/c30c14f615cd85/HDA0002662949550000011.png</t>
  </si>
  <si>
    <t>US-11873246-B2</t>
  </si>
  <si>
    <t xml:space="preserve">Glass-containing pseudo-reference electrode for use in ion-selective electrode sensors and ion selective field-effect transistors </t>
  </si>
  <si>
    <t>National Research Council Of Canada</t>
  </si>
  <si>
    <t>Eben DY, Wei Qu, Zhong Xie, Jun Shen, Kidus Y TUFA</t>
  </si>
  <si>
    <t>https://patents.google.com/patent/US11873246B2/en</t>
  </si>
  <si>
    <t>https://patentimages.storage.googleapis.com/95/ec/36/8d8c29b10dba22/US11873246-20240116-D00000.png</t>
  </si>
  <si>
    <t>CN-113735638-B</t>
  </si>
  <si>
    <t xml:space="preserve">Community kitchen waste treatment fermentation device </t>
  </si>
  <si>
    <t>https://patents.google.com/patent/CN113735638B/en</t>
  </si>
  <si>
    <t>CN-111202430-B</t>
  </si>
  <si>
    <t xml:space="preserve">Water dispenser system and distribution method for bagged or disposable bottled water, community water maker </t>
  </si>
  <si>
    <t>çŸ³å®¶åº„é«˜å›ç§‘æŠ€æœ‰é™å…¬å¸</t>
  </si>
  <si>
    <t>æŽç»§å ‚, çŽ‹ä¸½, æŽæ³½å¼º, åˆ˜é›ªæ‰¬, é«˜æ­¥äº‘</t>
  </si>
  <si>
    <t>https://patents.google.com/patent/CN111202430B/en</t>
  </si>
  <si>
    <t>https://patentimages.storage.googleapis.com/a3/2c/a8/738d56c35398f3/HDA0002363809650000011.png</t>
  </si>
  <si>
    <t>CN-222318169-U</t>
  </si>
  <si>
    <t xml:space="preserve">High-precision liquid level sensor </t>
  </si>
  <si>
    <t>æ±Ÿè‹å¤ªæ¹–äº‘è®¡ç®—ä¿¡æ¯æŠ€æœ¯è‚¡ä»½æœ‰é™å…¬å¸</t>
  </si>
  <si>
    <t>è£´åšè¶…, é­è´¤ç¾¤, ä½•é‘«</t>
  </si>
  <si>
    <t>https://patents.google.com/patent/CN222318169U/en</t>
  </si>
  <si>
    <t>CN-212616740-U</t>
  </si>
  <si>
    <t xml:space="preserve">Underground pipe gallery intelligent pipeline bracket </t>
  </si>
  <si>
    <t>ä¸­åŸŽä½³æ—­ï¼ˆåŒ—äº¬ï¼‰ç§‘æŠ€å‘å±•æœ‰é™å…¬å¸</t>
  </si>
  <si>
    <t>å´äº¬ç¥¥, é—«æ—­ä¸œ</t>
  </si>
  <si>
    <t>https://patents.google.com/patent/CN212616740U/en</t>
  </si>
  <si>
    <t>https://patentimages.storage.googleapis.com/98/11/72/7f93b4988f6b8a/HDA0002608277070000011.png</t>
  </si>
  <si>
    <t>CN-216492562-U</t>
  </si>
  <si>
    <t xml:space="preserve">Irrigation system of greenbelt intelligence water conservation </t>
  </si>
  <si>
    <t>è‹å·žé‡‘èž³èž‚å›­æž—ç»¿åŒ–æ™¯è§‚æœ‰é™å…¬å¸</t>
  </si>
  <si>
    <t>é’Ÿå‰‘è¾‰, éª†é£ž, çŽ‹å«é’, é¢œç‚œ, æŽè, éƒ­é–, å‘¨æ³‰åˆ©, é™ˆåºš</t>
  </si>
  <si>
    <t>https://patents.google.com/patent/CN216492562U/en</t>
  </si>
  <si>
    <t>https://patentimages.storage.googleapis.com/3a/8b/db/f9134fc8eebea8/HDA0003410076470000011.png</t>
  </si>
  <si>
    <t>CN-119528338-B</t>
  </si>
  <si>
    <t xml:space="preserve">Dispersed emission source sewage collection-A2O process treatment linkage system and treatment method thereof </t>
  </si>
  <si>
    <t>å—é˜³å¸ˆèŒƒå­¦é™¢</t>
  </si>
  <si>
    <t>å¼ æ­£å®‰, æŽç³, çŽ‹æ·¼å¥Ž, è£´çŽº, ä¸è‰³åŽ, çŸ³é™, é™ˆä¿Šå¯Œ, æŽçŽ‰è‹±, çŽ‹è£æ¬£, æŽç™¾ç‚¼, çŽ‹ç«‹æ ‹, æ›¾åš</t>
  </si>
  <si>
    <t>https://patents.google.com/patent/CN119528338B/en</t>
  </si>
  <si>
    <t>CN-212506694-U</t>
  </si>
  <si>
    <t xml:space="preserve">Fountain dry-type integrated prefabricated pump station </t>
  </si>
  <si>
    <t>ä¸­å›½å»ºç­‘è¥¿å—è®¾è®¡ç ”ç©¶é™¢æœ‰é™å…¬å¸</t>
  </si>
  <si>
    <t>è°­æ˜¥, æŽæ³¢, ä¸äº®, å”çº¢æ¢…</t>
  </si>
  <si>
    <t>https://patents.google.com/patent/CN212506694U/en</t>
  </si>
  <si>
    <t>https://patentimages.storage.googleapis.com/1f/81/81/9d598d3f974c00/HDA0002528314340000011.png</t>
  </si>
  <si>
    <t>CN-222707013-U</t>
  </si>
  <si>
    <t xml:space="preserve">A special well house irrigation system based on water and fertilizer integrated machine </t>
  </si>
  <si>
    <t>æ²³å—å››é€šé›†å›¢æœ‰é™å…¬å¸</t>
  </si>
  <si>
    <t>è‹æœ¬åž’, çŽ‹å“, ä»ä¸œæ–¹, è°·æ™“é›·</t>
  </si>
  <si>
    <t>https://patents.google.com/patent/CN222707013U/en</t>
  </si>
  <si>
    <t>CN-113303147-B</t>
  </si>
  <si>
    <t xml:space="preserve">Sprinkling irrigation equipment in wisdom agricultural canopy </t>
  </si>
  <si>
    <t>æ‰¬å·žå¸‚èŒä¸šå¤§å­¦(æ‰¬å·žå¸‚å¹¿æ’­ç”µè§†å¤§å­¦)</t>
  </si>
  <si>
    <t>å¼ å†›, å¼ å…‰æ¡ƒ</t>
  </si>
  <si>
    <t>https://patents.google.com/patent/CN113303147B/en</t>
  </si>
  <si>
    <t>https://patentimages.storage.googleapis.com/36/bc/45/53ba1d43974074/HDA0002993889500000011.png</t>
  </si>
  <si>
    <t>CN-120830493-B</t>
  </si>
  <si>
    <t xml:space="preserve">Intelligent cable control layered water injection system for pressurized operation well and well descending method thereof </t>
  </si>
  <si>
    <t>ä¸­å›½çŸ³æ²¹é›†å›¢ç§‘å­¦æŠ€æœ¯ç ”ç©¶é™¢æœ‰é™å…¬å¸, ä¸­å›½çŸ³æ²¹å¤©ç„¶æ°”é›†å›¢æœ‰é™å…¬å¸</t>
  </si>
  <si>
    <t>åˆ˜åˆ, æŽå›½æ¬£, å¼ æ°¸åº¶, è´¾å¾·åˆ©, é‡‘æ—­, æ¨æ¸…æµ·, çŽ‹å…¨å®¾, å­™ç¦è¶…, å­Ÿæ€ç‚œ</t>
  </si>
  <si>
    <t>https://patents.google.com/patent/CN120830493B/en</t>
  </si>
  <si>
    <t>US-12188349-B1</t>
  </si>
  <si>
    <t xml:space="preserve">System and method for integrated leak detection and isolation </t>
  </si>
  <si>
    <t>Faisal M. Al Arji, Sami Naitah</t>
  </si>
  <si>
    <t>https://patents.google.com/patent/US12188349B1/en</t>
  </si>
  <si>
    <t>https://patentimages.storage.googleapis.com/1a/aa/0e/c01fc6dbf2b318/US12188349-20250107-D00000.png</t>
  </si>
  <si>
    <t>CN-214676932-U</t>
  </si>
  <si>
    <t xml:space="preserve">Thing networking irrigation equipment for fruit tree </t>
  </si>
  <si>
    <t>å±±ä¸œæ¶¦åŽèŠ‚æ°´çŒæº‰ç§‘æŠ€æœ‰é™å…¬å¸</t>
  </si>
  <si>
    <t>æŽè¿›, é©¬å°åŽ, åˆ˜å¢žè‹±</t>
  </si>
  <si>
    <t>https://patents.google.com/patent/CN214676932U/en</t>
  </si>
  <si>
    <t>https://patentimages.storage.googleapis.com/c6/fd/73/89860b301a1ebd/HDA0002983669890000011.png</t>
  </si>
  <si>
    <t>CN-120825523-B</t>
  </si>
  <si>
    <t xml:space="preserve">A Water Meter Protocol Matching Method and System Based on Artificial Intelligence </t>
  </si>
  <si>
    <t>æ­å·žä¸‰å·å›½å¾·ç‰©è”ç½‘ç§‘æŠ€æœ‰é™å…¬å¸</t>
  </si>
  <si>
    <t>é’±é¾™, æ²ˆå†›, å½­æµ·æ–‡</t>
  </si>
  <si>
    <t>https://patents.google.com/patent/CN120825523B/en</t>
  </si>
  <si>
    <t>CN-116665467-B</t>
  </si>
  <si>
    <t xml:space="preserve">Intelligent traffic signal control machine </t>
  </si>
  <si>
    <t>æ³°å®‰å¸‚ä¼—å‡æ™ºèƒ½ç”µå­æœ‰é™å…¬å¸</t>
  </si>
  <si>
    <t>å®‰æ–‡æ¶›, æ¯›å½¦å‡, è°·æ–°æ˜¶, æ¯›å‚¢ä»ª</t>
  </si>
  <si>
    <t>https://patents.google.com/patent/CN116665467B/en</t>
  </si>
  <si>
    <t>KR-102530830-B1</t>
  </si>
  <si>
    <t xml:space="preserve">Image and data synchronization method using rtsp and synchronization system </t>
  </si>
  <si>
    <t>ì£¼ì‹íšŒì‚¬ ì¸í¬ì›ìŠ¤</t>
  </si>
  <si>
    <t>ìœ¤ì„ í¬</t>
  </si>
  <si>
    <t>https://patents.google.com/patent/KR102530830B1/en</t>
  </si>
  <si>
    <t>https://patentimages.storage.googleapis.com/a1/e6/63/28670d943f8be0/112022108488793-pat00001.png</t>
  </si>
  <si>
    <t>CN-221345448-U</t>
  </si>
  <si>
    <t xml:space="preserve">Automatic inflatable flood prevention water shutoff device </t>
  </si>
  <si>
    <t>å…°å·žå€šèƒ½ç”µåŠ›(é›†å›¢)æœ‰é™å…¬å¸</t>
  </si>
  <si>
    <t>éƒ­å­å¼º, æŸ¯æˆå†›, çŽ‹å½¦å½ª, å­™æ¶›, çŽ‹ç”Ÿé¹, éƒ­æ°, å”å…´è¿, ç„¦æ™“æ™¨, å¼ å¤©æ¯…, å®‹æ¶›, é¡¾å“²å±¹, æ®µç»´å…¨, å´äºšç›†, ç½—è</t>
  </si>
  <si>
    <t>https://patents.google.com/patent/CN221345448U/en</t>
  </si>
  <si>
    <t>CN-212966464-U</t>
  </si>
  <si>
    <t xml:space="preserve">Disaster early warning device for Internet of things </t>
  </si>
  <si>
    <t>æ²³åŒ—å·æ°´ç§‘æŠ€æœ‰é™å…¬å¸</t>
  </si>
  <si>
    <t>æ¨æ˜†</t>
  </si>
  <si>
    <t>https://patents.google.com/patent/CN212966464U/en</t>
  </si>
  <si>
    <t>https://patentimages.storage.googleapis.com/d9/14/9c/22bf2781f866f9/HDA0002690953610000011.png</t>
  </si>
  <si>
    <t>CN-219419865-U</t>
  </si>
  <si>
    <t xml:space="preserve">Switch board convenient to overhaul </t>
  </si>
  <si>
    <t>å—äº¬è‰¾æ³°å…‹ç‰©è”ç½‘ç§‘æŠ€æœ‰é™å…¬å¸</t>
  </si>
  <si>
    <t>æž—ä¸šç››</t>
  </si>
  <si>
    <t>https://patents.google.com/patent/CN219419865U/en</t>
  </si>
  <si>
    <t>CN-214936617-U</t>
  </si>
  <si>
    <t xml:space="preserve">Rural running water clarification plant </t>
  </si>
  <si>
    <t>æ¸©å·žæ’é€šæ°´å¤„ç†è®¾å¤‡æœ‰é™å…¬å¸</t>
  </si>
  <si>
    <t>é»„æ˜Œå›½, å‘çº¢æ³¢</t>
  </si>
  <si>
    <t>https://patents.google.com/patent/CN214936617U/en</t>
  </si>
  <si>
    <t>https://patentimages.storage.googleapis.com/b0/6c/36/e46e10f65d12f6/210406101242.png</t>
  </si>
  <si>
    <t>CN-114630209-B</t>
  </si>
  <si>
    <t xml:space="preserve">Intelligent service system of biodegradable toilet </t>
  </si>
  <si>
    <t>ä¸´æ²‚ç«‹æ¾³é‚¦å»ºææœ‰é™å…¬å¸</t>
  </si>
  <si>
    <t>è‘£é¢–</t>
  </si>
  <si>
    <t>https://patents.google.com/patent/CN114630209B/en</t>
  </si>
  <si>
    <t>Patentes</t>
  </si>
  <si>
    <t>Total</t>
  </si>
  <si>
    <t>Fecha de Concesión</t>
  </si>
  <si>
    <t>% por ítem</t>
  </si>
  <si>
    <t>Urban Water</t>
  </si>
  <si>
    <t xml:space="preserve">Groundwater </t>
  </si>
  <si>
    <t>Superficial Water</t>
  </si>
  <si>
    <t>Superficial Atmosphere</t>
  </si>
  <si>
    <t>Otros</t>
  </si>
  <si>
    <t>Totales</t>
  </si>
  <si>
    <t>Porcentajes por año</t>
  </si>
  <si>
    <t>Left</t>
  </si>
  <si>
    <t>TESAURO</t>
  </si>
  <si>
    <t>("internet of things" AND groundwater AND monitoring)</t>
  </si>
  <si>
    <t xml:space="preserve"> Filtros: </t>
  </si>
  <si>
    <t>Ventana de tiempo</t>
  </si>
  <si>
    <t>Status</t>
  </si>
  <si>
    <t>GRANT</t>
  </si>
  <si>
    <t>Lenguaje</t>
  </si>
  <si>
    <t>Tipo</t>
  </si>
  <si>
    <t>Patente</t>
  </si>
  <si>
    <t>VT del IoT en sector de monitoreo de acuíferos</t>
  </si>
  <si>
    <t>Vigilanca Tecnológica</t>
  </si>
  <si>
    <t>Internet de la Cosas</t>
  </si>
  <si>
    <t>Sector Monitoreo en Acuíferos</t>
  </si>
  <si>
    <t>Tencnologías 4.0</t>
  </si>
  <si>
    <t>Producción por país</t>
  </si>
  <si>
    <t>China</t>
  </si>
  <si>
    <t>Corea del Sur</t>
  </si>
  <si>
    <t xml:space="preserve">USA </t>
  </si>
  <si>
    <t>Australia</t>
  </si>
  <si>
    <t>Japón</t>
  </si>
  <si>
    <t>Luxemburgo</t>
  </si>
  <si>
    <t>Europa</t>
  </si>
  <si>
    <t>Taiwan</t>
  </si>
  <si>
    <t>España</t>
  </si>
  <si>
    <t>Código País</t>
  </si>
  <si>
    <t>CN</t>
  </si>
  <si>
    <t>KR</t>
  </si>
  <si>
    <t>US</t>
  </si>
  <si>
    <t>AU</t>
  </si>
  <si>
    <t>JP</t>
  </si>
  <si>
    <t>LU</t>
  </si>
  <si>
    <t>EP</t>
  </si>
  <si>
    <t>TW</t>
  </si>
  <si>
    <t>ES</t>
  </si>
  <si>
    <t>Tipo de Documento</t>
  </si>
  <si>
    <t>Solicitud Publicada (A)</t>
  </si>
  <si>
    <t>Solicitud Concedida (B)</t>
  </si>
  <si>
    <t>Modelo de Utilidad (U)</t>
  </si>
  <si>
    <t xml:space="preserve">Reexaminada/corregida (C)  </t>
  </si>
  <si>
    <t>Innovación práctica (Y)</t>
  </si>
  <si>
    <t>Nivel de madurez tecnológica</t>
  </si>
  <si>
    <t>Tecnología en desarrollo (A)</t>
  </si>
  <si>
    <t>Tecnología validada y concedida (B)</t>
  </si>
  <si>
    <t>Innovación incremental/práctica (U)</t>
  </si>
  <si>
    <t>Orientación de la innovación</t>
  </si>
  <si>
    <t>Enfoque Aplicado</t>
  </si>
  <si>
    <t>Soluciones de ingeniería rápida</t>
  </si>
  <si>
    <t>Dispositivos</t>
  </si>
  <si>
    <t>Sensores</t>
  </si>
  <si>
    <t>Mejoras instrumentales</t>
  </si>
  <si>
    <t>“U” → innovación incremental</t>
  </si>
  <si>
    <t>Nivel de innovación</t>
  </si>
  <si>
    <t>“B” → innovación consolidada</t>
  </si>
  <si>
    <r>
      <t xml:space="preserve">Si el campo aún está explorando </t>
    </r>
    <r>
      <rPr>
        <b/>
        <i/>
        <sz val="11"/>
        <color rgb="FFFF0000"/>
        <rFont val="Aptos Narrow"/>
        <family val="2"/>
        <scheme val="minor"/>
      </rPr>
      <t>soluciones prácticas</t>
    </r>
    <r>
      <rPr>
        <i/>
        <sz val="11"/>
        <color rgb="FFFF0000"/>
        <rFont val="Aptos Narrow"/>
        <family val="2"/>
        <scheme val="minor"/>
      </rPr>
      <t xml:space="preserve"> o si ya existen </t>
    </r>
    <r>
      <rPr>
        <b/>
        <i/>
        <sz val="11"/>
        <color rgb="FFFF0000"/>
        <rFont val="Aptos Narrow"/>
        <family val="2"/>
        <scheme val="minor"/>
      </rPr>
      <t>arquitecturas maduras y consolidadas (disruptiva)</t>
    </r>
    <r>
      <rPr>
        <i/>
        <sz val="11"/>
        <color rgb="FFFF0000"/>
        <rFont val="Aptos Narrow"/>
        <family val="2"/>
        <scheme val="minor"/>
      </rPr>
      <t>.</t>
    </r>
  </si>
  <si>
    <t>Sectores por país</t>
  </si>
  <si>
    <t>Dominio industrial y manufactura IoT</t>
  </si>
  <si>
    <t>Electrónica y telecomunicaciones</t>
  </si>
  <si>
    <t>Plataformas cloud y software</t>
  </si>
  <si>
    <t>Regulación y sostenibilidad</t>
  </si>
  <si>
    <t>Áreas de posible aplicación</t>
  </si>
  <si>
    <t>En términos de: 
soberanía tecnológica, competencia industrial y transición digital del agua.</t>
  </si>
  <si>
    <t>Elementos potenciadores de patentes</t>
  </si>
  <si>
    <t>Sensores inteligentes, LoRa/5G, edge computing, IA para agua, digital twins, control predictivo, seguridad IoT, blockchain hídrico.</t>
  </si>
  <si>
    <t>Clase</t>
  </si>
  <si>
    <t>Área</t>
  </si>
  <si>
    <t>G06F</t>
  </si>
  <si>
    <t>Computación</t>
  </si>
  <si>
    <t>H04W</t>
  </si>
  <si>
    <t>Redes inalámbricas</t>
  </si>
  <si>
    <t>G01N</t>
  </si>
  <si>
    <t>Sensores/análisis</t>
  </si>
  <si>
    <t>E03B</t>
  </si>
  <si>
    <t>Sistemas de agua</t>
  </si>
  <si>
    <t>G05B</t>
  </si>
  <si>
    <t>Control automático</t>
  </si>
  <si>
    <t>Clasificación tecnológica (IPC/CPC)</t>
  </si>
  <si>
    <t>Código CPC</t>
  </si>
  <si>
    <t>Porcentaje</t>
  </si>
  <si>
    <t>Sector Tecnológico</t>
  </si>
  <si>
    <t>G06Q</t>
  </si>
  <si>
    <t>Software de Negocios</t>
  </si>
  <si>
    <t>Computación General</t>
  </si>
  <si>
    <t>Y02A</t>
  </si>
  <si>
    <t>Tecnologías Limpias / Clima</t>
  </si>
  <si>
    <t>G06N</t>
  </si>
  <si>
    <t>Inteligencia Artificial</t>
  </si>
  <si>
    <t>G08B</t>
  </si>
  <si>
    <t>Sistemas de Alarma</t>
  </si>
  <si>
    <t>Sensores Químicos</t>
  </si>
  <si>
    <t>G01D</t>
  </si>
  <si>
    <t>Sensores de Medición</t>
  </si>
  <si>
    <t>H04L</t>
  </si>
  <si>
    <t>Redes y Datos</t>
  </si>
  <si>
    <t>G16Y</t>
  </si>
  <si>
    <t>Internet de las Cosas (IoT)</t>
  </si>
  <si>
    <t>Y02P</t>
  </si>
  <si>
    <t>Producción Sostenible</t>
  </si>
  <si>
    <t>E02D</t>
  </si>
  <si>
    <t>Obras de Tierra / Cimientos</t>
  </si>
  <si>
    <t>G06T</t>
  </si>
  <si>
    <t>Procesamiento de Imágenes</t>
  </si>
  <si>
    <t>Redes Inalámbricas</t>
  </si>
  <si>
    <t>A01G</t>
  </si>
  <si>
    <t>Agricultura / Riego</t>
  </si>
  <si>
    <t>Sistemas de Control</t>
  </si>
  <si>
    <t>C02F</t>
  </si>
  <si>
    <t>Tratamiento de Agua</t>
  </si>
  <si>
    <t>Infraestructura Hídrica</t>
  </si>
  <si>
    <t>G01F</t>
  </si>
  <si>
    <t>Medidores de Flujo</t>
  </si>
  <si>
    <t>G06V</t>
  </si>
  <si>
    <t>Visión Computacional</t>
  </si>
  <si>
    <t>Medición de magnitudes no especificadas en otros lugares; telemetría,</t>
  </si>
  <si>
    <t>Grupos reducidos</t>
  </si>
  <si>
    <t>Gestión Inteligente del Agua</t>
  </si>
  <si>
    <t>Códigos</t>
  </si>
  <si>
    <t>E03B, G01F, G01N</t>
  </si>
  <si>
    <t xml:space="preserve">Transmisión inalámbrica por IoT </t>
  </si>
  <si>
    <t>G16Y, H04W, H04L</t>
  </si>
  <si>
    <t>Procesamiento inteligente con IA para la sostenibilidad</t>
  </si>
  <si>
    <t>G06N, Y02A, G06F</t>
  </si>
  <si>
    <t xml:space="preserve">Software comercial para control de alertas o cobro del recurso </t>
  </si>
  <si>
    <t>G06Q, G08B</t>
  </si>
  <si>
    <t>Aporte Porcentual</t>
  </si>
  <si>
    <t>Y02P, E02D, G06T, A01G, C02F, G06V</t>
  </si>
  <si>
    <t>Plataformas comerciales para facturación de agua, gestión logística o administración del recurso.</t>
  </si>
  <si>
    <t>El núcleo informático, bases de datos y algoritmos de procesamiento de la información capturada.</t>
  </si>
  <si>
    <t>Monitoreo y preservación de recursos hídricos frente a la escasez y crisis climática.</t>
  </si>
  <si>
    <t>Algoritmos predictivos para calcular niveles de agua futuros o detectar anomalías automáticamente.</t>
  </si>
  <si>
    <t>Alertas automáticas en caso de fugas, sobreexplotación, inundaciones o niveles críticos de agua.</t>
  </si>
  <si>
    <t>Análisis automatizado de la calidad del agua (sensores de pH, contaminantes, salinidad).</t>
  </si>
  <si>
    <t>Arquitectura de red y enrutamiento seguro de los datos desde el sensor hasta la nube.</t>
  </si>
  <si>
    <t>Conectividad e infraestructura integral para interconectar sensores de agua en tiempo real.</t>
  </si>
  <si>
    <t>Procesos industriales eficientes para el tratamiento o el uso responsable del agua.</t>
  </si>
  <si>
    <t>Estructuras físicas del pozo, obras civiles para contención de aguas subterráneas o excavación profunda.</t>
  </si>
  <si>
    <t>Uso de mapas satelitales o visión computacional para mapear visualmente la humedad del suelo o acuíferos.</t>
  </si>
  <si>
    <t>Tecnologías como LoRaWAN, NB-IoT o redes celulares para enviar datos sin cables en zonas remotas.</t>
  </si>
  <si>
    <t>Sistemas de riego inteligente que se activan según la disponibilidad del acuífero monitorizado.</t>
  </si>
  <si>
    <t>Control automático de electroválvulas y bombas hídricas según la analítica del sistema.</t>
  </si>
  <si>
    <t>Purificación, desalinización o procesos químicos para hacer el agua extraída apta para el consumo o riego.</t>
  </si>
  <si>
    <t>El diseño y operación física de la red de captación del acuífero y su distribución.</t>
  </si>
  <si>
    <t>Sensores específicos de caudal para saber exactamente cuántos litros por segundo se están extrayendo.</t>
  </si>
  <si>
    <t>Algoritmos de IA para reconocer patrones visuales en terrenos, fugas visibles o teledetección.</t>
  </si>
  <si>
    <t>Aplicación en el Contexto de Agua/IoT</t>
  </si>
  <si>
    <t>Documento traducido o validación internacional  (T)</t>
  </si>
  <si>
    <t>Porcentajes</t>
  </si>
  <si>
    <t xml:space="preserve">Inglés </t>
  </si>
  <si>
    <t>Códigos patente</t>
  </si>
  <si>
    <t>Procesos industriales eficientes para el tratamiento o el uso responsable del agua, Estructuras físicas del pozo, obras civiles para contención de aguas subterráneas o excavación profunda, Uso de mapas satelitales o visión computacional para mapear visualmente la humedad del suelo o acuíferos.</t>
  </si>
  <si>
    <t>Aporte</t>
  </si>
  <si>
    <t>Gestión Inteligente del Agua       (17%)</t>
  </si>
  <si>
    <t>Transmisión inalámbrica por IoT    (13,1%)</t>
  </si>
  <si>
    <t>Procesamiento inteligente con IA para la sostenibilidad  (31,9%)</t>
  </si>
  <si>
    <t>Software comercial control de alertas o cobro del recurso  (22%)</t>
  </si>
  <si>
    <t># Patentes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</si>
</sst>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7030A0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color theme="6"/>
      <name val="Aptos Narrow"/>
      <family val="2"/>
      <scheme val="minor"/>
    </font>
    <font>
      <sz val="11"/>
      <color theme="5"/>
      <name val="Aptos Narrow"/>
      <family val="2"/>
      <scheme val="minor"/>
    </font>
    <font>
      <sz val="11"/>
      <color theme="4"/>
      <name val="Aptos Narrow"/>
      <family val="2"/>
      <scheme val="minor"/>
    </font>
    <font>
      <sz val="11"/>
      <color theme="8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rgb="FF000000"/>
      <name val="Aptos Narrow"/>
      <family val="2"/>
    </font>
    <font>
      <b/>
      <sz val="11"/>
      <color rgb="FF0E2841"/>
      <name val="Aptos Narrow"/>
      <family val="2"/>
    </font>
    <font>
      <sz val="11"/>
      <color rgb="FF3C7D22"/>
      <name val="Aptos Narrow"/>
      <family val="2"/>
    </font>
    <font>
      <sz val="11"/>
      <color rgb="FF7030A0"/>
      <name val="Aptos Narrow"/>
      <family val="2"/>
    </font>
    <font>
      <sz val="11"/>
      <color rgb="FF0E2841"/>
      <name val="Aptos Narrow"/>
      <family val="2"/>
    </font>
    <font>
      <sz val="11"/>
      <color rgb="FFFF0000"/>
      <name val="Aptos Narrow"/>
      <family val="2"/>
    </font>
    <font>
      <sz val="11"/>
      <color rgb="FF156082"/>
      <name val="Aptos Narrow"/>
      <family val="2"/>
    </font>
    <font>
      <sz val="11"/>
      <color rgb="FF196B24"/>
      <name val="Aptos Narrow"/>
      <family val="2"/>
    </font>
    <font>
      <b/>
      <u/>
      <sz val="11"/>
      <color theme="1"/>
      <name val="Aptos Narrow"/>
      <family val="2"/>
    </font>
    <font>
      <b/>
      <sz val="11"/>
      <color theme="4"/>
      <name val="Aptos Narrow"/>
      <family val="2"/>
      <scheme val="minor"/>
    </font>
    <font>
      <b/>
      <sz val="11"/>
      <color rgb="FF3C7D22"/>
      <name val="Aptos Narrow"/>
      <family val="2"/>
    </font>
    <font>
      <i/>
      <sz val="11"/>
      <color rgb="FFFF0000"/>
      <name val="Aptos Narrow"/>
      <family val="2"/>
      <scheme val="minor"/>
    </font>
    <font>
      <b/>
      <i/>
      <sz val="11"/>
      <color rgb="FFFF0000"/>
      <name val="Aptos Narrow"/>
      <family val="2"/>
      <scheme val="minor"/>
    </font>
    <font>
      <b/>
      <sz val="11"/>
      <color rgb="FF7030A0"/>
      <name val="Aptos Narrow"/>
      <family val="2"/>
      <scheme val="minor"/>
    </font>
    <font>
      <i/>
      <sz val="11"/>
      <color rgb="FF7030A0"/>
      <name val="Aptos Narrow"/>
      <family val="2"/>
      <scheme val="minor"/>
    </font>
    <font>
      <b/>
      <sz val="11"/>
      <name val="Calibri"/>
      <family val="2"/>
    </font>
    <font>
      <sz val="11"/>
      <color rgb="FF00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color theme="6" tint="-0.249977111117893"/>
      <name val="Aptos Narrow"/>
      <family val="2"/>
      <scheme val="minor"/>
    </font>
    <font>
      <b/>
      <sz val="11"/>
      <color theme="6" tint="-0.249977111117893"/>
      <name val="Aptos Narrow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8">
    <xf numFmtId="0" fontId="0" fillId="0" borderId="0" xfId="0"/>
    <xf numFmtId="14" fontId="0" fillId="0" borderId="0" xfId="0" applyNumberFormat="1"/>
    <xf numFmtId="0" fontId="14" fillId="0" borderId="0" xfId="0" applyFont="1"/>
    <xf numFmtId="14" fontId="14" fillId="0" borderId="0" xfId="0" applyNumberFormat="1" applyFont="1"/>
    <xf numFmtId="0" fontId="0" fillId="0" borderId="0" xfId="0" applyAlignment="1">
      <alignment horizontal="center" vertical="center"/>
    </xf>
    <xf numFmtId="14" fontId="18" fillId="0" borderId="0" xfId="0" applyNumberFormat="1" applyFont="1"/>
    <xf numFmtId="0" fontId="0" fillId="33" borderId="0" xfId="0" applyFill="1"/>
    <xf numFmtId="0" fontId="14" fillId="33" borderId="0" xfId="0" applyFont="1" applyFill="1"/>
    <xf numFmtId="0" fontId="18" fillId="33" borderId="0" xfId="0" applyFont="1" applyFill="1"/>
    <xf numFmtId="0" fontId="19" fillId="33" borderId="0" xfId="0" applyFont="1" applyFill="1"/>
    <xf numFmtId="0" fontId="20" fillId="33" borderId="0" xfId="0" applyFont="1" applyFill="1"/>
    <xf numFmtId="0" fontId="21" fillId="33" borderId="0" xfId="0" applyFont="1" applyFill="1"/>
    <xf numFmtId="0" fontId="22" fillId="33" borderId="0" xfId="0" applyFont="1" applyFill="1"/>
    <xf numFmtId="0" fontId="23" fillId="33" borderId="0" xfId="0" applyFont="1" applyFill="1"/>
    <xf numFmtId="0" fontId="0" fillId="34" borderId="0" xfId="0" applyFill="1"/>
    <xf numFmtId="0" fontId="14" fillId="34" borderId="0" xfId="0" applyFont="1" applyFill="1"/>
    <xf numFmtId="0" fontId="0" fillId="35" borderId="0" xfId="0" applyFill="1"/>
    <xf numFmtId="0" fontId="14" fillId="35" borderId="0" xfId="0" applyFont="1" applyFill="1"/>
    <xf numFmtId="0" fontId="0" fillId="36" borderId="0" xfId="0" applyFill="1"/>
    <xf numFmtId="0" fontId="14" fillId="36" borderId="0" xfId="0" applyFont="1" applyFill="1"/>
    <xf numFmtId="0" fontId="0" fillId="37" borderId="0" xfId="0" applyFill="1"/>
    <xf numFmtId="0" fontId="14" fillId="37" borderId="0" xfId="0" applyFont="1" applyFill="1"/>
    <xf numFmtId="0" fontId="0" fillId="0" borderId="10" xfId="0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24" fillId="0" borderId="0" xfId="0" applyFont="1"/>
    <xf numFmtId="0" fontId="25" fillId="38" borderId="10" xfId="0" applyFont="1" applyFill="1" applyBorder="1" applyAlignment="1">
      <alignment horizontal="center" vertical="center"/>
    </xf>
    <xf numFmtId="0" fontId="26" fillId="39" borderId="10" xfId="0" applyFont="1" applyFill="1" applyBorder="1" applyAlignment="1">
      <alignment horizontal="center" vertical="center"/>
    </xf>
    <xf numFmtId="0" fontId="28" fillId="0" borderId="10" xfId="0" applyFont="1" applyBorder="1"/>
    <xf numFmtId="0" fontId="24" fillId="38" borderId="10" xfId="0" applyFont="1" applyFill="1" applyBorder="1" applyAlignment="1">
      <alignment horizontal="center" vertical="center"/>
    </xf>
    <xf numFmtId="0" fontId="29" fillId="39" borderId="10" xfId="0" applyFont="1" applyFill="1" applyBorder="1" applyAlignment="1">
      <alignment horizontal="center" vertical="center"/>
    </xf>
    <xf numFmtId="164" fontId="27" fillId="0" borderId="10" xfId="1" applyNumberFormat="1" applyFont="1" applyFill="1" applyBorder="1" applyAlignment="1">
      <alignment horizontal="center" vertical="center"/>
    </xf>
    <xf numFmtId="0" fontId="30" fillId="0" borderId="10" xfId="0" applyFont="1" applyBorder="1"/>
    <xf numFmtId="0" fontId="24" fillId="0" borderId="10" xfId="0" applyFont="1" applyBorder="1" applyAlignment="1">
      <alignment horizontal="center" vertical="center"/>
    </xf>
    <xf numFmtId="0" fontId="31" fillId="0" borderId="10" xfId="0" applyFont="1" applyBorder="1"/>
    <xf numFmtId="0" fontId="32" fillId="0" borderId="10" xfId="0" applyFont="1" applyBorder="1"/>
    <xf numFmtId="0" fontId="24" fillId="0" borderId="10" xfId="0" applyFont="1" applyBorder="1"/>
    <xf numFmtId="0" fontId="28" fillId="0" borderId="10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164" fontId="25" fillId="0" borderId="11" xfId="1" applyNumberFormat="1" applyFont="1" applyFill="1" applyBorder="1" applyAlignment="1">
      <alignment horizontal="center" vertical="center"/>
    </xf>
    <xf numFmtId="164" fontId="30" fillId="41" borderId="10" xfId="1" applyNumberFormat="1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right"/>
    </xf>
    <xf numFmtId="0" fontId="33" fillId="0" borderId="10" xfId="0" applyFont="1" applyBorder="1" applyAlignment="1">
      <alignment horizontal="center" vertical="center"/>
    </xf>
    <xf numFmtId="17" fontId="0" fillId="0" borderId="10" xfId="0" applyNumberFormat="1" applyBorder="1" applyAlignment="1">
      <alignment horizontal="center" vertical="center"/>
    </xf>
    <xf numFmtId="0" fontId="34" fillId="0" borderId="10" xfId="0" applyFont="1" applyBorder="1" applyAlignment="1">
      <alignment horizontal="center" vertical="center"/>
    </xf>
    <xf numFmtId="0" fontId="35" fillId="40" borderId="10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0" xfId="0" applyBorder="1"/>
    <xf numFmtId="0" fontId="16" fillId="0" borderId="10" xfId="0" applyFont="1" applyBorder="1"/>
    <xf numFmtId="0" fontId="0" fillId="0" borderId="12" xfId="0" applyBorder="1"/>
    <xf numFmtId="0" fontId="16" fillId="0" borderId="0" xfId="0" applyFont="1"/>
    <xf numFmtId="0" fontId="0" fillId="0" borderId="0" xfId="0" applyAlignment="1">
      <alignment horizontal="left"/>
    </xf>
    <xf numFmtId="0" fontId="0" fillId="0" borderId="10" xfId="0" applyBorder="1" applyAlignment="1">
      <alignment horizontal="left" vertical="center"/>
    </xf>
    <xf numFmtId="0" fontId="0" fillId="0" borderId="10" xfId="0" applyBorder="1" applyAlignment="1">
      <alignment horizontal="left"/>
    </xf>
    <xf numFmtId="0" fontId="16" fillId="0" borderId="0" xfId="0" applyFont="1" applyAlignment="1">
      <alignment horizontal="center"/>
    </xf>
    <xf numFmtId="0" fontId="39" fillId="0" borderId="0" xfId="0" applyFont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40" fillId="0" borderId="10" xfId="0" applyFont="1" applyBorder="1" applyAlignment="1">
      <alignment horizontal="center" vertical="top"/>
    </xf>
    <xf numFmtId="10" fontId="0" fillId="0" borderId="0" xfId="0" applyNumberFormat="1"/>
    <xf numFmtId="10" fontId="0" fillId="0" borderId="0" xfId="0" applyNumberFormat="1" applyAlignment="1">
      <alignment horizontal="center" vertical="center"/>
    </xf>
    <xf numFmtId="0" fontId="18" fillId="0" borderId="0" xfId="0" applyFont="1"/>
    <xf numFmtId="10" fontId="18" fillId="0" borderId="0" xfId="0" applyNumberFormat="1" applyFont="1" applyAlignment="1">
      <alignment horizontal="center" vertical="center"/>
    </xf>
    <xf numFmtId="10" fontId="14" fillId="0" borderId="0" xfId="0" applyNumberFormat="1" applyFont="1" applyAlignment="1">
      <alignment horizontal="center" vertical="center"/>
    </xf>
    <xf numFmtId="10" fontId="19" fillId="0" borderId="0" xfId="0" applyNumberFormat="1" applyFont="1" applyAlignment="1">
      <alignment horizontal="center" vertical="center"/>
    </xf>
    <xf numFmtId="10" fontId="45" fillId="0" borderId="0" xfId="0" applyNumberFormat="1" applyFont="1" applyAlignment="1">
      <alignment horizontal="center" vertical="center"/>
    </xf>
    <xf numFmtId="0" fontId="0" fillId="42" borderId="0" xfId="0" applyFill="1"/>
    <xf numFmtId="0" fontId="16" fillId="0" borderId="0" xfId="0" applyFont="1" applyAlignment="1">
      <alignment horizontal="center" vertical="center"/>
    </xf>
    <xf numFmtId="0" fontId="38" fillId="43" borderId="10" xfId="0" applyFont="1" applyFill="1" applyBorder="1" applyAlignment="1">
      <alignment horizontal="center"/>
    </xf>
    <xf numFmtId="0" fontId="42" fillId="0" borderId="10" xfId="0" applyFont="1" applyBorder="1" applyAlignment="1">
      <alignment horizontal="center" vertical="center"/>
    </xf>
    <xf numFmtId="9" fontId="0" fillId="0" borderId="10" xfId="0" applyNumberFormat="1" applyBorder="1" applyAlignment="1">
      <alignment horizontal="center" vertical="center"/>
    </xf>
    <xf numFmtId="0" fontId="43" fillId="0" borderId="10" xfId="0" applyFont="1" applyBorder="1" applyAlignment="1">
      <alignment horizontal="center" vertical="center"/>
    </xf>
    <xf numFmtId="10" fontId="0" fillId="0" borderId="10" xfId="0" applyNumberFormat="1" applyBorder="1" applyAlignment="1">
      <alignment horizontal="center" vertical="center"/>
    </xf>
    <xf numFmtId="10" fontId="38" fillId="0" borderId="0" xfId="0" applyNumberFormat="1" applyFont="1" applyAlignment="1">
      <alignment horizontal="center"/>
    </xf>
    <xf numFmtId="9" fontId="0" fillId="0" borderId="0" xfId="0" applyNumberFormat="1"/>
    <xf numFmtId="0" fontId="0" fillId="0" borderId="15" xfId="0" applyBorder="1" applyAlignment="1">
      <alignment horizontal="left" wrapText="1"/>
    </xf>
    <xf numFmtId="0" fontId="0" fillId="0" borderId="17" xfId="0" applyBorder="1" applyAlignment="1">
      <alignment horizontal="left" wrapText="1"/>
    </xf>
    <xf numFmtId="0" fontId="0" fillId="0" borderId="18" xfId="0" applyBorder="1" applyAlignment="1">
      <alignment horizontal="left" wrapText="1"/>
    </xf>
    <xf numFmtId="0" fontId="0" fillId="0" borderId="19" xfId="0" applyBorder="1" applyAlignment="1">
      <alignment horizontal="left" wrapText="1"/>
    </xf>
    <xf numFmtId="0" fontId="36" fillId="0" borderId="0" xfId="0" applyFont="1" applyAlignment="1">
      <alignment vertical="center" wrapText="1"/>
    </xf>
    <xf numFmtId="0" fontId="45" fillId="0" borderId="0" xfId="0" applyFont="1" applyAlignment="1">
      <alignment horizontal="center" vertical="center"/>
    </xf>
    <xf numFmtId="0" fontId="47" fillId="0" borderId="0" xfId="0" applyFont="1" applyAlignment="1">
      <alignment horizontal="center" vertical="center"/>
    </xf>
    <xf numFmtId="10" fontId="47" fillId="0" borderId="10" xfId="1" applyNumberFormat="1" applyFont="1" applyBorder="1" applyAlignment="1">
      <alignment horizontal="center" vertical="center"/>
    </xf>
    <xf numFmtId="0" fontId="46" fillId="0" borderId="10" xfId="0" applyFont="1" applyBorder="1" applyAlignment="1">
      <alignment horizontal="center" vertical="center"/>
    </xf>
    <xf numFmtId="0" fontId="16" fillId="37" borderId="10" xfId="0" applyFont="1" applyFill="1" applyBorder="1" applyAlignment="1">
      <alignment horizontal="center" vertical="center"/>
    </xf>
    <xf numFmtId="0" fontId="45" fillId="0" borderId="0" xfId="0" applyFont="1"/>
    <xf numFmtId="0" fontId="23" fillId="0" borderId="0" xfId="0" applyFont="1"/>
    <xf numFmtId="0" fontId="19" fillId="0" borderId="0" xfId="0" applyFont="1"/>
    <xf numFmtId="0" fontId="14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45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64" fontId="14" fillId="0" borderId="10" xfId="0" applyNumberFormat="1" applyFont="1" applyBorder="1" applyAlignment="1">
      <alignment horizontal="center" vertical="center"/>
    </xf>
    <xf numFmtId="164" fontId="19" fillId="0" borderId="10" xfId="0" applyNumberFormat="1" applyFont="1" applyBorder="1" applyAlignment="1">
      <alignment horizontal="center" vertical="center"/>
    </xf>
    <xf numFmtId="164" fontId="45" fillId="0" borderId="10" xfId="0" applyNumberFormat="1" applyFont="1" applyBorder="1" applyAlignment="1">
      <alignment horizontal="center" vertical="center"/>
    </xf>
    <xf numFmtId="164" fontId="18" fillId="0" borderId="10" xfId="0" applyNumberFormat="1" applyFont="1" applyBorder="1" applyAlignment="1">
      <alignment horizontal="center" vertical="center"/>
    </xf>
    <xf numFmtId="0" fontId="47" fillId="0" borderId="10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10" fontId="47" fillId="0" borderId="10" xfId="1" applyNumberFormat="1" applyFont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0" fillId="0" borderId="10" xfId="0" applyBorder="1" applyAlignment="1">
      <alignment horizontal="left" wrapText="1"/>
    </xf>
    <xf numFmtId="0" fontId="36" fillId="0" borderId="0" xfId="0" applyFont="1" applyAlignment="1">
      <alignment horizontal="center" vertical="center" wrapText="1"/>
    </xf>
    <xf numFmtId="0" fontId="36" fillId="0" borderId="20" xfId="0" applyFont="1" applyBorder="1" applyAlignment="1">
      <alignment horizontal="center" vertical="center" wrapText="1"/>
    </xf>
    <xf numFmtId="0" fontId="46" fillId="0" borderId="10" xfId="0" applyFont="1" applyBorder="1" applyAlignment="1">
      <alignment horizontal="center" vertical="center" wrapText="1"/>
    </xf>
    <xf numFmtId="0" fontId="0" fillId="0" borderId="13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16" fillId="0" borderId="13" xfId="0" applyFont="1" applyBorder="1" applyAlignment="1">
      <alignment horizontal="center"/>
    </xf>
    <xf numFmtId="0" fontId="16" fillId="0" borderId="11" xfId="0" applyFont="1" applyBorder="1" applyAlignment="1">
      <alignment horizontal="center"/>
    </xf>
    <xf numFmtId="0" fontId="45" fillId="0" borderId="0" xfId="0" applyFont="1" applyAlignment="1">
      <alignment horizontal="center" vertical="center"/>
    </xf>
    <xf numFmtId="0" fontId="16" fillId="0" borderId="10" xfId="0" applyFont="1" applyBorder="1" applyAlignment="1">
      <alignment horizontal="center" wrapText="1"/>
    </xf>
    <xf numFmtId="0" fontId="16" fillId="0" borderId="12" xfId="0" applyFont="1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5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43" fillId="0" borderId="12" xfId="0" applyFont="1" applyBorder="1" applyAlignment="1">
      <alignment horizontal="center" vertical="center" wrapText="1"/>
    </xf>
    <xf numFmtId="0" fontId="43" fillId="0" borderId="14" xfId="0" applyFont="1" applyBorder="1" applyAlignment="1">
      <alignment horizontal="center" vertical="center" wrapText="1"/>
    </xf>
    <xf numFmtId="0" fontId="43" fillId="0" borderId="16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47" fillId="0" borderId="2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44" fillId="0" borderId="10" xfId="0" applyFont="1" applyBorder="1" applyAlignment="1">
      <alignment horizontal="left" vertical="center" wrapText="1"/>
    </xf>
    <xf numFmtId="0" fontId="38" fillId="0" borderId="10" xfId="0" applyFont="1" applyBorder="1" applyAlignment="1">
      <alignment horizontal="left" wrapText="1"/>
    </xf>
    <xf numFmtId="0" fontId="18" fillId="0" borderId="10" xfId="0" applyFont="1" applyBorder="1" applyAlignment="1">
      <alignment horizontal="center" vertical="center"/>
    </xf>
    <xf numFmtId="0" fontId="45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9" fontId="0" fillId="0" borderId="10" xfId="0" applyNumberFormat="1" applyBorder="1" applyAlignment="1">
      <alignment horizontal="center" vertical="center"/>
    </xf>
    <xf numFmtId="0" fontId="42" fillId="0" borderId="12" xfId="0" applyFont="1" applyBorder="1" applyAlignment="1">
      <alignment horizontal="center" vertical="center" wrapText="1"/>
    </xf>
    <xf numFmtId="0" fontId="42" fillId="0" borderId="14" xfId="0" applyFont="1" applyBorder="1" applyAlignment="1">
      <alignment horizontal="center" vertical="center" wrapText="1"/>
    </xf>
    <xf numFmtId="0" fontId="42" fillId="0" borderId="16" xfId="0" applyFont="1" applyBorder="1" applyAlignment="1">
      <alignment horizontal="center" vertical="center" wrapText="1"/>
    </xf>
    <xf numFmtId="0" fontId="41" fillId="0" borderId="10" xfId="0" applyFont="1" applyBorder="1" applyAlignment="1">
      <alignment horizontal="left" vertical="center" wrapText="1"/>
    </xf>
    <xf numFmtId="0" fontId="44" fillId="0" borderId="10" xfId="0" applyFont="1" applyBorder="1" applyAlignment="1">
      <alignment horizontal="center" vertical="center"/>
    </xf>
    <xf numFmtId="0" fontId="38" fillId="0" borderId="10" xfId="0" applyFont="1" applyBorder="1" applyAlignment="1">
      <alignment horizontal="center" vertical="center"/>
    </xf>
    <xf numFmtId="10" fontId="0" fillId="0" borderId="12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Neutral" xfId="9" builtinId="28" customBuiltin="1"/>
    <cellStyle name="Normal" xfId="0" builtinId="0"/>
    <cellStyle name="Notas" xfId="16" builtinId="10" customBuiltin="1"/>
    <cellStyle name="Porcentaje" xfId="1" builtinId="5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Resumen!$B$2</c:f>
              <c:strCache>
                <c:ptCount val="1"/>
                <c:pt idx="0">
                  <c:v>Fecha de Concesión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Pt>
            <c:idx val="5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bg2">
                    <a:lumMod val="10000"/>
                  </a:schemeClr>
                </a:solidFill>
              </a:ln>
              <a:effectLst/>
              <a:sp3d>
                <a:contourClr>
                  <a:schemeClr val="bg2">
                    <a:lumMod val="1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BCC-4FAD-BB58-7744D13F17FF}"/>
              </c:ext>
            </c:extLst>
          </c:dPt>
          <c:cat>
            <c:numRef>
              <c:f>Resumen!$A$3:$A$9</c:f>
              <c:numCache>
                <c:formatCode>General</c:formatCode>
                <c:ptCount val="7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 formatCode="mmm\-yy">
                  <c:v>46113</c:v>
                </c:pt>
              </c:numCache>
            </c:numRef>
          </c:cat>
          <c:val>
            <c:numRef>
              <c:f>Resumen!$B$3:$B$9</c:f>
              <c:numCache>
                <c:formatCode>General</c:formatCode>
                <c:ptCount val="7"/>
                <c:pt idx="0">
                  <c:v>28</c:v>
                </c:pt>
                <c:pt idx="1">
                  <c:v>138</c:v>
                </c:pt>
                <c:pt idx="2">
                  <c:v>95</c:v>
                </c:pt>
                <c:pt idx="3">
                  <c:v>127</c:v>
                </c:pt>
                <c:pt idx="4">
                  <c:v>177</c:v>
                </c:pt>
                <c:pt idx="5">
                  <c:v>263</c:v>
                </c:pt>
                <c:pt idx="6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CC-4FAD-BB58-7744D13F17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16621775"/>
        <c:axId val="1216611215"/>
        <c:axId val="1285833807"/>
      </c:bar3DChart>
      <c:catAx>
        <c:axId val="1216621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16611215"/>
        <c:crosses val="autoZero"/>
        <c:auto val="1"/>
        <c:lblAlgn val="ctr"/>
        <c:lblOffset val="100"/>
        <c:noMultiLvlLbl val="0"/>
      </c:catAx>
      <c:valAx>
        <c:axId val="1216611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16621775"/>
        <c:crosses val="autoZero"/>
        <c:crossBetween val="between"/>
      </c:valAx>
      <c:serAx>
        <c:axId val="1285833807"/>
        <c:scaling>
          <c:orientation val="minMax"/>
        </c:scaling>
        <c:delete val="1"/>
        <c:axPos val="b"/>
        <c:majorTickMark val="none"/>
        <c:minorTickMark val="none"/>
        <c:tickLblPos val="nextTo"/>
        <c:crossAx val="1216611215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Resumen!$A$21</c:f>
              <c:strCache>
                <c:ptCount val="1"/>
                <c:pt idx="0">
                  <c:v>Urban Water</c:v>
                </c:pt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Resumen!$B$20:$H$20</c:f>
              <c:numCache>
                <c:formatCode>General</c:formatCode>
                <c:ptCount val="7"/>
                <c:pt idx="0">
                  <c:v>2026</c:v>
                </c:pt>
                <c:pt idx="1">
                  <c:v>2025</c:v>
                </c:pt>
                <c:pt idx="2">
                  <c:v>2024</c:v>
                </c:pt>
                <c:pt idx="3">
                  <c:v>2023</c:v>
                </c:pt>
                <c:pt idx="4">
                  <c:v>2022</c:v>
                </c:pt>
                <c:pt idx="5">
                  <c:v>2021</c:v>
                </c:pt>
                <c:pt idx="6">
                  <c:v>2020</c:v>
                </c:pt>
              </c:numCache>
            </c:numRef>
          </c:xVal>
          <c:yVal>
            <c:numRef>
              <c:f>Resumen!$B$21:$H$21</c:f>
              <c:numCache>
                <c:formatCode>General</c:formatCode>
                <c:ptCount val="7"/>
                <c:pt idx="0">
                  <c:v>28</c:v>
                </c:pt>
                <c:pt idx="1">
                  <c:v>57</c:v>
                </c:pt>
                <c:pt idx="2">
                  <c:v>41</c:v>
                </c:pt>
                <c:pt idx="3">
                  <c:v>34</c:v>
                </c:pt>
                <c:pt idx="4">
                  <c:v>24</c:v>
                </c:pt>
                <c:pt idx="5">
                  <c:v>36</c:v>
                </c:pt>
                <c:pt idx="6">
                  <c:v>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E69-42EC-8343-A5ED505EA571}"/>
            </c:ext>
          </c:extLst>
        </c:ser>
        <c:ser>
          <c:idx val="1"/>
          <c:order val="1"/>
          <c:tx>
            <c:strRef>
              <c:f>Resumen!$A$22</c:f>
              <c:strCache>
                <c:ptCount val="1"/>
                <c:pt idx="0">
                  <c:v>Groundwater 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Resumen!$B$20:$H$20</c:f>
              <c:numCache>
                <c:formatCode>General</c:formatCode>
                <c:ptCount val="7"/>
                <c:pt idx="0">
                  <c:v>2026</c:v>
                </c:pt>
                <c:pt idx="1">
                  <c:v>2025</c:v>
                </c:pt>
                <c:pt idx="2">
                  <c:v>2024</c:v>
                </c:pt>
                <c:pt idx="3">
                  <c:v>2023</c:v>
                </c:pt>
                <c:pt idx="4">
                  <c:v>2022</c:v>
                </c:pt>
                <c:pt idx="5">
                  <c:v>2021</c:v>
                </c:pt>
                <c:pt idx="6">
                  <c:v>2020</c:v>
                </c:pt>
              </c:numCache>
            </c:numRef>
          </c:xVal>
          <c:yVal>
            <c:numRef>
              <c:f>Resumen!$B$22:$H$22</c:f>
              <c:numCache>
                <c:formatCode>General</c:formatCode>
                <c:ptCount val="7"/>
                <c:pt idx="0">
                  <c:v>21</c:v>
                </c:pt>
                <c:pt idx="1">
                  <c:v>34</c:v>
                </c:pt>
                <c:pt idx="2">
                  <c:v>20</c:v>
                </c:pt>
                <c:pt idx="3">
                  <c:v>22</c:v>
                </c:pt>
                <c:pt idx="4">
                  <c:v>14</c:v>
                </c:pt>
                <c:pt idx="5">
                  <c:v>14</c:v>
                </c:pt>
                <c:pt idx="6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E69-42EC-8343-A5ED505EA571}"/>
            </c:ext>
          </c:extLst>
        </c:ser>
        <c:ser>
          <c:idx val="2"/>
          <c:order val="2"/>
          <c:tx>
            <c:strRef>
              <c:f>Resumen!$A$23</c:f>
              <c:strCache>
                <c:ptCount val="1"/>
                <c:pt idx="0">
                  <c:v>Superficial Water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Resumen!$B$20:$H$20</c:f>
              <c:numCache>
                <c:formatCode>General</c:formatCode>
                <c:ptCount val="7"/>
                <c:pt idx="0">
                  <c:v>2026</c:v>
                </c:pt>
                <c:pt idx="1">
                  <c:v>2025</c:v>
                </c:pt>
                <c:pt idx="2">
                  <c:v>2024</c:v>
                </c:pt>
                <c:pt idx="3">
                  <c:v>2023</c:v>
                </c:pt>
                <c:pt idx="4">
                  <c:v>2022</c:v>
                </c:pt>
                <c:pt idx="5">
                  <c:v>2021</c:v>
                </c:pt>
                <c:pt idx="6">
                  <c:v>2020</c:v>
                </c:pt>
              </c:numCache>
            </c:numRef>
          </c:xVal>
          <c:yVal>
            <c:numRef>
              <c:f>Resumen!$B$23:$H$23</c:f>
              <c:numCache>
                <c:formatCode>General</c:formatCode>
                <c:ptCount val="7"/>
                <c:pt idx="0">
                  <c:v>28</c:v>
                </c:pt>
                <c:pt idx="1">
                  <c:v>69</c:v>
                </c:pt>
                <c:pt idx="2">
                  <c:v>51</c:v>
                </c:pt>
                <c:pt idx="3">
                  <c:v>27</c:v>
                </c:pt>
                <c:pt idx="4">
                  <c:v>29</c:v>
                </c:pt>
                <c:pt idx="5">
                  <c:v>53</c:v>
                </c:pt>
                <c:pt idx="6">
                  <c:v>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E69-42EC-8343-A5ED505EA571}"/>
            </c:ext>
          </c:extLst>
        </c:ser>
        <c:ser>
          <c:idx val="3"/>
          <c:order val="3"/>
          <c:tx>
            <c:strRef>
              <c:f>Resumen!$A$24</c:f>
              <c:strCache>
                <c:ptCount val="1"/>
                <c:pt idx="0">
                  <c:v>Superficial Atmosphere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Resumen!$B$20:$H$20</c:f>
              <c:numCache>
                <c:formatCode>General</c:formatCode>
                <c:ptCount val="7"/>
                <c:pt idx="0">
                  <c:v>2026</c:v>
                </c:pt>
                <c:pt idx="1">
                  <c:v>2025</c:v>
                </c:pt>
                <c:pt idx="2">
                  <c:v>2024</c:v>
                </c:pt>
                <c:pt idx="3">
                  <c:v>2023</c:v>
                </c:pt>
                <c:pt idx="4">
                  <c:v>2022</c:v>
                </c:pt>
                <c:pt idx="5">
                  <c:v>2021</c:v>
                </c:pt>
                <c:pt idx="6">
                  <c:v>2020</c:v>
                </c:pt>
              </c:numCache>
            </c:numRef>
          </c:xVal>
          <c:yVal>
            <c:numRef>
              <c:f>Resumen!$B$24:$H$24</c:f>
              <c:numCache>
                <c:formatCode>General</c:formatCode>
                <c:ptCount val="7"/>
                <c:pt idx="0">
                  <c:v>13</c:v>
                </c:pt>
                <c:pt idx="1">
                  <c:v>31</c:v>
                </c:pt>
                <c:pt idx="2">
                  <c:v>16</c:v>
                </c:pt>
                <c:pt idx="3">
                  <c:v>23</c:v>
                </c:pt>
                <c:pt idx="4">
                  <c:v>11</c:v>
                </c:pt>
                <c:pt idx="5">
                  <c:v>13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E69-42EC-8343-A5ED505EA571}"/>
            </c:ext>
          </c:extLst>
        </c:ser>
        <c:ser>
          <c:idx val="4"/>
          <c:order val="4"/>
          <c:tx>
            <c:strRef>
              <c:f>Resumen!$A$25</c:f>
              <c:strCache>
                <c:ptCount val="1"/>
                <c:pt idx="0">
                  <c:v>Otros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Resumen!$B$20:$H$20</c:f>
              <c:numCache>
                <c:formatCode>General</c:formatCode>
                <c:ptCount val="7"/>
                <c:pt idx="0">
                  <c:v>2026</c:v>
                </c:pt>
                <c:pt idx="1">
                  <c:v>2025</c:v>
                </c:pt>
                <c:pt idx="2">
                  <c:v>2024</c:v>
                </c:pt>
                <c:pt idx="3">
                  <c:v>2023</c:v>
                </c:pt>
                <c:pt idx="4">
                  <c:v>2022</c:v>
                </c:pt>
                <c:pt idx="5">
                  <c:v>2021</c:v>
                </c:pt>
                <c:pt idx="6">
                  <c:v>2020</c:v>
                </c:pt>
              </c:numCache>
            </c:numRef>
          </c:xVal>
          <c:yVal>
            <c:numRef>
              <c:f>Resumen!$B$25:$H$25</c:f>
              <c:numCache>
                <c:formatCode>General</c:formatCode>
                <c:ptCount val="7"/>
                <c:pt idx="0">
                  <c:v>15</c:v>
                </c:pt>
                <c:pt idx="1">
                  <c:v>72</c:v>
                </c:pt>
                <c:pt idx="2">
                  <c:v>49</c:v>
                </c:pt>
                <c:pt idx="3">
                  <c:v>21</c:v>
                </c:pt>
                <c:pt idx="4">
                  <c:v>17</c:v>
                </c:pt>
                <c:pt idx="5">
                  <c:v>22</c:v>
                </c:pt>
                <c:pt idx="6">
                  <c:v>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E69-42EC-8343-A5ED505EA5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6672175"/>
        <c:axId val="1216670735"/>
      </c:scatterChart>
      <c:valAx>
        <c:axId val="1216672175"/>
        <c:scaling>
          <c:orientation val="minMax"/>
          <c:max val="2026"/>
          <c:min val="20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16670735"/>
        <c:crosses val="autoZero"/>
        <c:crossBetween val="midCat"/>
      </c:valAx>
      <c:valAx>
        <c:axId val="1216670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166721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% por ítem en Patentes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  <a:effectLst/>
              <a:sp3d>
                <a:contourClr>
                  <a:schemeClr val="tx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27F-4B4D-95CE-3E868D3337E4}"/>
              </c:ext>
            </c:extLst>
          </c:dPt>
          <c:dLbls>
            <c:dLbl>
              <c:idx val="0"/>
              <c:layout>
                <c:manualLayout>
                  <c:x val="1.1111111111111112E-2"/>
                  <c:y val="-1.85185185185185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27F-4B4D-95CE-3E868D3337E4}"/>
                </c:ext>
              </c:extLst>
            </c:dLbl>
            <c:dLbl>
              <c:idx val="1"/>
              <c:layout>
                <c:manualLayout>
                  <c:x val="1.3888888888888888E-2"/>
                  <c:y val="-1.85185185185185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27F-4B4D-95CE-3E868D3337E4}"/>
                </c:ext>
              </c:extLst>
            </c:dLbl>
            <c:dLbl>
              <c:idx val="2"/>
              <c:layout>
                <c:manualLayout>
                  <c:x val="1.3888888888888888E-2"/>
                  <c:y val="-1.85185185185185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27F-4B4D-95CE-3E868D3337E4}"/>
                </c:ext>
              </c:extLst>
            </c:dLbl>
            <c:dLbl>
              <c:idx val="3"/>
              <c:layout>
                <c:manualLayout>
                  <c:x val="1.3888888888888888E-2"/>
                  <c:y val="-9.259259259259343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27F-4B4D-95CE-3E868D3337E4}"/>
                </c:ext>
              </c:extLst>
            </c:dLbl>
            <c:dLbl>
              <c:idx val="4"/>
              <c:layout>
                <c:manualLayout>
                  <c:x val="1.3888888888888788E-2"/>
                  <c:y val="-1.38888888888889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27F-4B4D-95CE-3E868D3337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Resumen!$A$21:$A$25</c:f>
              <c:strCache>
                <c:ptCount val="5"/>
                <c:pt idx="0">
                  <c:v>Urban Water</c:v>
                </c:pt>
                <c:pt idx="1">
                  <c:v>Groundwater </c:v>
                </c:pt>
                <c:pt idx="2">
                  <c:v>Superficial Water</c:v>
                </c:pt>
                <c:pt idx="3">
                  <c:v>Superficial Atmosphere</c:v>
                </c:pt>
                <c:pt idx="4">
                  <c:v>Otros</c:v>
                </c:pt>
              </c:strCache>
            </c:strRef>
          </c:cat>
          <c:val>
            <c:numRef>
              <c:f>Resumen!$J$21:$J$25</c:f>
              <c:numCache>
                <c:formatCode>0.0%</c:formatCode>
                <c:ptCount val="5"/>
                <c:pt idx="0">
                  <c:v>0.24437299035369775</c:v>
                </c:pt>
                <c:pt idx="1">
                  <c:v>0.13826366559485531</c:v>
                </c:pt>
                <c:pt idx="2">
                  <c:v>0.28510182207931406</c:v>
                </c:pt>
                <c:pt idx="3">
                  <c:v>0.11468381564844587</c:v>
                </c:pt>
                <c:pt idx="4">
                  <c:v>0.21757770632368703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7F-4B4D-95CE-3E868D3337E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216561295"/>
        <c:axId val="1216547855"/>
        <c:axId val="967479631"/>
      </c:bar3DChart>
      <c:catAx>
        <c:axId val="1216561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16547855"/>
        <c:crosses val="autoZero"/>
        <c:auto val="1"/>
        <c:lblAlgn val="ctr"/>
        <c:lblOffset val="100"/>
        <c:noMultiLvlLbl val="0"/>
      </c:catAx>
      <c:valAx>
        <c:axId val="1216547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16561295"/>
        <c:crosses val="autoZero"/>
        <c:crossBetween val="between"/>
        <c:majorUnit val="0.1"/>
      </c:valAx>
      <c:serAx>
        <c:axId val="967479631"/>
        <c:scaling>
          <c:orientation val="minMax"/>
        </c:scaling>
        <c:delete val="1"/>
        <c:axPos val="b"/>
        <c:majorTickMark val="none"/>
        <c:minorTickMark val="none"/>
        <c:tickLblPos val="nextTo"/>
        <c:crossAx val="1216547855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  <a:effectLst/>
              <a:sp3d>
                <a:contourClr>
                  <a:schemeClr val="tx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D0F-4C75-A7C3-00F9943A470C}"/>
              </c:ext>
            </c:extLst>
          </c:dPt>
          <c:dLbls>
            <c:dLbl>
              <c:idx val="0"/>
              <c:layout>
                <c:manualLayout>
                  <c:x val="6.1111111111111088E-2"/>
                  <c:y val="-0.2685185185185185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D0F-4C75-A7C3-00F9943A470C}"/>
                </c:ext>
              </c:extLst>
            </c:dLbl>
            <c:dLbl>
              <c:idx val="1"/>
              <c:layout>
                <c:manualLayout>
                  <c:x val="2.7777777777777779E-3"/>
                  <c:y val="-6.94444444444445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D0F-4C75-A7C3-00F9943A470C}"/>
                </c:ext>
              </c:extLst>
            </c:dLbl>
            <c:dLbl>
              <c:idx val="2"/>
              <c:layout>
                <c:manualLayout>
                  <c:x val="-2.7777777777778286E-3"/>
                  <c:y val="-6.94444444444445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D0F-4C75-A7C3-00F9943A470C}"/>
                </c:ext>
              </c:extLst>
            </c:dLbl>
            <c:dLbl>
              <c:idx val="3"/>
              <c:layout>
                <c:manualLayout>
                  <c:x val="8.3333333333333332E-3"/>
                  <c:y val="-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D0F-4C75-A7C3-00F9943A470C}"/>
                </c:ext>
              </c:extLst>
            </c:dLbl>
            <c:dLbl>
              <c:idx val="4"/>
              <c:layout>
                <c:manualLayout>
                  <c:x val="2.7777777777777779E-3"/>
                  <c:y val="-6.01851851851852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D0F-4C75-A7C3-00F9943A470C}"/>
                </c:ext>
              </c:extLst>
            </c:dLbl>
            <c:dLbl>
              <c:idx val="5"/>
              <c:layout>
                <c:manualLayout>
                  <c:x val="2.777777777777676E-3"/>
                  <c:y val="-5.55555555555556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D0F-4C75-A7C3-00F9943A470C}"/>
                </c:ext>
              </c:extLst>
            </c:dLbl>
            <c:dLbl>
              <c:idx val="6"/>
              <c:layout>
                <c:manualLayout>
                  <c:x val="2.777777777777676E-3"/>
                  <c:y val="-6.48148148148148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D0F-4C75-A7C3-00F9943A470C}"/>
                </c:ext>
              </c:extLst>
            </c:dLbl>
            <c:dLbl>
              <c:idx val="7"/>
              <c:layout>
                <c:manualLayout>
                  <c:x val="-1.0185067526415994E-16"/>
                  <c:y val="-6.01851851851852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D0F-4C75-A7C3-00F9943A470C}"/>
                </c:ext>
              </c:extLst>
            </c:dLbl>
            <c:dLbl>
              <c:idx val="8"/>
              <c:layout>
                <c:manualLayout>
                  <c:x val="-1.0185067526415994E-16"/>
                  <c:y val="-6.48148148148148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D0F-4C75-A7C3-00F9943A47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Resumen!$H$62:$H$70</c:f>
              <c:strCache>
                <c:ptCount val="9"/>
                <c:pt idx="0">
                  <c:v>China</c:v>
                </c:pt>
                <c:pt idx="1">
                  <c:v>Corea del Sur</c:v>
                </c:pt>
                <c:pt idx="2">
                  <c:v>USA </c:v>
                </c:pt>
                <c:pt idx="3">
                  <c:v>Australia</c:v>
                </c:pt>
                <c:pt idx="4">
                  <c:v>Japón</c:v>
                </c:pt>
                <c:pt idx="5">
                  <c:v>Luxemburgo</c:v>
                </c:pt>
                <c:pt idx="6">
                  <c:v>Europa</c:v>
                </c:pt>
                <c:pt idx="7">
                  <c:v>Taiwan</c:v>
                </c:pt>
                <c:pt idx="8">
                  <c:v>España</c:v>
                </c:pt>
              </c:strCache>
            </c:strRef>
          </c:cat>
          <c:val>
            <c:numRef>
              <c:f>Resumen!$J$62:$J$70</c:f>
              <c:numCache>
                <c:formatCode>General</c:formatCode>
                <c:ptCount val="9"/>
                <c:pt idx="0">
                  <c:v>811</c:v>
                </c:pt>
                <c:pt idx="1">
                  <c:v>67</c:v>
                </c:pt>
                <c:pt idx="2">
                  <c:v>38</c:v>
                </c:pt>
                <c:pt idx="3">
                  <c:v>5</c:v>
                </c:pt>
                <c:pt idx="4">
                  <c:v>5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0F-4C75-A7C3-00F9943A470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2059705424"/>
        <c:axId val="2059700624"/>
        <c:axId val="0"/>
      </c:bar3DChart>
      <c:catAx>
        <c:axId val="2059705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59700624"/>
        <c:crosses val="autoZero"/>
        <c:auto val="1"/>
        <c:lblAlgn val="ctr"/>
        <c:lblOffset val="100"/>
        <c:noMultiLvlLbl val="0"/>
      </c:catAx>
      <c:valAx>
        <c:axId val="205970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59705424"/>
        <c:crosses val="autoZero"/>
        <c:crossBetween val="between"/>
        <c:majorUnit val="15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4.xml"/><Relationship Id="rId4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196850</xdr:colOff>
      <xdr:row>0</xdr:row>
      <xdr:rowOff>152400</xdr:rowOff>
    </xdr:from>
    <xdr:to>
      <xdr:col>15</xdr:col>
      <xdr:colOff>184150</xdr:colOff>
      <xdr:row>5</xdr:row>
      <xdr:rowOff>146050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8886A909-5E3A-C3F6-D38A-0E80B2219BB5}"/>
            </a:ext>
          </a:extLst>
        </xdr:cNvPr>
        <xdr:cNvSpPr txBox="1"/>
      </xdr:nvSpPr>
      <xdr:spPr>
        <a:xfrm>
          <a:off x="7315200" y="152400"/>
          <a:ext cx="4749800" cy="914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 b="1"/>
            <a:t>Ecuanción de Búsqueda y filtros:</a:t>
          </a:r>
        </a:p>
        <a:p>
          <a:endParaRPr lang="es-CO" sz="1100"/>
        </a:p>
        <a:p>
          <a:r>
            <a:rPr lang="es-CO" sz="1100"/>
            <a:t>("internet of things" AND groundwater AND monitoring) before:priority:20260101 after:priority:20200101 status:GRANT language:ENGLISH type:PATENT</a:t>
          </a:r>
        </a:p>
      </xdr:txBody>
    </xdr:sp>
    <xdr:clientData/>
  </xdr:twoCellAnchor>
  <xdr:twoCellAnchor>
    <xdr:from>
      <xdr:col>3</xdr:col>
      <xdr:colOff>111125</xdr:colOff>
      <xdr:row>3</xdr:row>
      <xdr:rowOff>76200</xdr:rowOff>
    </xdr:from>
    <xdr:to>
      <xdr:col>8</xdr:col>
      <xdr:colOff>714375</xdr:colOff>
      <xdr:row>18</xdr:row>
      <xdr:rowOff>57150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701CE38-D89C-F277-A3CA-A54D972501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73660</xdr:colOff>
      <xdr:row>26</xdr:row>
      <xdr:rowOff>163830</xdr:rowOff>
    </xdr:from>
    <xdr:to>
      <xdr:col>10</xdr:col>
      <xdr:colOff>495300</xdr:colOff>
      <xdr:row>28</xdr:row>
      <xdr:rowOff>57150</xdr:rowOff>
    </xdr:to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1619D7EC-246D-40A0-8628-EEA23C982A21}"/>
            </a:ext>
          </a:extLst>
        </xdr:cNvPr>
        <xdr:cNvSpPr txBox="1"/>
      </xdr:nvSpPr>
      <xdr:spPr>
        <a:xfrm>
          <a:off x="7249160" y="1450340"/>
          <a:ext cx="2040890" cy="266700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CO" sz="1100" b="0" i="0" u="none" strike="noStrike" kern="0" cap="none" spc="0" normalizeH="0" baseline="0" noProof="0">
              <a:ln>
                <a:noFill/>
              </a:ln>
              <a:solidFill>
                <a:srgbClr val="7030A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Nota: 0 de acuíferos confinados.</a:t>
          </a:r>
        </a:p>
      </xdr:txBody>
    </xdr:sp>
    <xdr:clientData/>
  </xdr:twoCellAnchor>
  <xdr:twoCellAnchor>
    <xdr:from>
      <xdr:col>11</xdr:col>
      <xdr:colOff>568113</xdr:colOff>
      <xdr:row>16</xdr:row>
      <xdr:rowOff>85091</xdr:rowOff>
    </xdr:from>
    <xdr:to>
      <xdr:col>14</xdr:col>
      <xdr:colOff>609600</xdr:colOff>
      <xdr:row>30</xdr:row>
      <xdr:rowOff>1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B9698F96-ACC6-8839-47C8-6B54AA842D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757343</xdr:colOff>
      <xdr:row>2</xdr:row>
      <xdr:rowOff>158750</xdr:rowOff>
    </xdr:from>
    <xdr:to>
      <xdr:col>13</xdr:col>
      <xdr:colOff>1001183</xdr:colOff>
      <xdr:row>17</xdr:row>
      <xdr:rowOff>144780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D14A3CF1-7639-177C-DF23-8FB0ECD81E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45508</xdr:colOff>
      <xdr:row>47</xdr:row>
      <xdr:rowOff>51011</xdr:rowOff>
    </xdr:from>
    <xdr:to>
      <xdr:col>9</xdr:col>
      <xdr:colOff>242358</xdr:colOff>
      <xdr:row>52</xdr:row>
      <xdr:rowOff>149224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B211C44-C9FB-905B-E6ED-74C44EFC44EB}"/>
            </a:ext>
          </a:extLst>
        </xdr:cNvPr>
        <xdr:cNvSpPr txBox="1"/>
      </xdr:nvSpPr>
      <xdr:spPr>
        <a:xfrm>
          <a:off x="4983268" y="8722571"/>
          <a:ext cx="3366770" cy="10126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 b="1"/>
            <a:t>China: </a:t>
          </a:r>
          <a:r>
            <a:rPr lang="es-CO" sz="1100"/>
            <a:t>evidente inversión</a:t>
          </a:r>
          <a:r>
            <a:rPr lang="es-CO" sz="1100" baseline="0"/>
            <a:t> muy fuerte en IoT que a producido una importante madurez industrial, sostenidas seguramente por buenas políticas nacionales entorno a "Smart water" y un liderazgo importante en la industria de sensores y automatización.</a:t>
          </a:r>
          <a:endParaRPr lang="es-CO" sz="1100"/>
        </a:p>
      </xdr:txBody>
    </xdr:sp>
    <xdr:clientData/>
  </xdr:twoCellAnchor>
  <xdr:twoCellAnchor>
    <xdr:from>
      <xdr:col>2</xdr:col>
      <xdr:colOff>83820</xdr:colOff>
      <xdr:row>52</xdr:row>
      <xdr:rowOff>121920</xdr:rowOff>
    </xdr:from>
    <xdr:to>
      <xdr:col>9</xdr:col>
      <xdr:colOff>411480</xdr:colOff>
      <xdr:row>58</xdr:row>
      <xdr:rowOff>0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9F00E147-02F3-F44E-B782-5613A2E7574C}"/>
            </a:ext>
          </a:extLst>
        </xdr:cNvPr>
        <xdr:cNvSpPr txBox="1"/>
      </xdr:nvSpPr>
      <xdr:spPr>
        <a:xfrm>
          <a:off x="2667000" y="9631680"/>
          <a:ext cx="5852160" cy="9753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/>
            <a:t>Esta combinación de códigos representa perfectamente una solución avanzada de </a:t>
          </a:r>
          <a:r>
            <a:rPr lang="es-CO" sz="11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Gestión Inteligente del Agua</a:t>
          </a:r>
          <a:r>
            <a:rPr lang="es-CO"/>
            <a:t>. Combina la captura física en pozos (</a:t>
          </a:r>
          <a:r>
            <a:rPr lang="es-CO" sz="11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E03B, G01F, G01N</a:t>
          </a:r>
          <a:r>
            <a:rPr lang="es-CO"/>
            <a:t>), la transmisión inalámbrica mediante IoT (</a:t>
          </a:r>
          <a:r>
            <a:rPr lang="es-CO" sz="11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G16Y, H04W, H04L</a:t>
          </a:r>
          <a:r>
            <a:rPr lang="es-CO"/>
            <a:t>), el procesamiento inteligente con IA para la sostenibilidad (</a:t>
          </a:r>
          <a:r>
            <a:rPr lang="es-CO" sz="11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G06N, Y02A, G06F</a:t>
          </a:r>
          <a:r>
            <a:rPr lang="es-CO"/>
            <a:t>) y, finalmente, el software comercial de cara al usuario para control de alertas o cobro del recurso (</a:t>
          </a:r>
          <a:r>
            <a:rPr lang="es-CO" sz="11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G06Q, G08B</a:t>
          </a:r>
          <a:r>
            <a:rPr lang="es-CO"/>
            <a:t>).</a:t>
          </a:r>
          <a:endParaRPr lang="es-CO" sz="1100"/>
        </a:p>
      </xdr:txBody>
    </xdr:sp>
    <xdr:clientData/>
  </xdr:twoCellAnchor>
  <xdr:twoCellAnchor editAs="oneCell">
    <xdr:from>
      <xdr:col>0</xdr:col>
      <xdr:colOff>322035</xdr:colOff>
      <xdr:row>59</xdr:row>
      <xdr:rowOff>179161</xdr:rowOff>
    </xdr:from>
    <xdr:to>
      <xdr:col>6</xdr:col>
      <xdr:colOff>410935</xdr:colOff>
      <xdr:row>69</xdr:row>
      <xdr:rowOff>4536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A3587A2C-B007-0F41-7DBB-B6CD0A881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035" y="11767911"/>
          <a:ext cx="5817507" cy="16850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365760</xdr:colOff>
      <xdr:row>59</xdr:row>
      <xdr:rowOff>34290</xdr:rowOff>
    </xdr:from>
    <xdr:to>
      <xdr:col>12</xdr:col>
      <xdr:colOff>1996440</xdr:colOff>
      <xdr:row>74</xdr:row>
      <xdr:rowOff>34290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105E092-29E6-C6E1-8AC7-74420E3C13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563880</xdr:colOff>
      <xdr:row>22</xdr:row>
      <xdr:rowOff>91440</xdr:rowOff>
    </xdr:from>
    <xdr:to>
      <xdr:col>3</xdr:col>
      <xdr:colOff>4632960</xdr:colOff>
      <xdr:row>30</xdr:row>
      <xdr:rowOff>7620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7D93D10C-E709-4841-86CD-8477BEE6D707}"/>
            </a:ext>
          </a:extLst>
        </xdr:cNvPr>
        <xdr:cNvSpPr txBox="1"/>
      </xdr:nvSpPr>
      <xdr:spPr>
        <a:xfrm>
          <a:off x="6377940" y="4114800"/>
          <a:ext cx="4069080" cy="13792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/>
            <a:t>Esta combinación de códigos representa perfectamente una solución avanzada de </a:t>
          </a:r>
          <a:r>
            <a:rPr lang="es-CO" sz="11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Gestión Inteligente del Agua</a:t>
          </a:r>
          <a:r>
            <a:rPr lang="es-CO"/>
            <a:t>. Combina la captura física en pozos (</a:t>
          </a:r>
          <a:r>
            <a:rPr lang="es-CO" sz="11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E03B, G01F, G01N</a:t>
          </a:r>
          <a:r>
            <a:rPr lang="es-CO"/>
            <a:t>), la transmisión inalámbrica mediante IoT (</a:t>
          </a:r>
          <a:r>
            <a:rPr lang="es-CO" sz="11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G16Y, H04W, H04L</a:t>
          </a:r>
          <a:r>
            <a:rPr lang="es-CO"/>
            <a:t>), el procesamiento inteligente con IA para la sostenibilidad (</a:t>
          </a:r>
          <a:r>
            <a:rPr lang="es-CO" sz="11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G06N, Y02A, G06F</a:t>
          </a:r>
          <a:r>
            <a:rPr lang="es-CO"/>
            <a:t>) y, finalmente, el software comercial de cara al usuario para control de alertas o cobro del recurso (</a:t>
          </a:r>
          <a:r>
            <a:rPr lang="es-CO" sz="11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G06Q, G08B</a:t>
          </a:r>
          <a:r>
            <a:rPr lang="es-CO"/>
            <a:t>).</a:t>
          </a:r>
          <a:endParaRPr lang="es-CO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D28BE-4D40-49B0-903D-051B99AF7F2B}">
  <dimension ref="A1:J935"/>
  <sheetViews>
    <sheetView tabSelected="1" topLeftCell="B1" workbookViewId="0">
      <selection activeCell="C3" sqref="C3"/>
    </sheetView>
  </sheetViews>
  <sheetFormatPr baseColWidth="10" defaultRowHeight="14.4" x14ac:dyDescent="0.3"/>
  <cols>
    <col min="1" max="1" width="20" customWidth="1"/>
    <col min="2" max="2" width="102.5546875" customWidth="1"/>
    <col min="3" max="3" width="4.6640625" customWidth="1"/>
    <col min="4" max="4" width="7.77734375" customWidth="1"/>
    <col min="6" max="6" width="12.21875" customWidth="1"/>
    <col min="8" max="8" width="11.5546875" style="2"/>
    <col min="9" max="9" width="47.109375" customWidth="1"/>
  </cols>
  <sheetData>
    <row r="1" spans="1:10" x14ac:dyDescent="0.3">
      <c r="A1" t="s">
        <v>0</v>
      </c>
      <c r="B1" t="s">
        <v>1</v>
      </c>
    </row>
    <row r="2" spans="1:10" x14ac:dyDescent="0.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s="2" t="s">
        <v>9</v>
      </c>
      <c r="I2" t="s">
        <v>10</v>
      </c>
      <c r="J2" t="s">
        <v>11</v>
      </c>
    </row>
    <row r="3" spans="1:10" x14ac:dyDescent="0.3">
      <c r="A3" t="s">
        <v>500</v>
      </c>
      <c r="B3" t="s">
        <v>501</v>
      </c>
      <c r="C3" t="s">
        <v>502</v>
      </c>
      <c r="D3" t="s">
        <v>503</v>
      </c>
      <c r="E3" s="1">
        <v>43847</v>
      </c>
      <c r="F3" s="1">
        <v>43847</v>
      </c>
      <c r="G3" s="5">
        <v>44022</v>
      </c>
      <c r="H3" s="3">
        <v>44022</v>
      </c>
      <c r="I3" t="s">
        <v>504</v>
      </c>
      <c r="J3" t="s">
        <v>505</v>
      </c>
    </row>
    <row r="4" spans="1:10" x14ac:dyDescent="0.3">
      <c r="A4" t="s">
        <v>541</v>
      </c>
      <c r="B4" s="2" t="s">
        <v>542</v>
      </c>
      <c r="C4" t="s">
        <v>543</v>
      </c>
      <c r="D4" t="s">
        <v>543</v>
      </c>
      <c r="E4" s="1">
        <v>43883</v>
      </c>
      <c r="F4" s="1">
        <v>43883</v>
      </c>
      <c r="G4" s="5">
        <v>44040</v>
      </c>
      <c r="H4" s="3">
        <v>44040</v>
      </c>
      <c r="I4" t="s">
        <v>544</v>
      </c>
      <c r="J4" t="s">
        <v>545</v>
      </c>
    </row>
    <row r="5" spans="1:10" x14ac:dyDescent="0.3">
      <c r="A5" t="s">
        <v>1353</v>
      </c>
      <c r="B5" t="s">
        <v>1354</v>
      </c>
      <c r="C5" t="s">
        <v>1355</v>
      </c>
      <c r="D5" t="s">
        <v>1355</v>
      </c>
      <c r="E5" s="1">
        <v>43921</v>
      </c>
      <c r="F5" s="1">
        <v>43921</v>
      </c>
      <c r="G5" s="5">
        <v>44049</v>
      </c>
      <c r="H5" s="3">
        <v>44049</v>
      </c>
      <c r="I5" t="s">
        <v>1356</v>
      </c>
      <c r="J5" t="s">
        <v>1357</v>
      </c>
    </row>
    <row r="6" spans="1:10" x14ac:dyDescent="0.3">
      <c r="A6" t="s">
        <v>3690</v>
      </c>
      <c r="B6" t="s">
        <v>3691</v>
      </c>
      <c r="C6" t="s">
        <v>3692</v>
      </c>
      <c r="D6" t="s">
        <v>3693</v>
      </c>
      <c r="E6" s="1">
        <v>43917</v>
      </c>
      <c r="F6" s="1">
        <v>43917</v>
      </c>
      <c r="G6" s="5">
        <v>44057</v>
      </c>
      <c r="H6" s="3">
        <v>44057</v>
      </c>
      <c r="I6" t="s">
        <v>3694</v>
      </c>
      <c r="J6" t="s">
        <v>3695</v>
      </c>
    </row>
    <row r="7" spans="1:10" x14ac:dyDescent="0.3">
      <c r="A7" t="s">
        <v>4404</v>
      </c>
      <c r="B7" t="s">
        <v>4405</v>
      </c>
      <c r="C7" t="s">
        <v>4406</v>
      </c>
      <c r="D7" t="s">
        <v>4407</v>
      </c>
      <c r="E7" s="1">
        <v>43906</v>
      </c>
      <c r="F7" s="1">
        <v>43906</v>
      </c>
      <c r="G7" s="5">
        <v>44071</v>
      </c>
      <c r="H7" s="3">
        <v>44071</v>
      </c>
      <c r="I7" t="s">
        <v>4408</v>
      </c>
      <c r="J7" t="s">
        <v>4409</v>
      </c>
    </row>
    <row r="8" spans="1:10" x14ac:dyDescent="0.3">
      <c r="A8" t="s">
        <v>887</v>
      </c>
      <c r="B8" s="2" t="s">
        <v>888</v>
      </c>
      <c r="C8" t="s">
        <v>889</v>
      </c>
      <c r="D8" t="s">
        <v>890</v>
      </c>
      <c r="E8" s="1">
        <v>43839</v>
      </c>
      <c r="F8" s="1">
        <v>43839</v>
      </c>
      <c r="G8" s="5">
        <v>44078</v>
      </c>
      <c r="H8" s="3">
        <v>44078</v>
      </c>
      <c r="I8" t="s">
        <v>891</v>
      </c>
      <c r="J8" t="s">
        <v>892</v>
      </c>
    </row>
    <row r="9" spans="1:10" x14ac:dyDescent="0.3">
      <c r="A9" t="s">
        <v>2029</v>
      </c>
      <c r="B9" t="s">
        <v>2030</v>
      </c>
      <c r="C9" t="s">
        <v>2031</v>
      </c>
      <c r="D9" t="s">
        <v>2032</v>
      </c>
      <c r="E9" s="1">
        <v>43839</v>
      </c>
      <c r="F9" s="1">
        <v>43839</v>
      </c>
      <c r="G9" s="5">
        <v>44089</v>
      </c>
      <c r="H9" s="3">
        <v>44089</v>
      </c>
      <c r="I9" t="s">
        <v>2033</v>
      </c>
      <c r="J9" t="s">
        <v>2034</v>
      </c>
    </row>
    <row r="10" spans="1:10" x14ac:dyDescent="0.3">
      <c r="A10" t="s">
        <v>2657</v>
      </c>
      <c r="B10" t="s">
        <v>2658</v>
      </c>
      <c r="C10" t="s">
        <v>2659</v>
      </c>
      <c r="D10" t="s">
        <v>2660</v>
      </c>
      <c r="E10" s="1">
        <v>43945</v>
      </c>
      <c r="F10" s="1">
        <v>43945</v>
      </c>
      <c r="G10" s="5">
        <v>44092</v>
      </c>
      <c r="H10" s="3">
        <v>44092</v>
      </c>
      <c r="I10" t="s">
        <v>2661</v>
      </c>
      <c r="J10" t="s">
        <v>2662</v>
      </c>
    </row>
    <row r="11" spans="1:10" x14ac:dyDescent="0.3">
      <c r="A11" t="s">
        <v>1454</v>
      </c>
      <c r="B11" t="s">
        <v>1455</v>
      </c>
      <c r="C11" t="s">
        <v>1084</v>
      </c>
      <c r="D11" t="s">
        <v>1456</v>
      </c>
      <c r="E11" s="1">
        <v>43895</v>
      </c>
      <c r="F11" s="1">
        <v>43895</v>
      </c>
      <c r="G11" s="5">
        <v>44096</v>
      </c>
      <c r="H11" s="3">
        <v>44096</v>
      </c>
      <c r="I11" t="s">
        <v>1457</v>
      </c>
      <c r="J11" t="s">
        <v>1458</v>
      </c>
    </row>
    <row r="12" spans="1:10" x14ac:dyDescent="0.3">
      <c r="A12" t="s">
        <v>2377</v>
      </c>
      <c r="B12" t="s">
        <v>2378</v>
      </c>
      <c r="C12" t="s">
        <v>2379</v>
      </c>
      <c r="D12" t="s">
        <v>2380</v>
      </c>
      <c r="E12" s="1">
        <v>43913</v>
      </c>
      <c r="F12" s="1">
        <v>43913</v>
      </c>
      <c r="G12" s="5">
        <v>44099</v>
      </c>
      <c r="H12" s="3">
        <v>44099</v>
      </c>
      <c r="I12" t="s">
        <v>2381</v>
      </c>
      <c r="J12" t="s">
        <v>2382</v>
      </c>
    </row>
    <row r="13" spans="1:10" x14ac:dyDescent="0.3">
      <c r="A13" t="s">
        <v>4238</v>
      </c>
      <c r="B13" t="s">
        <v>4239</v>
      </c>
      <c r="C13" t="s">
        <v>4240</v>
      </c>
      <c r="D13" t="s">
        <v>4241</v>
      </c>
      <c r="E13" s="1">
        <v>43900</v>
      </c>
      <c r="F13" s="1">
        <v>43900</v>
      </c>
      <c r="G13" s="5">
        <v>44113</v>
      </c>
      <c r="H13" s="3">
        <v>44113</v>
      </c>
      <c r="I13" t="s">
        <v>4242</v>
      </c>
      <c r="J13" t="s">
        <v>4243</v>
      </c>
    </row>
    <row r="14" spans="1:10" x14ac:dyDescent="0.3">
      <c r="A14" t="s">
        <v>3154</v>
      </c>
      <c r="B14" t="s">
        <v>3155</v>
      </c>
      <c r="C14" t="s">
        <v>889</v>
      </c>
      <c r="D14" t="s">
        <v>890</v>
      </c>
      <c r="E14" s="1">
        <v>43839</v>
      </c>
      <c r="F14" s="1">
        <v>43839</v>
      </c>
      <c r="G14" s="5">
        <v>44120</v>
      </c>
      <c r="H14" s="3">
        <v>44120</v>
      </c>
      <c r="I14" t="s">
        <v>3156</v>
      </c>
      <c r="J14" t="s">
        <v>3157</v>
      </c>
    </row>
    <row r="15" spans="1:10" x14ac:dyDescent="0.3">
      <c r="A15" t="s">
        <v>2158</v>
      </c>
      <c r="B15" t="s">
        <v>2159</v>
      </c>
      <c r="C15" t="s">
        <v>1269</v>
      </c>
      <c r="D15" t="s">
        <v>2160</v>
      </c>
      <c r="E15" s="1">
        <v>43947</v>
      </c>
      <c r="F15" s="1">
        <v>43947</v>
      </c>
      <c r="G15" s="5">
        <v>44134</v>
      </c>
      <c r="H15" s="3">
        <v>44134</v>
      </c>
      <c r="I15" t="s">
        <v>2161</v>
      </c>
      <c r="J15" t="s">
        <v>2162</v>
      </c>
    </row>
    <row r="16" spans="1:10" x14ac:dyDescent="0.3">
      <c r="A16" t="s">
        <v>2706</v>
      </c>
      <c r="B16" t="s">
        <v>2707</v>
      </c>
      <c r="C16" t="s">
        <v>2708</v>
      </c>
      <c r="D16" t="s">
        <v>2709</v>
      </c>
      <c r="E16" s="1">
        <v>43976</v>
      </c>
      <c r="F16" s="1">
        <v>43976</v>
      </c>
      <c r="G16" s="5">
        <v>44134</v>
      </c>
      <c r="H16" s="3">
        <v>44134</v>
      </c>
      <c r="I16" t="s">
        <v>2710</v>
      </c>
      <c r="J16" t="s">
        <v>2711</v>
      </c>
    </row>
    <row r="17" spans="1:10" x14ac:dyDescent="0.3">
      <c r="A17" t="s">
        <v>4581</v>
      </c>
      <c r="B17" t="s">
        <v>4582</v>
      </c>
      <c r="C17" t="s">
        <v>4583</v>
      </c>
      <c r="D17" t="s">
        <v>4584</v>
      </c>
      <c r="E17" s="1">
        <v>43949</v>
      </c>
      <c r="F17" s="1">
        <v>43949</v>
      </c>
      <c r="G17" s="5">
        <v>44134</v>
      </c>
      <c r="H17" s="3">
        <v>44134</v>
      </c>
      <c r="I17" t="s">
        <v>4585</v>
      </c>
      <c r="J17" t="s">
        <v>4586</v>
      </c>
    </row>
    <row r="18" spans="1:10" x14ac:dyDescent="0.3">
      <c r="A18" t="s">
        <v>4163</v>
      </c>
      <c r="B18" t="s">
        <v>4164</v>
      </c>
      <c r="C18" t="s">
        <v>4165</v>
      </c>
      <c r="D18" t="s">
        <v>4166</v>
      </c>
      <c r="E18" s="1">
        <v>43924</v>
      </c>
      <c r="F18" s="1">
        <v>43924</v>
      </c>
      <c r="G18" s="5">
        <v>44138</v>
      </c>
      <c r="H18" s="3">
        <v>44138</v>
      </c>
      <c r="I18" t="s">
        <v>4167</v>
      </c>
      <c r="J18" t="s">
        <v>4168</v>
      </c>
    </row>
    <row r="19" spans="1:10" x14ac:dyDescent="0.3">
      <c r="A19" t="s">
        <v>2788</v>
      </c>
      <c r="B19" t="s">
        <v>2789</v>
      </c>
      <c r="C19" t="s">
        <v>1827</v>
      </c>
      <c r="D19" t="s">
        <v>2786</v>
      </c>
      <c r="E19" s="1">
        <v>43949</v>
      </c>
      <c r="F19" s="1">
        <v>43949</v>
      </c>
      <c r="G19" s="5">
        <v>44148</v>
      </c>
      <c r="H19" s="3">
        <v>44148</v>
      </c>
      <c r="I19" t="s">
        <v>2790</v>
      </c>
      <c r="J19" t="s">
        <v>2791</v>
      </c>
    </row>
    <row r="20" spans="1:10" x14ac:dyDescent="0.3">
      <c r="A20" t="s">
        <v>4591</v>
      </c>
      <c r="B20" t="s">
        <v>4592</v>
      </c>
      <c r="C20" t="s">
        <v>4593</v>
      </c>
      <c r="D20" t="s">
        <v>4594</v>
      </c>
      <c r="E20" s="1">
        <v>43951</v>
      </c>
      <c r="F20" s="1">
        <v>43951</v>
      </c>
      <c r="G20" s="5">
        <v>44148</v>
      </c>
      <c r="H20" s="3">
        <v>44148</v>
      </c>
      <c r="I20" t="s">
        <v>4595</v>
      </c>
      <c r="J20" t="s">
        <v>4596</v>
      </c>
    </row>
    <row r="21" spans="1:10" x14ac:dyDescent="0.3">
      <c r="A21" t="s">
        <v>2053</v>
      </c>
      <c r="B21" s="2" t="s">
        <v>2054</v>
      </c>
      <c r="C21" t="s">
        <v>2055</v>
      </c>
      <c r="D21" t="s">
        <v>2056</v>
      </c>
      <c r="E21" s="1">
        <v>43964</v>
      </c>
      <c r="F21" s="1">
        <v>43964</v>
      </c>
      <c r="G21" s="5">
        <v>44152</v>
      </c>
      <c r="H21" s="3">
        <v>44152</v>
      </c>
      <c r="I21" t="s">
        <v>2057</v>
      </c>
      <c r="J21" t="s">
        <v>2058</v>
      </c>
    </row>
    <row r="22" spans="1:10" x14ac:dyDescent="0.3">
      <c r="A22" t="s">
        <v>2596</v>
      </c>
      <c r="B22" t="s">
        <v>2597</v>
      </c>
      <c r="C22" t="s">
        <v>2598</v>
      </c>
      <c r="D22" t="s">
        <v>2598</v>
      </c>
      <c r="E22" s="1">
        <v>43951</v>
      </c>
      <c r="F22" s="1">
        <v>43951</v>
      </c>
      <c r="G22" s="5">
        <v>44152</v>
      </c>
      <c r="H22" s="3">
        <v>44152</v>
      </c>
      <c r="I22" t="s">
        <v>2599</v>
      </c>
      <c r="J22" t="s">
        <v>2600</v>
      </c>
    </row>
    <row r="23" spans="1:10" x14ac:dyDescent="0.3">
      <c r="A23" t="s">
        <v>3054</v>
      </c>
      <c r="B23" s="2" t="s">
        <v>3055</v>
      </c>
      <c r="C23" t="s">
        <v>3056</v>
      </c>
      <c r="D23" t="s">
        <v>3057</v>
      </c>
      <c r="E23" s="1">
        <v>43903</v>
      </c>
      <c r="F23" s="1">
        <v>43903</v>
      </c>
      <c r="G23" s="5">
        <v>44152</v>
      </c>
      <c r="H23" s="3">
        <v>44152</v>
      </c>
      <c r="I23" t="s">
        <v>3058</v>
      </c>
      <c r="J23" t="s">
        <v>3059</v>
      </c>
    </row>
    <row r="24" spans="1:10" x14ac:dyDescent="0.3">
      <c r="A24" t="s">
        <v>3555</v>
      </c>
      <c r="B24" t="s">
        <v>3556</v>
      </c>
      <c r="C24" t="s">
        <v>3557</v>
      </c>
      <c r="D24" t="s">
        <v>3558</v>
      </c>
      <c r="E24" s="1">
        <v>43839</v>
      </c>
      <c r="F24" s="1">
        <v>43839</v>
      </c>
      <c r="G24" s="5">
        <v>44159</v>
      </c>
      <c r="H24" s="3">
        <v>44159</v>
      </c>
      <c r="I24" t="s">
        <v>3559</v>
      </c>
      <c r="J24" t="s">
        <v>3560</v>
      </c>
    </row>
    <row r="25" spans="1:10" x14ac:dyDescent="0.3">
      <c r="A25" t="s">
        <v>1994</v>
      </c>
      <c r="B25" t="s">
        <v>1995</v>
      </c>
      <c r="C25" t="s">
        <v>1996</v>
      </c>
      <c r="D25" t="s">
        <v>1997</v>
      </c>
      <c r="E25" s="1">
        <v>43906</v>
      </c>
      <c r="F25" s="1">
        <v>43906</v>
      </c>
      <c r="G25" s="5">
        <v>44169</v>
      </c>
      <c r="H25" s="3">
        <v>44169</v>
      </c>
      <c r="I25" t="s">
        <v>1998</v>
      </c>
      <c r="J25" t="s">
        <v>1999</v>
      </c>
    </row>
    <row r="26" spans="1:10" x14ac:dyDescent="0.3">
      <c r="A26" t="s">
        <v>2130</v>
      </c>
      <c r="B26" t="s">
        <v>2131</v>
      </c>
      <c r="C26" t="s">
        <v>2132</v>
      </c>
      <c r="D26" t="s">
        <v>2133</v>
      </c>
      <c r="E26" s="1">
        <v>43923</v>
      </c>
      <c r="F26" s="1">
        <v>43923</v>
      </c>
      <c r="G26" s="5">
        <v>44176</v>
      </c>
      <c r="H26" s="3">
        <v>44176</v>
      </c>
      <c r="I26" t="s">
        <v>2134</v>
      </c>
      <c r="J26" t="s">
        <v>2135</v>
      </c>
    </row>
    <row r="27" spans="1:10" x14ac:dyDescent="0.3">
      <c r="A27" t="s">
        <v>2345</v>
      </c>
      <c r="B27" t="s">
        <v>2346</v>
      </c>
      <c r="C27" t="s">
        <v>2347</v>
      </c>
      <c r="D27" t="s">
        <v>2348</v>
      </c>
      <c r="E27" s="1">
        <v>43941</v>
      </c>
      <c r="F27" s="1">
        <v>43941</v>
      </c>
      <c r="G27" s="5">
        <v>44176</v>
      </c>
      <c r="H27" s="3">
        <v>44176</v>
      </c>
      <c r="I27" t="s">
        <v>2349</v>
      </c>
      <c r="J27" t="s">
        <v>2350</v>
      </c>
    </row>
    <row r="28" spans="1:10" x14ac:dyDescent="0.3">
      <c r="A28" t="s">
        <v>1784</v>
      </c>
      <c r="B28" t="s">
        <v>1785</v>
      </c>
      <c r="C28" t="s">
        <v>1786</v>
      </c>
      <c r="D28" t="s">
        <v>1787</v>
      </c>
      <c r="E28" s="1">
        <v>43990</v>
      </c>
      <c r="F28" s="1">
        <v>43990</v>
      </c>
      <c r="G28" s="5">
        <v>44194</v>
      </c>
      <c r="H28" s="3">
        <v>44194</v>
      </c>
      <c r="I28" t="s">
        <v>1788</v>
      </c>
      <c r="J28" t="s">
        <v>1789</v>
      </c>
    </row>
    <row r="29" spans="1:10" x14ac:dyDescent="0.3">
      <c r="A29" t="s">
        <v>2194</v>
      </c>
      <c r="B29" s="2" t="s">
        <v>2195</v>
      </c>
      <c r="C29" t="s">
        <v>2196</v>
      </c>
      <c r="D29" t="s">
        <v>2197</v>
      </c>
      <c r="E29" s="1">
        <v>43934</v>
      </c>
      <c r="F29" s="1">
        <v>43934</v>
      </c>
      <c r="G29" s="5">
        <v>44194</v>
      </c>
      <c r="H29" s="3">
        <v>44194</v>
      </c>
      <c r="I29" t="s">
        <v>2198</v>
      </c>
      <c r="J29" t="s">
        <v>2199</v>
      </c>
    </row>
    <row r="30" spans="1:10" x14ac:dyDescent="0.3">
      <c r="A30" t="s">
        <v>2724</v>
      </c>
      <c r="B30" t="s">
        <v>2725</v>
      </c>
      <c r="C30" t="s">
        <v>2559</v>
      </c>
      <c r="D30" t="s">
        <v>2560</v>
      </c>
      <c r="E30" s="1">
        <v>44091</v>
      </c>
      <c r="F30" s="1">
        <v>44091</v>
      </c>
      <c r="G30" s="5">
        <v>44194</v>
      </c>
      <c r="H30" s="3">
        <v>44194</v>
      </c>
      <c r="I30" t="s">
        <v>2726</v>
      </c>
      <c r="J30" t="s">
        <v>2727</v>
      </c>
    </row>
    <row r="31" spans="1:10" x14ac:dyDescent="0.3">
      <c r="A31" t="s">
        <v>2041</v>
      </c>
      <c r="B31" s="20" t="s">
        <v>2042</v>
      </c>
      <c r="C31" t="s">
        <v>2043</v>
      </c>
      <c r="D31" t="s">
        <v>2044</v>
      </c>
      <c r="E31" s="1">
        <v>44017</v>
      </c>
      <c r="F31" s="1">
        <v>44017</v>
      </c>
      <c r="G31" s="5">
        <v>44201</v>
      </c>
      <c r="H31" s="3">
        <v>44201</v>
      </c>
      <c r="I31" t="s">
        <v>2045</v>
      </c>
      <c r="J31" t="s">
        <v>2046</v>
      </c>
    </row>
    <row r="32" spans="1:10" x14ac:dyDescent="0.3">
      <c r="A32" t="s">
        <v>2621</v>
      </c>
      <c r="B32" s="20" t="s">
        <v>2622</v>
      </c>
      <c r="C32" t="s">
        <v>1418</v>
      </c>
      <c r="D32" t="s">
        <v>1419</v>
      </c>
      <c r="E32" s="1">
        <v>44099</v>
      </c>
      <c r="F32" s="1">
        <v>44099</v>
      </c>
      <c r="G32" s="5">
        <v>44208</v>
      </c>
      <c r="H32" s="3">
        <v>44208</v>
      </c>
      <c r="I32" t="s">
        <v>2623</v>
      </c>
      <c r="J32" t="s">
        <v>2624</v>
      </c>
    </row>
    <row r="33" spans="1:10" x14ac:dyDescent="0.3">
      <c r="A33" t="s">
        <v>2518</v>
      </c>
      <c r="B33" s="20" t="s">
        <v>2519</v>
      </c>
      <c r="C33" t="s">
        <v>2520</v>
      </c>
      <c r="D33" t="s">
        <v>2521</v>
      </c>
      <c r="E33" s="1">
        <v>44011</v>
      </c>
      <c r="F33" s="1">
        <v>44011</v>
      </c>
      <c r="G33" s="5">
        <v>44222</v>
      </c>
      <c r="H33" s="3">
        <v>44222</v>
      </c>
      <c r="I33" t="s">
        <v>2522</v>
      </c>
      <c r="J33" t="s">
        <v>2523</v>
      </c>
    </row>
    <row r="34" spans="1:10" x14ac:dyDescent="0.3">
      <c r="A34" t="s">
        <v>3891</v>
      </c>
      <c r="B34" s="21" t="s">
        <v>3892</v>
      </c>
      <c r="C34" t="s">
        <v>3893</v>
      </c>
      <c r="D34" t="s">
        <v>3894</v>
      </c>
      <c r="E34" s="1">
        <v>43879</v>
      </c>
      <c r="F34" s="1">
        <v>43879</v>
      </c>
      <c r="G34" s="5">
        <v>44229</v>
      </c>
      <c r="H34" s="3">
        <v>44229</v>
      </c>
      <c r="I34" t="s">
        <v>3895</v>
      </c>
      <c r="J34" t="s">
        <v>3896</v>
      </c>
    </row>
    <row r="35" spans="1:10" x14ac:dyDescent="0.3">
      <c r="A35" t="s">
        <v>4306</v>
      </c>
      <c r="B35" s="21" t="s">
        <v>4307</v>
      </c>
      <c r="C35" t="s">
        <v>1786</v>
      </c>
      <c r="D35" t="s">
        <v>1787</v>
      </c>
      <c r="E35" s="1">
        <v>43980</v>
      </c>
      <c r="F35" s="1">
        <v>43980</v>
      </c>
      <c r="G35" s="5">
        <v>44229</v>
      </c>
      <c r="H35" s="3">
        <v>44229</v>
      </c>
      <c r="I35" t="s">
        <v>4308</v>
      </c>
      <c r="J35" t="s">
        <v>4309</v>
      </c>
    </row>
    <row r="36" spans="1:10" x14ac:dyDescent="0.3">
      <c r="A36" t="s">
        <v>1848</v>
      </c>
      <c r="B36" s="21" t="s">
        <v>1849</v>
      </c>
      <c r="C36" t="s">
        <v>1850</v>
      </c>
      <c r="D36" t="s">
        <v>1851</v>
      </c>
      <c r="E36" s="1">
        <v>43964</v>
      </c>
      <c r="F36" s="1">
        <v>43964</v>
      </c>
      <c r="G36" s="5">
        <v>44236</v>
      </c>
      <c r="H36" s="3">
        <v>44236</v>
      </c>
      <c r="I36" t="s">
        <v>1852</v>
      </c>
      <c r="J36" t="s">
        <v>1853</v>
      </c>
    </row>
    <row r="37" spans="1:10" x14ac:dyDescent="0.3">
      <c r="A37" t="s">
        <v>4771</v>
      </c>
      <c r="B37" s="21" t="s">
        <v>4772</v>
      </c>
      <c r="C37" t="s">
        <v>4773</v>
      </c>
      <c r="D37" t="s">
        <v>4774</v>
      </c>
      <c r="E37" s="1">
        <v>43990</v>
      </c>
      <c r="F37" s="1">
        <v>43990</v>
      </c>
      <c r="G37" s="5">
        <v>44236</v>
      </c>
      <c r="H37" s="3">
        <v>44236</v>
      </c>
      <c r="I37" t="s">
        <v>4775</v>
      </c>
      <c r="J37" t="s">
        <v>4776</v>
      </c>
    </row>
    <row r="38" spans="1:10" x14ac:dyDescent="0.3">
      <c r="A38" t="s">
        <v>1088</v>
      </c>
      <c r="B38" s="20" t="s">
        <v>1089</v>
      </c>
      <c r="C38" t="s">
        <v>1090</v>
      </c>
      <c r="D38" t="s">
        <v>1091</v>
      </c>
      <c r="E38" s="1">
        <v>44161</v>
      </c>
      <c r="F38" s="1">
        <v>44161</v>
      </c>
      <c r="G38" s="5">
        <v>44239</v>
      </c>
      <c r="H38" s="3">
        <v>44239</v>
      </c>
      <c r="I38" t="s">
        <v>1092</v>
      </c>
      <c r="J38" t="s">
        <v>1093</v>
      </c>
    </row>
    <row r="39" spans="1:10" x14ac:dyDescent="0.3">
      <c r="A39" t="s">
        <v>2778</v>
      </c>
      <c r="B39" s="21" t="s">
        <v>2779</v>
      </c>
      <c r="C39" t="s">
        <v>2780</v>
      </c>
      <c r="D39" t="s">
        <v>2781</v>
      </c>
      <c r="E39" s="1">
        <v>43992</v>
      </c>
      <c r="F39" s="1">
        <v>43992</v>
      </c>
      <c r="G39" s="5">
        <v>44239</v>
      </c>
      <c r="H39" s="3">
        <v>44239</v>
      </c>
      <c r="I39" t="s">
        <v>2782</v>
      </c>
      <c r="J39" t="s">
        <v>2783</v>
      </c>
    </row>
    <row r="40" spans="1:10" x14ac:dyDescent="0.3">
      <c r="A40" t="s">
        <v>2700</v>
      </c>
      <c r="B40" s="20" t="s">
        <v>2701</v>
      </c>
      <c r="C40" t="s">
        <v>2702</v>
      </c>
      <c r="D40" t="s">
        <v>2703</v>
      </c>
      <c r="E40" s="1">
        <v>43995</v>
      </c>
      <c r="F40" s="1">
        <v>43995</v>
      </c>
      <c r="G40" s="5">
        <v>44246</v>
      </c>
      <c r="H40" s="3">
        <v>44246</v>
      </c>
      <c r="I40" t="s">
        <v>2704</v>
      </c>
      <c r="J40" t="s">
        <v>2705</v>
      </c>
    </row>
    <row r="41" spans="1:10" x14ac:dyDescent="0.3">
      <c r="A41" t="s">
        <v>4663</v>
      </c>
      <c r="B41" s="20" t="s">
        <v>4664</v>
      </c>
      <c r="C41" t="s">
        <v>4665</v>
      </c>
      <c r="D41" t="s">
        <v>4666</v>
      </c>
      <c r="E41" s="1">
        <v>44032</v>
      </c>
      <c r="F41" s="1">
        <v>44032</v>
      </c>
      <c r="G41" s="5">
        <v>44253</v>
      </c>
      <c r="H41" s="3">
        <v>44253</v>
      </c>
      <c r="I41" t="s">
        <v>4667</v>
      </c>
      <c r="J41" t="s">
        <v>4668</v>
      </c>
    </row>
    <row r="42" spans="1:10" x14ac:dyDescent="0.3">
      <c r="A42" t="s">
        <v>4754</v>
      </c>
      <c r="B42" s="20" t="s">
        <v>4755</v>
      </c>
      <c r="C42" t="s">
        <v>4756</v>
      </c>
      <c r="D42" t="s">
        <v>4757</v>
      </c>
      <c r="E42" s="1">
        <v>44041</v>
      </c>
      <c r="F42" s="1">
        <v>44041</v>
      </c>
      <c r="G42" s="5">
        <v>44253</v>
      </c>
      <c r="H42" s="3">
        <v>44253</v>
      </c>
      <c r="I42" t="s">
        <v>4758</v>
      </c>
      <c r="J42" t="s">
        <v>4759</v>
      </c>
    </row>
    <row r="43" spans="1:10" x14ac:dyDescent="0.3">
      <c r="A43" t="s">
        <v>287</v>
      </c>
      <c r="B43" s="20" t="s">
        <v>288</v>
      </c>
      <c r="C43" t="s">
        <v>289</v>
      </c>
      <c r="D43" t="s">
        <v>290</v>
      </c>
      <c r="E43" s="1">
        <v>43851</v>
      </c>
      <c r="F43" s="1">
        <v>43851</v>
      </c>
      <c r="G43" s="5">
        <v>44257</v>
      </c>
      <c r="H43" s="3">
        <v>44257</v>
      </c>
      <c r="I43" t="s">
        <v>291</v>
      </c>
      <c r="J43" t="s">
        <v>292</v>
      </c>
    </row>
    <row r="44" spans="1:10" x14ac:dyDescent="0.3">
      <c r="A44" t="s">
        <v>323</v>
      </c>
      <c r="B44" s="20" t="s">
        <v>324</v>
      </c>
      <c r="C44" t="s">
        <v>325</v>
      </c>
      <c r="D44" t="s">
        <v>326</v>
      </c>
      <c r="E44" s="1">
        <v>44181</v>
      </c>
      <c r="F44" s="1">
        <v>44181</v>
      </c>
      <c r="G44" s="5">
        <v>44259</v>
      </c>
      <c r="H44" s="3">
        <v>44259</v>
      </c>
      <c r="I44" t="s">
        <v>327</v>
      </c>
    </row>
    <row r="45" spans="1:10" x14ac:dyDescent="0.3">
      <c r="A45" t="s">
        <v>4729</v>
      </c>
      <c r="B45" s="20" t="s">
        <v>4730</v>
      </c>
      <c r="C45" t="s">
        <v>4583</v>
      </c>
      <c r="D45" t="s">
        <v>4731</v>
      </c>
      <c r="E45" s="1">
        <v>44076</v>
      </c>
      <c r="F45" s="1">
        <v>44076</v>
      </c>
      <c r="G45" s="5">
        <v>44260</v>
      </c>
      <c r="H45" s="3">
        <v>44260</v>
      </c>
      <c r="I45" t="s">
        <v>4732</v>
      </c>
      <c r="J45" t="s">
        <v>4733</v>
      </c>
    </row>
    <row r="46" spans="1:10" x14ac:dyDescent="0.3">
      <c r="A46" t="s">
        <v>1731</v>
      </c>
      <c r="B46" s="20" t="s">
        <v>1732</v>
      </c>
      <c r="C46" t="s">
        <v>1733</v>
      </c>
      <c r="D46" t="s">
        <v>1734</v>
      </c>
      <c r="E46" s="1">
        <v>44036</v>
      </c>
      <c r="F46" s="1">
        <v>44036</v>
      </c>
      <c r="G46" s="5">
        <v>44267</v>
      </c>
      <c r="H46" s="3">
        <v>44267</v>
      </c>
      <c r="I46" t="s">
        <v>1735</v>
      </c>
      <c r="J46" t="s">
        <v>1736</v>
      </c>
    </row>
    <row r="47" spans="1:10" x14ac:dyDescent="0.3">
      <c r="A47" t="s">
        <v>2394</v>
      </c>
      <c r="B47" s="20" t="s">
        <v>2395</v>
      </c>
      <c r="C47" t="s">
        <v>2396</v>
      </c>
      <c r="D47" t="s">
        <v>2397</v>
      </c>
      <c r="E47" s="1">
        <v>44064</v>
      </c>
      <c r="F47" s="1">
        <v>44064</v>
      </c>
      <c r="G47" s="5">
        <v>44267</v>
      </c>
      <c r="H47" s="3">
        <v>44267</v>
      </c>
      <c r="I47" t="s">
        <v>2398</v>
      </c>
      <c r="J47" t="s">
        <v>2399</v>
      </c>
    </row>
    <row r="48" spans="1:10" x14ac:dyDescent="0.3">
      <c r="A48" t="s">
        <v>2465</v>
      </c>
      <c r="B48" s="20" t="s">
        <v>2466</v>
      </c>
      <c r="C48" t="s">
        <v>2467</v>
      </c>
      <c r="D48" t="s">
        <v>2468</v>
      </c>
      <c r="E48" s="1">
        <v>44014</v>
      </c>
      <c r="F48" s="1">
        <v>44014</v>
      </c>
      <c r="G48" s="5">
        <v>44271</v>
      </c>
      <c r="H48" s="3">
        <v>44271</v>
      </c>
      <c r="I48" t="s">
        <v>2469</v>
      </c>
      <c r="J48" t="s">
        <v>2470</v>
      </c>
    </row>
    <row r="49" spans="1:10" x14ac:dyDescent="0.3">
      <c r="A49" t="s">
        <v>2576</v>
      </c>
      <c r="B49" s="20" t="s">
        <v>2577</v>
      </c>
      <c r="C49" t="s">
        <v>2578</v>
      </c>
      <c r="D49" t="s">
        <v>2579</v>
      </c>
      <c r="E49" s="1">
        <v>44089</v>
      </c>
      <c r="F49" s="1">
        <v>44089</v>
      </c>
      <c r="G49" s="5">
        <v>44271</v>
      </c>
      <c r="H49" s="3">
        <v>44271</v>
      </c>
      <c r="I49" t="s">
        <v>2580</v>
      </c>
      <c r="J49" t="s">
        <v>2581</v>
      </c>
    </row>
    <row r="50" spans="1:10" x14ac:dyDescent="0.3">
      <c r="A50" t="s">
        <v>3853</v>
      </c>
      <c r="B50" s="20" t="s">
        <v>3854</v>
      </c>
      <c r="C50" t="s">
        <v>3855</v>
      </c>
      <c r="D50" t="s">
        <v>3856</v>
      </c>
      <c r="E50" s="1">
        <v>44051</v>
      </c>
      <c r="F50" s="1">
        <v>44051</v>
      </c>
      <c r="G50" s="5">
        <v>44285</v>
      </c>
      <c r="H50" s="3">
        <v>44285</v>
      </c>
      <c r="I50" t="s">
        <v>3857</v>
      </c>
      <c r="J50" t="s">
        <v>3858</v>
      </c>
    </row>
    <row r="51" spans="1:10" x14ac:dyDescent="0.3">
      <c r="A51" t="s">
        <v>2631</v>
      </c>
      <c r="B51" s="20" t="s">
        <v>2632</v>
      </c>
      <c r="C51" t="s">
        <v>2633</v>
      </c>
      <c r="D51" t="s">
        <v>2634</v>
      </c>
      <c r="E51" s="1">
        <v>44077</v>
      </c>
      <c r="F51" s="1">
        <v>44077</v>
      </c>
      <c r="G51" s="5">
        <v>44288</v>
      </c>
      <c r="H51" s="3">
        <v>44288</v>
      </c>
      <c r="I51" t="s">
        <v>2635</v>
      </c>
      <c r="J51" t="s">
        <v>2636</v>
      </c>
    </row>
    <row r="52" spans="1:10" x14ac:dyDescent="0.3">
      <c r="A52" t="s">
        <v>963</v>
      </c>
      <c r="B52" s="20" t="s">
        <v>964</v>
      </c>
      <c r="C52" t="s">
        <v>965</v>
      </c>
      <c r="D52" t="s">
        <v>966</v>
      </c>
      <c r="E52" s="1">
        <v>43986</v>
      </c>
      <c r="F52" s="1">
        <v>43986</v>
      </c>
      <c r="G52" s="5">
        <v>44292</v>
      </c>
      <c r="H52" s="3">
        <v>44292</v>
      </c>
      <c r="I52" t="s">
        <v>967</v>
      </c>
      <c r="J52" t="s">
        <v>968</v>
      </c>
    </row>
    <row r="53" spans="1:10" x14ac:dyDescent="0.3">
      <c r="A53" t="s">
        <v>3838</v>
      </c>
      <c r="B53" s="20" t="s">
        <v>3839</v>
      </c>
      <c r="C53" t="s">
        <v>3840</v>
      </c>
      <c r="D53" t="s">
        <v>3841</v>
      </c>
      <c r="E53" s="1">
        <v>44211</v>
      </c>
      <c r="F53" s="1">
        <v>44211</v>
      </c>
      <c r="G53" s="5">
        <v>44292</v>
      </c>
      <c r="H53" s="3">
        <v>44292</v>
      </c>
      <c r="I53" t="s">
        <v>3842</v>
      </c>
      <c r="J53" t="s">
        <v>3843</v>
      </c>
    </row>
    <row r="54" spans="1:10" x14ac:dyDescent="0.3">
      <c r="A54" t="s">
        <v>3767</v>
      </c>
      <c r="B54" s="20" t="s">
        <v>3768</v>
      </c>
      <c r="C54" t="s">
        <v>3769</v>
      </c>
      <c r="D54" t="s">
        <v>3770</v>
      </c>
      <c r="E54" s="1">
        <v>44131</v>
      </c>
      <c r="F54" s="1">
        <v>44131</v>
      </c>
      <c r="G54" s="5">
        <v>44299</v>
      </c>
      <c r="H54" s="3">
        <v>44299</v>
      </c>
      <c r="I54" t="s">
        <v>3771</v>
      </c>
      <c r="J54" t="s">
        <v>3772</v>
      </c>
    </row>
    <row r="55" spans="1:10" x14ac:dyDescent="0.3">
      <c r="A55" t="s">
        <v>3864</v>
      </c>
      <c r="B55" s="20" t="s">
        <v>3865</v>
      </c>
      <c r="C55" t="s">
        <v>3866</v>
      </c>
      <c r="D55" t="s">
        <v>3866</v>
      </c>
      <c r="E55" s="1">
        <v>43990</v>
      </c>
      <c r="F55" s="1">
        <v>43990</v>
      </c>
      <c r="G55" s="5">
        <v>44299</v>
      </c>
      <c r="H55" s="3">
        <v>44299</v>
      </c>
      <c r="I55" t="s">
        <v>3867</v>
      </c>
      <c r="J55" t="s">
        <v>3868</v>
      </c>
    </row>
    <row r="56" spans="1:10" x14ac:dyDescent="0.3">
      <c r="A56" t="s">
        <v>4825</v>
      </c>
      <c r="B56" s="20" t="s">
        <v>4826</v>
      </c>
      <c r="C56" t="s">
        <v>4827</v>
      </c>
      <c r="D56" t="s">
        <v>4828</v>
      </c>
      <c r="E56" s="1">
        <v>44094</v>
      </c>
      <c r="F56" s="1">
        <v>44094</v>
      </c>
      <c r="G56" s="5">
        <v>44299</v>
      </c>
      <c r="H56" s="3">
        <v>44299</v>
      </c>
      <c r="I56" t="s">
        <v>4829</v>
      </c>
      <c r="J56" t="s">
        <v>4830</v>
      </c>
    </row>
    <row r="57" spans="1:10" x14ac:dyDescent="0.3">
      <c r="A57" t="s">
        <v>1977</v>
      </c>
      <c r="B57" s="20" t="s">
        <v>1978</v>
      </c>
      <c r="C57" t="s">
        <v>1979</v>
      </c>
      <c r="D57" t="s">
        <v>1980</v>
      </c>
      <c r="E57" s="1">
        <v>43951</v>
      </c>
      <c r="F57" s="1">
        <v>43951</v>
      </c>
      <c r="G57" s="5">
        <v>44302</v>
      </c>
      <c r="H57" s="3">
        <v>44302</v>
      </c>
      <c r="I57" t="s">
        <v>1981</v>
      </c>
      <c r="J57" t="s">
        <v>1982</v>
      </c>
    </row>
    <row r="58" spans="1:10" x14ac:dyDescent="0.3">
      <c r="A58" t="s">
        <v>1082</v>
      </c>
      <c r="B58" s="20" t="s">
        <v>1083</v>
      </c>
      <c r="C58" t="s">
        <v>1084</v>
      </c>
      <c r="D58" t="s">
        <v>1085</v>
      </c>
      <c r="E58" s="1">
        <v>44085</v>
      </c>
      <c r="F58" s="1">
        <v>44085</v>
      </c>
      <c r="G58" s="5">
        <v>44306</v>
      </c>
      <c r="H58" s="3">
        <v>44306</v>
      </c>
      <c r="I58" t="s">
        <v>1086</v>
      </c>
      <c r="J58" t="s">
        <v>1087</v>
      </c>
    </row>
    <row r="59" spans="1:10" x14ac:dyDescent="0.3">
      <c r="A59" t="s">
        <v>2459</v>
      </c>
      <c r="B59" s="20" t="s">
        <v>2460</v>
      </c>
      <c r="C59" t="s">
        <v>2461</v>
      </c>
      <c r="D59" t="s">
        <v>2462</v>
      </c>
      <c r="E59" s="1">
        <v>43846</v>
      </c>
      <c r="F59" s="1">
        <v>43846</v>
      </c>
      <c r="G59" s="5">
        <v>44306</v>
      </c>
      <c r="H59" s="3">
        <v>44306</v>
      </c>
      <c r="I59" t="s">
        <v>2463</v>
      </c>
      <c r="J59" t="s">
        <v>2464</v>
      </c>
    </row>
    <row r="60" spans="1:10" x14ac:dyDescent="0.3">
      <c r="A60" t="s">
        <v>1684</v>
      </c>
      <c r="B60" s="20" t="s">
        <v>1685</v>
      </c>
      <c r="C60" t="s">
        <v>1686</v>
      </c>
      <c r="D60" t="s">
        <v>1687</v>
      </c>
      <c r="E60" s="1">
        <v>44124</v>
      </c>
      <c r="F60" s="1">
        <v>44124</v>
      </c>
      <c r="G60" s="5">
        <v>44316</v>
      </c>
      <c r="H60" s="3">
        <v>44316</v>
      </c>
      <c r="I60" t="s">
        <v>1688</v>
      </c>
      <c r="J60" t="s">
        <v>1689</v>
      </c>
    </row>
    <row r="61" spans="1:10" x14ac:dyDescent="0.3">
      <c r="A61" t="s">
        <v>2339</v>
      </c>
      <c r="B61" s="20" t="s">
        <v>2340</v>
      </c>
      <c r="C61" t="s">
        <v>2341</v>
      </c>
      <c r="D61" t="s">
        <v>2342</v>
      </c>
      <c r="E61" s="1">
        <v>44091</v>
      </c>
      <c r="F61" s="1">
        <v>44091</v>
      </c>
      <c r="G61" s="5">
        <v>44316</v>
      </c>
      <c r="H61" s="3">
        <v>44316</v>
      </c>
      <c r="I61" t="s">
        <v>2343</v>
      </c>
      <c r="J61" t="s">
        <v>2344</v>
      </c>
    </row>
    <row r="62" spans="1:10" x14ac:dyDescent="0.3">
      <c r="A62" t="s">
        <v>3992</v>
      </c>
      <c r="B62" s="20" t="s">
        <v>3993</v>
      </c>
      <c r="C62" t="s">
        <v>3994</v>
      </c>
      <c r="D62" t="s">
        <v>3995</v>
      </c>
      <c r="E62" s="1">
        <v>43994</v>
      </c>
      <c r="F62" s="1">
        <v>43994</v>
      </c>
      <c r="G62" s="5">
        <v>44316</v>
      </c>
      <c r="H62" s="3">
        <v>44316</v>
      </c>
      <c r="I62" t="s">
        <v>3996</v>
      </c>
      <c r="J62" t="s">
        <v>3997</v>
      </c>
    </row>
    <row r="63" spans="1:10" x14ac:dyDescent="0.3">
      <c r="A63" t="s">
        <v>2300</v>
      </c>
      <c r="B63" s="20" t="s">
        <v>2301</v>
      </c>
      <c r="C63" t="s">
        <v>2302</v>
      </c>
      <c r="D63" t="s">
        <v>2303</v>
      </c>
      <c r="E63" s="1">
        <v>44235</v>
      </c>
      <c r="F63" s="1">
        <v>44235</v>
      </c>
      <c r="G63" s="5">
        <v>44320</v>
      </c>
      <c r="H63" s="3">
        <v>44320</v>
      </c>
      <c r="I63" t="s">
        <v>2304</v>
      </c>
      <c r="J63" t="s">
        <v>2305</v>
      </c>
    </row>
    <row r="64" spans="1:10" x14ac:dyDescent="0.3">
      <c r="A64" t="s">
        <v>1482</v>
      </c>
      <c r="B64" s="20" t="s">
        <v>1483</v>
      </c>
      <c r="C64" t="s">
        <v>1484</v>
      </c>
      <c r="D64" t="s">
        <v>1485</v>
      </c>
      <c r="E64" s="1">
        <v>44127</v>
      </c>
      <c r="F64" s="1">
        <v>44127</v>
      </c>
      <c r="G64" s="5">
        <v>44323</v>
      </c>
      <c r="H64" s="3">
        <v>44323</v>
      </c>
      <c r="I64" t="s">
        <v>1486</v>
      </c>
      <c r="J64" t="s">
        <v>1487</v>
      </c>
    </row>
    <row r="65" spans="1:10" x14ac:dyDescent="0.3">
      <c r="A65" t="s">
        <v>4104</v>
      </c>
      <c r="B65" s="21" t="s">
        <v>4105</v>
      </c>
      <c r="C65" t="s">
        <v>1776</v>
      </c>
      <c r="D65" t="s">
        <v>4106</v>
      </c>
      <c r="E65" s="1">
        <v>44119</v>
      </c>
      <c r="F65" s="1">
        <v>44119</v>
      </c>
      <c r="G65" s="5">
        <v>44330</v>
      </c>
      <c r="H65" s="3">
        <v>44330</v>
      </c>
      <c r="I65" t="s">
        <v>4107</v>
      </c>
      <c r="J65" t="s">
        <v>4108</v>
      </c>
    </row>
    <row r="66" spans="1:10" x14ac:dyDescent="0.3">
      <c r="A66" t="s">
        <v>1339</v>
      </c>
      <c r="B66" s="20" t="s">
        <v>1340</v>
      </c>
      <c r="C66" t="s">
        <v>1341</v>
      </c>
      <c r="D66" t="s">
        <v>1341</v>
      </c>
      <c r="E66" s="1">
        <v>44148</v>
      </c>
      <c r="F66" s="1">
        <v>44148</v>
      </c>
      <c r="G66" s="5">
        <v>44348</v>
      </c>
      <c r="H66" s="3">
        <v>44348</v>
      </c>
      <c r="I66" t="s">
        <v>1342</v>
      </c>
      <c r="J66" t="s">
        <v>1343</v>
      </c>
    </row>
    <row r="67" spans="1:10" x14ac:dyDescent="0.3">
      <c r="A67" t="s">
        <v>2059</v>
      </c>
      <c r="B67" s="20" t="s">
        <v>2060</v>
      </c>
      <c r="C67" t="s">
        <v>2061</v>
      </c>
      <c r="D67" t="s">
        <v>2062</v>
      </c>
      <c r="E67" s="1">
        <v>44068</v>
      </c>
      <c r="F67" s="1">
        <v>44068</v>
      </c>
      <c r="G67" s="5">
        <v>44348</v>
      </c>
      <c r="H67" s="3">
        <v>44348</v>
      </c>
      <c r="I67" t="s">
        <v>2063</v>
      </c>
      <c r="J67" t="s">
        <v>2064</v>
      </c>
    </row>
    <row r="68" spans="1:10" x14ac:dyDescent="0.3">
      <c r="A68" t="s">
        <v>3017</v>
      </c>
      <c r="B68" s="21" t="s">
        <v>3018</v>
      </c>
      <c r="C68" t="s">
        <v>3019</v>
      </c>
      <c r="D68" t="s">
        <v>3020</v>
      </c>
      <c r="E68" s="1">
        <v>44299</v>
      </c>
      <c r="F68" s="1">
        <v>44299</v>
      </c>
      <c r="G68" s="5">
        <v>44350</v>
      </c>
      <c r="H68" s="3">
        <v>44350</v>
      </c>
      <c r="I68" t="s">
        <v>3021</v>
      </c>
    </row>
    <row r="69" spans="1:10" x14ac:dyDescent="0.3">
      <c r="A69" t="s">
        <v>2011</v>
      </c>
      <c r="B69" s="21" t="s">
        <v>2012</v>
      </c>
      <c r="C69" t="s">
        <v>2013</v>
      </c>
      <c r="D69" t="s">
        <v>2014</v>
      </c>
      <c r="E69" s="1">
        <v>44025</v>
      </c>
      <c r="F69" s="1">
        <v>44025</v>
      </c>
      <c r="G69" s="5">
        <v>44351</v>
      </c>
      <c r="H69" s="3">
        <v>44351</v>
      </c>
      <c r="I69" t="s">
        <v>2015</v>
      </c>
      <c r="J69" t="s">
        <v>2016</v>
      </c>
    </row>
    <row r="70" spans="1:10" x14ac:dyDescent="0.3">
      <c r="A70" t="s">
        <v>4446</v>
      </c>
      <c r="B70" s="20" t="s">
        <v>4447</v>
      </c>
      <c r="C70" t="s">
        <v>2495</v>
      </c>
      <c r="D70" t="s">
        <v>2496</v>
      </c>
      <c r="E70" s="1">
        <v>44133</v>
      </c>
      <c r="F70" s="1">
        <v>44133</v>
      </c>
      <c r="G70" s="5">
        <v>44351</v>
      </c>
      <c r="H70" s="3">
        <v>44351</v>
      </c>
      <c r="I70" t="s">
        <v>4448</v>
      </c>
      <c r="J70" t="s">
        <v>4449</v>
      </c>
    </row>
    <row r="71" spans="1:10" x14ac:dyDescent="0.3">
      <c r="A71" t="s">
        <v>4659</v>
      </c>
      <c r="B71" s="20" t="s">
        <v>4660</v>
      </c>
      <c r="C71" t="s">
        <v>4566</v>
      </c>
      <c r="D71" t="s">
        <v>4567</v>
      </c>
      <c r="E71" s="1">
        <v>44118</v>
      </c>
      <c r="F71" s="1">
        <v>44118</v>
      </c>
      <c r="G71" s="5">
        <v>44351</v>
      </c>
      <c r="H71" s="3">
        <v>44351</v>
      </c>
      <c r="I71" t="s">
        <v>4661</v>
      </c>
      <c r="J71" t="s">
        <v>4662</v>
      </c>
    </row>
    <row r="72" spans="1:10" x14ac:dyDescent="0.3">
      <c r="A72" t="s">
        <v>1293</v>
      </c>
      <c r="B72" s="20" t="s">
        <v>1294</v>
      </c>
      <c r="C72" t="s">
        <v>1295</v>
      </c>
      <c r="D72" t="s">
        <v>1296</v>
      </c>
      <c r="E72" s="1">
        <v>43997</v>
      </c>
      <c r="F72" s="1">
        <v>43997</v>
      </c>
      <c r="G72" s="5">
        <v>44369</v>
      </c>
      <c r="H72" s="3">
        <v>44369</v>
      </c>
      <c r="I72" t="s">
        <v>1297</v>
      </c>
      <c r="J72" t="s">
        <v>1298</v>
      </c>
    </row>
    <row r="73" spans="1:10" x14ac:dyDescent="0.3">
      <c r="A73" t="s">
        <v>3442</v>
      </c>
      <c r="B73" s="20" t="s">
        <v>3443</v>
      </c>
      <c r="C73" t="s">
        <v>3444</v>
      </c>
      <c r="D73" t="s">
        <v>3445</v>
      </c>
      <c r="E73" s="1">
        <v>44126</v>
      </c>
      <c r="F73" s="1">
        <v>44126</v>
      </c>
      <c r="G73" s="5">
        <v>44369</v>
      </c>
      <c r="H73" s="3">
        <v>44369</v>
      </c>
      <c r="I73" t="s">
        <v>3446</v>
      </c>
      <c r="J73" t="s">
        <v>3447</v>
      </c>
    </row>
    <row r="74" spans="1:10" x14ac:dyDescent="0.3">
      <c r="A74" t="s">
        <v>4564</v>
      </c>
      <c r="B74" s="20" t="s">
        <v>4565</v>
      </c>
      <c r="C74" t="s">
        <v>4566</v>
      </c>
      <c r="D74" t="s">
        <v>4567</v>
      </c>
      <c r="E74" s="1">
        <v>44118</v>
      </c>
      <c r="F74" s="1">
        <v>44118</v>
      </c>
      <c r="G74" s="5">
        <v>44369</v>
      </c>
      <c r="H74" s="3">
        <v>44369</v>
      </c>
      <c r="I74" t="s">
        <v>4568</v>
      </c>
      <c r="J74" t="s">
        <v>4569</v>
      </c>
    </row>
    <row r="75" spans="1:10" x14ac:dyDescent="0.3">
      <c r="A75" t="s">
        <v>4263</v>
      </c>
      <c r="B75" s="20" t="s">
        <v>4264</v>
      </c>
      <c r="C75" t="s">
        <v>4265</v>
      </c>
      <c r="D75" t="s">
        <v>4266</v>
      </c>
      <c r="E75" s="1">
        <v>44070</v>
      </c>
      <c r="F75" s="1">
        <v>44070</v>
      </c>
      <c r="G75" s="5">
        <v>44372</v>
      </c>
      <c r="H75" s="3">
        <v>44372</v>
      </c>
      <c r="I75" t="s">
        <v>4267</v>
      </c>
      <c r="J75" t="s">
        <v>4268</v>
      </c>
    </row>
    <row r="76" spans="1:10" x14ac:dyDescent="0.3">
      <c r="A76" t="s">
        <v>2288</v>
      </c>
      <c r="B76" s="20" t="s">
        <v>2289</v>
      </c>
      <c r="C76" t="s">
        <v>2290</v>
      </c>
      <c r="D76" t="s">
        <v>2291</v>
      </c>
      <c r="E76" s="1">
        <v>44151</v>
      </c>
      <c r="F76" s="1">
        <v>44151</v>
      </c>
      <c r="G76" s="5">
        <v>44379</v>
      </c>
      <c r="H76" s="3">
        <v>44379</v>
      </c>
      <c r="I76" t="s">
        <v>2292</v>
      </c>
      <c r="J76" t="s">
        <v>2293</v>
      </c>
    </row>
    <row r="77" spans="1:10" x14ac:dyDescent="0.3">
      <c r="A77" t="s">
        <v>667</v>
      </c>
      <c r="B77" s="20" t="s">
        <v>668</v>
      </c>
      <c r="C77" t="s">
        <v>669</v>
      </c>
      <c r="D77" t="s">
        <v>670</v>
      </c>
      <c r="E77" s="1">
        <v>44174</v>
      </c>
      <c r="F77" s="1">
        <v>44174</v>
      </c>
      <c r="G77" s="5">
        <v>44383</v>
      </c>
      <c r="H77" s="3">
        <v>44383</v>
      </c>
      <c r="I77" t="s">
        <v>671</v>
      </c>
      <c r="J77" t="s">
        <v>672</v>
      </c>
    </row>
    <row r="78" spans="1:10" x14ac:dyDescent="0.3">
      <c r="A78" t="s">
        <v>2615</v>
      </c>
      <c r="B78" s="20" t="s">
        <v>2616</v>
      </c>
      <c r="C78" t="s">
        <v>2617</v>
      </c>
      <c r="D78" t="s">
        <v>2618</v>
      </c>
      <c r="E78" s="1">
        <v>44177</v>
      </c>
      <c r="F78" s="1">
        <v>44177</v>
      </c>
      <c r="G78" s="5">
        <v>44390</v>
      </c>
      <c r="H78" s="3">
        <v>44390</v>
      </c>
      <c r="I78" t="s">
        <v>2619</v>
      </c>
      <c r="J78" t="s">
        <v>2620</v>
      </c>
    </row>
    <row r="79" spans="1:10" x14ac:dyDescent="0.3">
      <c r="A79" t="s">
        <v>4229</v>
      </c>
      <c r="B79" s="20" t="s">
        <v>4230</v>
      </c>
      <c r="C79" t="s">
        <v>320</v>
      </c>
      <c r="D79" t="s">
        <v>4231</v>
      </c>
      <c r="E79" s="1">
        <v>44144</v>
      </c>
      <c r="F79" s="1">
        <v>44144</v>
      </c>
      <c r="G79" s="5">
        <v>44393</v>
      </c>
      <c r="H79" s="3">
        <v>44393</v>
      </c>
      <c r="I79" t="s">
        <v>4232</v>
      </c>
      <c r="J79" t="s">
        <v>4233</v>
      </c>
    </row>
    <row r="80" spans="1:10" x14ac:dyDescent="0.3">
      <c r="A80" t="s">
        <v>1262</v>
      </c>
      <c r="B80" s="20" t="s">
        <v>1263</v>
      </c>
      <c r="C80" t="s">
        <v>1264</v>
      </c>
      <c r="D80" t="s">
        <v>1265</v>
      </c>
      <c r="E80" s="1">
        <v>44329</v>
      </c>
      <c r="F80" s="1">
        <v>44329</v>
      </c>
      <c r="G80" s="5">
        <v>44399</v>
      </c>
      <c r="H80" s="3">
        <v>44399</v>
      </c>
      <c r="I80" t="s">
        <v>1266</v>
      </c>
    </row>
    <row r="81" spans="1:10" x14ac:dyDescent="0.3">
      <c r="A81" t="s">
        <v>724</v>
      </c>
      <c r="B81" s="20" t="s">
        <v>725</v>
      </c>
      <c r="C81" t="s">
        <v>669</v>
      </c>
      <c r="D81" t="s">
        <v>726</v>
      </c>
      <c r="E81" s="1">
        <v>44174</v>
      </c>
      <c r="F81" s="1">
        <v>44174</v>
      </c>
      <c r="G81" s="5">
        <v>44404</v>
      </c>
      <c r="H81" s="3">
        <v>44404</v>
      </c>
      <c r="I81" t="s">
        <v>727</v>
      </c>
      <c r="J81" t="s">
        <v>728</v>
      </c>
    </row>
    <row r="82" spans="1:10" x14ac:dyDescent="0.3">
      <c r="A82" t="s">
        <v>2245</v>
      </c>
      <c r="B82" s="20" t="s">
        <v>2246</v>
      </c>
      <c r="C82" t="s">
        <v>2247</v>
      </c>
      <c r="D82" t="s">
        <v>2248</v>
      </c>
      <c r="E82" s="1">
        <v>44032</v>
      </c>
      <c r="F82" s="1">
        <v>44032</v>
      </c>
      <c r="G82" s="5">
        <v>44404</v>
      </c>
      <c r="H82" s="3">
        <v>44404</v>
      </c>
      <c r="I82" t="s">
        <v>2249</v>
      </c>
      <c r="J82" t="s">
        <v>2250</v>
      </c>
    </row>
    <row r="83" spans="1:10" x14ac:dyDescent="0.3">
      <c r="A83" t="s">
        <v>4425</v>
      </c>
      <c r="B83" s="20" t="s">
        <v>4426</v>
      </c>
      <c r="C83" t="s">
        <v>4427</v>
      </c>
      <c r="D83" t="s">
        <v>4428</v>
      </c>
      <c r="E83" s="1">
        <v>44131</v>
      </c>
      <c r="F83" s="1">
        <v>44131</v>
      </c>
      <c r="G83" s="5">
        <v>44404</v>
      </c>
      <c r="H83" s="3">
        <v>44404</v>
      </c>
      <c r="I83" t="s">
        <v>4429</v>
      </c>
      <c r="J83" t="s">
        <v>4430</v>
      </c>
    </row>
    <row r="84" spans="1:10" x14ac:dyDescent="0.3">
      <c r="A84" t="s">
        <v>546</v>
      </c>
      <c r="B84" s="20" t="s">
        <v>547</v>
      </c>
      <c r="C84" t="s">
        <v>548</v>
      </c>
      <c r="D84" t="s">
        <v>549</v>
      </c>
      <c r="E84" s="1">
        <v>44151</v>
      </c>
      <c r="F84" s="1">
        <v>44151</v>
      </c>
      <c r="G84" s="5">
        <v>44411</v>
      </c>
      <c r="H84" s="3">
        <v>44411</v>
      </c>
      <c r="I84" t="s">
        <v>550</v>
      </c>
      <c r="J84" t="s">
        <v>551</v>
      </c>
    </row>
    <row r="85" spans="1:10" x14ac:dyDescent="0.3">
      <c r="A85" t="s">
        <v>2432</v>
      </c>
      <c r="B85" s="20" t="s">
        <v>2433</v>
      </c>
      <c r="C85" t="s">
        <v>2434</v>
      </c>
      <c r="D85" t="s">
        <v>2435</v>
      </c>
      <c r="E85" s="1">
        <v>44160</v>
      </c>
      <c r="F85" s="1">
        <v>44160</v>
      </c>
      <c r="G85" s="5">
        <v>44411</v>
      </c>
      <c r="H85" s="3">
        <v>44411</v>
      </c>
      <c r="I85" t="s">
        <v>2436</v>
      </c>
      <c r="J85" t="s">
        <v>2437</v>
      </c>
    </row>
    <row r="86" spans="1:10" x14ac:dyDescent="0.3">
      <c r="A86" t="s">
        <v>396</v>
      </c>
      <c r="B86" s="21" t="s">
        <v>397</v>
      </c>
      <c r="C86" t="s">
        <v>398</v>
      </c>
      <c r="D86" t="s">
        <v>399</v>
      </c>
      <c r="E86" s="1">
        <v>44137</v>
      </c>
      <c r="F86" s="1">
        <v>44137</v>
      </c>
      <c r="G86" s="5">
        <v>44414</v>
      </c>
      <c r="H86" s="3">
        <v>44414</v>
      </c>
      <c r="I86" t="s">
        <v>400</v>
      </c>
      <c r="J86" t="s">
        <v>401</v>
      </c>
    </row>
    <row r="87" spans="1:10" x14ac:dyDescent="0.3">
      <c r="A87" t="s">
        <v>1053</v>
      </c>
      <c r="B87" s="21" t="s">
        <v>1054</v>
      </c>
      <c r="C87" t="s">
        <v>1055</v>
      </c>
      <c r="D87" t="s">
        <v>1056</v>
      </c>
      <c r="E87" s="1">
        <v>44021</v>
      </c>
      <c r="F87" s="1">
        <v>44021</v>
      </c>
      <c r="G87" s="5">
        <v>44414</v>
      </c>
      <c r="H87" s="3">
        <v>44414</v>
      </c>
      <c r="I87" t="s">
        <v>1057</v>
      </c>
      <c r="J87" t="s">
        <v>1058</v>
      </c>
    </row>
    <row r="88" spans="1:10" x14ac:dyDescent="0.3">
      <c r="A88" t="s">
        <v>1566</v>
      </c>
      <c r="B88" s="20" t="s">
        <v>1567</v>
      </c>
      <c r="C88" t="s">
        <v>1568</v>
      </c>
      <c r="D88" t="s">
        <v>1569</v>
      </c>
      <c r="E88" s="1">
        <v>44110</v>
      </c>
      <c r="F88" s="1">
        <v>44110</v>
      </c>
      <c r="G88" s="5">
        <v>44414</v>
      </c>
      <c r="H88" s="3">
        <v>44414</v>
      </c>
      <c r="I88" t="s">
        <v>1570</v>
      </c>
      <c r="J88" t="s">
        <v>1571</v>
      </c>
    </row>
    <row r="89" spans="1:10" x14ac:dyDescent="0.3">
      <c r="A89" t="s">
        <v>4507</v>
      </c>
      <c r="B89" s="20" t="s">
        <v>4508</v>
      </c>
      <c r="C89" t="s">
        <v>4509</v>
      </c>
      <c r="D89" t="s">
        <v>4510</v>
      </c>
      <c r="E89" s="1">
        <v>44120</v>
      </c>
      <c r="F89" s="1">
        <v>44120</v>
      </c>
      <c r="G89" s="5">
        <v>44414</v>
      </c>
      <c r="H89" s="3">
        <v>44414</v>
      </c>
      <c r="I89" t="s">
        <v>4511</v>
      </c>
      <c r="J89" t="s">
        <v>4512</v>
      </c>
    </row>
    <row r="90" spans="1:10" x14ac:dyDescent="0.3">
      <c r="A90" t="s">
        <v>4669</v>
      </c>
      <c r="B90" s="20" t="s">
        <v>4670</v>
      </c>
      <c r="C90" t="s">
        <v>2654</v>
      </c>
      <c r="D90" t="s">
        <v>2654</v>
      </c>
      <c r="E90" s="1">
        <v>44101</v>
      </c>
      <c r="F90" s="1">
        <v>44101</v>
      </c>
      <c r="G90" s="5">
        <v>44414</v>
      </c>
      <c r="H90" s="3">
        <v>44414</v>
      </c>
      <c r="I90" t="s">
        <v>4671</v>
      </c>
      <c r="J90" t="s">
        <v>4672</v>
      </c>
    </row>
    <row r="91" spans="1:10" x14ac:dyDescent="0.3">
      <c r="A91" t="s">
        <v>2606</v>
      </c>
      <c r="B91" s="20" t="s">
        <v>2607</v>
      </c>
      <c r="C91" t="s">
        <v>2495</v>
      </c>
      <c r="D91" t="s">
        <v>2496</v>
      </c>
      <c r="E91" s="1">
        <v>44133</v>
      </c>
      <c r="F91" s="1">
        <v>44133</v>
      </c>
      <c r="G91" s="5">
        <v>44418</v>
      </c>
      <c r="H91" s="3">
        <v>44418</v>
      </c>
      <c r="I91" t="s">
        <v>2608</v>
      </c>
      <c r="J91" t="s">
        <v>2609</v>
      </c>
    </row>
    <row r="92" spans="1:10" x14ac:dyDescent="0.3">
      <c r="A92" t="s">
        <v>4486</v>
      </c>
      <c r="B92" s="20" t="s">
        <v>4487</v>
      </c>
      <c r="C92" t="s">
        <v>4488</v>
      </c>
      <c r="D92" t="s">
        <v>4489</v>
      </c>
      <c r="E92" s="1">
        <v>44223</v>
      </c>
      <c r="F92" s="1">
        <v>44223</v>
      </c>
      <c r="G92" s="5">
        <v>44418</v>
      </c>
      <c r="H92" s="3">
        <v>44418</v>
      </c>
      <c r="I92" t="s">
        <v>4490</v>
      </c>
      <c r="J92" t="s">
        <v>4491</v>
      </c>
    </row>
    <row r="93" spans="1:10" x14ac:dyDescent="0.3">
      <c r="A93" t="s">
        <v>4530</v>
      </c>
      <c r="B93" s="20" t="s">
        <v>4531</v>
      </c>
      <c r="C93" t="s">
        <v>2495</v>
      </c>
      <c r="D93" t="s">
        <v>2603</v>
      </c>
      <c r="E93" s="1">
        <v>44133</v>
      </c>
      <c r="F93" s="1">
        <v>44133</v>
      </c>
      <c r="G93" s="5">
        <v>44418</v>
      </c>
      <c r="H93" s="3">
        <v>44418</v>
      </c>
      <c r="I93" t="s">
        <v>4532</v>
      </c>
      <c r="J93" t="s">
        <v>4533</v>
      </c>
    </row>
    <row r="94" spans="1:10" x14ac:dyDescent="0.3">
      <c r="A94" t="s">
        <v>764</v>
      </c>
      <c r="B94" s="20" t="s">
        <v>765</v>
      </c>
      <c r="C94" t="s">
        <v>766</v>
      </c>
      <c r="D94" t="s">
        <v>767</v>
      </c>
      <c r="E94" s="1">
        <v>44126</v>
      </c>
      <c r="F94" s="1">
        <v>44126</v>
      </c>
      <c r="G94" s="5">
        <v>44421</v>
      </c>
      <c r="H94" s="3">
        <v>44421</v>
      </c>
      <c r="I94" t="s">
        <v>768</v>
      </c>
      <c r="J94" t="s">
        <v>769</v>
      </c>
    </row>
    <row r="95" spans="1:10" x14ac:dyDescent="0.3">
      <c r="A95" t="s">
        <v>3799</v>
      </c>
      <c r="B95" s="20" t="s">
        <v>3800</v>
      </c>
      <c r="C95" t="s">
        <v>3801</v>
      </c>
      <c r="D95" t="s">
        <v>3802</v>
      </c>
      <c r="E95" s="1">
        <v>44119</v>
      </c>
      <c r="F95" s="1">
        <v>44119</v>
      </c>
      <c r="G95" s="5">
        <v>44428</v>
      </c>
      <c r="H95" s="3">
        <v>44428</v>
      </c>
      <c r="I95" t="s">
        <v>3803</v>
      </c>
      <c r="J95" t="s">
        <v>3804</v>
      </c>
    </row>
    <row r="96" spans="1:10" x14ac:dyDescent="0.3">
      <c r="A96" t="s">
        <v>4032</v>
      </c>
      <c r="B96" s="20" t="s">
        <v>4033</v>
      </c>
      <c r="C96" t="s">
        <v>4034</v>
      </c>
      <c r="D96" t="s">
        <v>4035</v>
      </c>
      <c r="E96" s="1">
        <v>44151</v>
      </c>
      <c r="F96" s="1">
        <v>44151</v>
      </c>
      <c r="G96" s="5">
        <v>44428</v>
      </c>
      <c r="H96" s="3">
        <v>44428</v>
      </c>
      <c r="I96" t="s">
        <v>4036</v>
      </c>
      <c r="J96" t="s">
        <v>4037</v>
      </c>
    </row>
    <row r="97" spans="1:10" x14ac:dyDescent="0.3">
      <c r="A97" t="s">
        <v>2261</v>
      </c>
      <c r="B97" s="20" t="s">
        <v>2262</v>
      </c>
      <c r="C97" t="s">
        <v>2263</v>
      </c>
      <c r="D97" t="s">
        <v>2264</v>
      </c>
      <c r="E97" s="1">
        <v>44145</v>
      </c>
      <c r="F97" s="1">
        <v>44145</v>
      </c>
      <c r="G97" s="5">
        <v>44432</v>
      </c>
      <c r="H97" s="3">
        <v>44432</v>
      </c>
      <c r="I97" t="s">
        <v>2265</v>
      </c>
      <c r="J97" t="s">
        <v>2266</v>
      </c>
    </row>
    <row r="98" spans="1:10" x14ac:dyDescent="0.3">
      <c r="A98" t="s">
        <v>2733</v>
      </c>
      <c r="B98" s="20" t="s">
        <v>2734</v>
      </c>
      <c r="C98" t="s">
        <v>2735</v>
      </c>
      <c r="D98" t="s">
        <v>2736</v>
      </c>
      <c r="E98" s="1">
        <v>44181</v>
      </c>
      <c r="F98" s="1">
        <v>44181</v>
      </c>
      <c r="G98" s="5">
        <v>44432</v>
      </c>
      <c r="H98" s="3">
        <v>44432</v>
      </c>
      <c r="I98" t="s">
        <v>2737</v>
      </c>
      <c r="J98" t="s">
        <v>2738</v>
      </c>
    </row>
    <row r="99" spans="1:10" x14ac:dyDescent="0.3">
      <c r="A99" t="s">
        <v>2983</v>
      </c>
      <c r="B99" s="20" t="s">
        <v>2984</v>
      </c>
      <c r="C99" t="s">
        <v>2985</v>
      </c>
      <c r="D99" t="s">
        <v>2986</v>
      </c>
      <c r="E99" s="1">
        <v>44380</v>
      </c>
      <c r="F99" s="1">
        <v>44380</v>
      </c>
      <c r="G99" s="5">
        <v>44434</v>
      </c>
      <c r="H99" s="3">
        <v>44434</v>
      </c>
      <c r="I99" t="s">
        <v>2987</v>
      </c>
    </row>
    <row r="100" spans="1:10" x14ac:dyDescent="0.3">
      <c r="A100" t="s">
        <v>4713</v>
      </c>
      <c r="B100" s="20" t="s">
        <v>4714</v>
      </c>
      <c r="C100" t="s">
        <v>4715</v>
      </c>
      <c r="D100" t="s">
        <v>4716</v>
      </c>
      <c r="E100" s="1">
        <v>44095</v>
      </c>
      <c r="F100" s="1">
        <v>44095</v>
      </c>
      <c r="G100" s="5">
        <v>44435</v>
      </c>
      <c r="H100" s="3">
        <v>44435</v>
      </c>
      <c r="I100" t="s">
        <v>4717</v>
      </c>
      <c r="J100" t="s">
        <v>4718</v>
      </c>
    </row>
    <row r="101" spans="1:10" x14ac:dyDescent="0.3">
      <c r="A101" t="s">
        <v>257</v>
      </c>
      <c r="B101" s="20" t="s">
        <v>258</v>
      </c>
      <c r="C101" t="s">
        <v>259</v>
      </c>
      <c r="D101" t="s">
        <v>260</v>
      </c>
      <c r="E101" s="1">
        <v>44009</v>
      </c>
      <c r="F101" s="1">
        <v>44239</v>
      </c>
      <c r="G101" s="5">
        <v>44439</v>
      </c>
      <c r="H101" s="3">
        <v>44439</v>
      </c>
      <c r="I101" t="s">
        <v>261</v>
      </c>
      <c r="J101" t="s">
        <v>262</v>
      </c>
    </row>
    <row r="102" spans="1:10" x14ac:dyDescent="0.3">
      <c r="A102" t="s">
        <v>2356</v>
      </c>
      <c r="B102" s="20" t="s">
        <v>2357</v>
      </c>
      <c r="C102" t="s">
        <v>2358</v>
      </c>
      <c r="D102" t="s">
        <v>2359</v>
      </c>
      <c r="E102" s="1">
        <v>44211</v>
      </c>
      <c r="F102" s="1">
        <v>44211</v>
      </c>
      <c r="G102" s="5">
        <v>44439</v>
      </c>
      <c r="H102" s="3">
        <v>44439</v>
      </c>
      <c r="I102" t="s">
        <v>2360</v>
      </c>
      <c r="J102" t="s">
        <v>2361</v>
      </c>
    </row>
    <row r="103" spans="1:10" x14ac:dyDescent="0.3">
      <c r="A103" t="s">
        <v>3582</v>
      </c>
      <c r="B103" s="20" t="s">
        <v>3583</v>
      </c>
      <c r="C103" t="s">
        <v>3584</v>
      </c>
      <c r="D103" t="s">
        <v>3585</v>
      </c>
      <c r="E103" s="1">
        <v>44176</v>
      </c>
      <c r="F103" s="1">
        <v>44176</v>
      </c>
      <c r="G103" s="5">
        <v>44439</v>
      </c>
      <c r="H103" s="3">
        <v>44439</v>
      </c>
      <c r="I103" t="s">
        <v>3586</v>
      </c>
      <c r="J103" t="s">
        <v>3587</v>
      </c>
    </row>
    <row r="104" spans="1:10" x14ac:dyDescent="0.3">
      <c r="A104" t="s">
        <v>1774</v>
      </c>
      <c r="B104" s="20" t="s">
        <v>1775</v>
      </c>
      <c r="C104" t="s">
        <v>1776</v>
      </c>
      <c r="D104" t="s">
        <v>1777</v>
      </c>
      <c r="E104" s="1">
        <v>44265</v>
      </c>
      <c r="F104" s="1">
        <v>44265</v>
      </c>
      <c r="G104" s="5">
        <v>44442</v>
      </c>
      <c r="H104" s="3">
        <v>44442</v>
      </c>
      <c r="I104" t="s">
        <v>1778</v>
      </c>
      <c r="J104" t="s">
        <v>1779</v>
      </c>
    </row>
    <row r="105" spans="1:10" x14ac:dyDescent="0.3">
      <c r="A105" t="s">
        <v>2487</v>
      </c>
      <c r="B105" s="20" t="s">
        <v>2488</v>
      </c>
      <c r="C105" t="s">
        <v>2489</v>
      </c>
      <c r="D105" t="s">
        <v>2490</v>
      </c>
      <c r="E105" s="1">
        <v>44102</v>
      </c>
      <c r="F105" s="1">
        <v>44102</v>
      </c>
      <c r="G105" s="5">
        <v>44442</v>
      </c>
      <c r="H105" s="3">
        <v>44442</v>
      </c>
      <c r="I105" t="s">
        <v>2491</v>
      </c>
      <c r="J105" t="s">
        <v>2492</v>
      </c>
    </row>
    <row r="106" spans="1:10" x14ac:dyDescent="0.3">
      <c r="A106" t="s">
        <v>1965</v>
      </c>
      <c r="B106" s="20" t="s">
        <v>1966</v>
      </c>
      <c r="C106" t="s">
        <v>1967</v>
      </c>
      <c r="D106" t="s">
        <v>1968</v>
      </c>
      <c r="E106" s="1">
        <v>44173</v>
      </c>
      <c r="F106" s="1">
        <v>44173</v>
      </c>
      <c r="G106" s="5">
        <v>44449</v>
      </c>
      <c r="H106" s="3">
        <v>44449</v>
      </c>
      <c r="I106" t="s">
        <v>1969</v>
      </c>
      <c r="J106" t="s">
        <v>1970</v>
      </c>
    </row>
    <row r="107" spans="1:10" x14ac:dyDescent="0.3">
      <c r="A107" t="s">
        <v>4043</v>
      </c>
      <c r="B107" s="20" t="s">
        <v>4044</v>
      </c>
      <c r="C107" t="s">
        <v>4045</v>
      </c>
      <c r="D107" t="s">
        <v>4046</v>
      </c>
      <c r="E107" s="1">
        <v>44386</v>
      </c>
      <c r="F107" s="1">
        <v>44386</v>
      </c>
      <c r="G107" s="5">
        <v>44455</v>
      </c>
      <c r="H107" s="3">
        <v>44455</v>
      </c>
      <c r="I107" t="s">
        <v>4047</v>
      </c>
      <c r="J107" t="s">
        <v>4048</v>
      </c>
    </row>
    <row r="108" spans="1:10" x14ac:dyDescent="0.3">
      <c r="A108" t="s">
        <v>121</v>
      </c>
      <c r="B108" s="20" t="s">
        <v>122</v>
      </c>
      <c r="C108" t="s">
        <v>123</v>
      </c>
      <c r="D108" t="s">
        <v>124</v>
      </c>
      <c r="E108" s="1">
        <v>44279</v>
      </c>
      <c r="F108" s="1">
        <v>44279</v>
      </c>
      <c r="G108" s="5">
        <v>44460</v>
      </c>
      <c r="H108" s="3">
        <v>44460</v>
      </c>
      <c r="I108" t="s">
        <v>125</v>
      </c>
      <c r="J108" t="s">
        <v>126</v>
      </c>
    </row>
    <row r="109" spans="1:10" x14ac:dyDescent="0.3">
      <c r="A109" t="s">
        <v>2471</v>
      </c>
      <c r="B109" s="20" t="s">
        <v>2472</v>
      </c>
      <c r="C109" t="s">
        <v>2473</v>
      </c>
      <c r="D109" t="s">
        <v>2474</v>
      </c>
      <c r="E109" s="1">
        <v>44195</v>
      </c>
      <c r="F109" s="1">
        <v>44195</v>
      </c>
      <c r="G109" s="5">
        <v>44460</v>
      </c>
      <c r="H109" s="3">
        <v>44460</v>
      </c>
      <c r="I109" t="s">
        <v>2475</v>
      </c>
      <c r="J109" t="s">
        <v>2476</v>
      </c>
    </row>
    <row r="110" spans="1:10" x14ac:dyDescent="0.3">
      <c r="A110" t="s">
        <v>2493</v>
      </c>
      <c r="B110" s="21" t="s">
        <v>2494</v>
      </c>
      <c r="C110" t="s">
        <v>2495</v>
      </c>
      <c r="D110" t="s">
        <v>2496</v>
      </c>
      <c r="E110" s="1">
        <v>44133</v>
      </c>
      <c r="F110" s="1">
        <v>44133</v>
      </c>
      <c r="G110" s="5">
        <v>44460</v>
      </c>
      <c r="H110" s="3">
        <v>44460</v>
      </c>
      <c r="I110" t="s">
        <v>2497</v>
      </c>
      <c r="J110" t="s">
        <v>2498</v>
      </c>
    </row>
    <row r="111" spans="1:10" x14ac:dyDescent="0.3">
      <c r="A111" t="s">
        <v>2551</v>
      </c>
      <c r="B111" s="20" t="s">
        <v>2552</v>
      </c>
      <c r="C111" t="s">
        <v>2553</v>
      </c>
      <c r="D111" t="s">
        <v>2554</v>
      </c>
      <c r="E111" s="1">
        <v>44194</v>
      </c>
      <c r="F111" s="1">
        <v>44194</v>
      </c>
      <c r="G111" s="5">
        <v>44460</v>
      </c>
      <c r="H111" s="3">
        <v>44460</v>
      </c>
      <c r="I111" t="s">
        <v>2555</v>
      </c>
      <c r="J111" t="s">
        <v>2556</v>
      </c>
    </row>
    <row r="112" spans="1:10" x14ac:dyDescent="0.3">
      <c r="A112" t="s">
        <v>2562</v>
      </c>
      <c r="B112" s="20" t="s">
        <v>2563</v>
      </c>
      <c r="C112" t="s">
        <v>2553</v>
      </c>
      <c r="D112" t="s">
        <v>2564</v>
      </c>
      <c r="E112" s="1">
        <v>44193</v>
      </c>
      <c r="F112" s="1">
        <v>44193</v>
      </c>
      <c r="G112" s="5">
        <v>44460</v>
      </c>
      <c r="H112" s="3">
        <v>44460</v>
      </c>
      <c r="I112" t="s">
        <v>2565</v>
      </c>
      <c r="J112" t="s">
        <v>2566</v>
      </c>
    </row>
    <row r="113" spans="1:10" x14ac:dyDescent="0.3">
      <c r="A113" t="s">
        <v>2601</v>
      </c>
      <c r="B113" s="20" t="s">
        <v>2602</v>
      </c>
      <c r="C113" t="s">
        <v>2495</v>
      </c>
      <c r="D113" t="s">
        <v>2603</v>
      </c>
      <c r="E113" s="1">
        <v>44133</v>
      </c>
      <c r="F113" s="1">
        <v>44133</v>
      </c>
      <c r="G113" s="5">
        <v>44460</v>
      </c>
      <c r="H113" s="3">
        <v>44460</v>
      </c>
      <c r="I113" t="s">
        <v>2604</v>
      </c>
      <c r="J113" t="s">
        <v>2605</v>
      </c>
    </row>
    <row r="114" spans="1:10" x14ac:dyDescent="0.3">
      <c r="A114" t="s">
        <v>2652</v>
      </c>
      <c r="B114" s="20" t="s">
        <v>2653</v>
      </c>
      <c r="C114" t="s">
        <v>2654</v>
      </c>
      <c r="D114" t="s">
        <v>2654</v>
      </c>
      <c r="E114" s="1">
        <v>44101</v>
      </c>
      <c r="F114" s="1">
        <v>44101</v>
      </c>
      <c r="G114" s="5">
        <v>44460</v>
      </c>
      <c r="H114" s="3">
        <v>44460</v>
      </c>
      <c r="I114" t="s">
        <v>2655</v>
      </c>
      <c r="J114" t="s">
        <v>2656</v>
      </c>
    </row>
    <row r="115" spans="1:10" x14ac:dyDescent="0.3">
      <c r="A115" t="s">
        <v>4513</v>
      </c>
      <c r="B115" s="20" t="s">
        <v>4514</v>
      </c>
      <c r="C115" t="s">
        <v>4515</v>
      </c>
      <c r="D115" t="s">
        <v>4516</v>
      </c>
      <c r="E115" s="1">
        <v>44265</v>
      </c>
      <c r="F115" s="1">
        <v>44265</v>
      </c>
      <c r="G115" s="5">
        <v>44460</v>
      </c>
      <c r="H115" s="3">
        <v>44460</v>
      </c>
      <c r="I115" t="s">
        <v>4517</v>
      </c>
      <c r="J115" t="s">
        <v>4518</v>
      </c>
    </row>
    <row r="116" spans="1:10" x14ac:dyDescent="0.3">
      <c r="A116" t="s">
        <v>2625</v>
      </c>
      <c r="B116" s="20" t="s">
        <v>2626</v>
      </c>
      <c r="C116" t="s">
        <v>2627</v>
      </c>
      <c r="D116" t="s">
        <v>2628</v>
      </c>
      <c r="E116" s="1">
        <v>44068</v>
      </c>
      <c r="F116" s="1">
        <v>44068</v>
      </c>
      <c r="G116" s="5">
        <v>44463</v>
      </c>
      <c r="H116" s="3">
        <v>44463</v>
      </c>
      <c r="I116" t="s">
        <v>2629</v>
      </c>
      <c r="J116" t="s">
        <v>2630</v>
      </c>
    </row>
    <row r="117" spans="1:10" x14ac:dyDescent="0.3">
      <c r="A117" t="s">
        <v>3033</v>
      </c>
      <c r="B117" s="20" t="s">
        <v>3034</v>
      </c>
      <c r="C117" t="s">
        <v>3035</v>
      </c>
      <c r="D117" t="s">
        <v>3036</v>
      </c>
      <c r="E117" s="1">
        <v>44258</v>
      </c>
      <c r="F117" s="1">
        <v>44258</v>
      </c>
      <c r="G117" s="5">
        <v>44463</v>
      </c>
      <c r="H117" s="3">
        <v>44463</v>
      </c>
      <c r="I117" t="s">
        <v>3037</v>
      </c>
      <c r="J117" t="s">
        <v>3038</v>
      </c>
    </row>
    <row r="118" spans="1:10" x14ac:dyDescent="0.3">
      <c r="A118" t="s">
        <v>2911</v>
      </c>
      <c r="B118" s="21" t="s">
        <v>2912</v>
      </c>
      <c r="C118" t="s">
        <v>2913</v>
      </c>
      <c r="D118" t="s">
        <v>2914</v>
      </c>
      <c r="E118" s="1">
        <v>44221</v>
      </c>
      <c r="F118" s="1">
        <v>44221</v>
      </c>
      <c r="G118" s="5">
        <v>44467</v>
      </c>
      <c r="H118" s="3">
        <v>44467</v>
      </c>
      <c r="I118" t="s">
        <v>2915</v>
      </c>
      <c r="J118" t="s">
        <v>2916</v>
      </c>
    </row>
    <row r="119" spans="1:10" x14ac:dyDescent="0.3">
      <c r="A119" t="s">
        <v>413</v>
      </c>
      <c r="B119" s="20" t="s">
        <v>414</v>
      </c>
      <c r="C119" t="s">
        <v>415</v>
      </c>
      <c r="D119" t="s">
        <v>416</v>
      </c>
      <c r="E119" s="1">
        <v>44328</v>
      </c>
      <c r="F119" s="1">
        <v>44328</v>
      </c>
      <c r="G119" s="5">
        <v>44469</v>
      </c>
      <c r="H119" s="3">
        <v>44469</v>
      </c>
      <c r="I119" t="s">
        <v>417</v>
      </c>
      <c r="J119" t="s">
        <v>418</v>
      </c>
    </row>
    <row r="120" spans="1:10" x14ac:dyDescent="0.3">
      <c r="A120" t="s">
        <v>1252</v>
      </c>
      <c r="B120" s="20" t="s">
        <v>1253</v>
      </c>
      <c r="C120" t="s">
        <v>415</v>
      </c>
      <c r="D120" t="s">
        <v>416</v>
      </c>
      <c r="E120" s="1">
        <v>44328</v>
      </c>
      <c r="F120" s="1">
        <v>44328</v>
      </c>
      <c r="G120" s="5">
        <v>44469</v>
      </c>
      <c r="H120" s="3">
        <v>44469</v>
      </c>
      <c r="I120" t="s">
        <v>1254</v>
      </c>
      <c r="J120" t="s">
        <v>1255</v>
      </c>
    </row>
    <row r="121" spans="1:10" x14ac:dyDescent="0.3">
      <c r="A121" t="s">
        <v>1289</v>
      </c>
      <c r="B121" s="20" t="s">
        <v>1290</v>
      </c>
      <c r="C121" t="s">
        <v>415</v>
      </c>
      <c r="D121" t="s">
        <v>416</v>
      </c>
      <c r="E121" s="1">
        <v>44328</v>
      </c>
      <c r="F121" s="1">
        <v>44328</v>
      </c>
      <c r="G121" s="5">
        <v>44469</v>
      </c>
      <c r="H121" s="3">
        <v>44469</v>
      </c>
      <c r="I121" t="s">
        <v>1291</v>
      </c>
      <c r="J121" t="s">
        <v>1292</v>
      </c>
    </row>
    <row r="122" spans="1:10" x14ac:dyDescent="0.3">
      <c r="A122" t="s">
        <v>1267</v>
      </c>
      <c r="B122" s="20" t="s">
        <v>1268</v>
      </c>
      <c r="C122" t="s">
        <v>1269</v>
      </c>
      <c r="D122" t="s">
        <v>1270</v>
      </c>
      <c r="E122" s="1">
        <v>43947</v>
      </c>
      <c r="F122" s="1">
        <v>43947</v>
      </c>
      <c r="G122" s="5">
        <v>44477</v>
      </c>
      <c r="H122" s="3">
        <v>44477</v>
      </c>
      <c r="I122" t="s">
        <v>1271</v>
      </c>
      <c r="J122" t="s">
        <v>1272</v>
      </c>
    </row>
    <row r="123" spans="1:10" x14ac:dyDescent="0.3">
      <c r="A123" t="s">
        <v>3144</v>
      </c>
      <c r="B123" s="20" t="s">
        <v>3145</v>
      </c>
      <c r="C123" t="s">
        <v>3146</v>
      </c>
      <c r="D123" t="s">
        <v>3147</v>
      </c>
      <c r="E123" s="1">
        <v>44189</v>
      </c>
      <c r="F123" s="1">
        <v>44189</v>
      </c>
      <c r="G123" s="5">
        <v>44477</v>
      </c>
      <c r="H123" s="3">
        <v>44477</v>
      </c>
      <c r="I123" t="s">
        <v>3148</v>
      </c>
      <c r="J123" t="s">
        <v>3149</v>
      </c>
    </row>
    <row r="124" spans="1:10" x14ac:dyDescent="0.3">
      <c r="A124" t="s">
        <v>4743</v>
      </c>
      <c r="B124" s="20" t="s">
        <v>4744</v>
      </c>
      <c r="C124" t="s">
        <v>4745</v>
      </c>
      <c r="D124" t="s">
        <v>4746</v>
      </c>
      <c r="E124" s="1">
        <v>43843</v>
      </c>
      <c r="F124" s="1">
        <v>43843</v>
      </c>
      <c r="G124" s="5">
        <v>44477</v>
      </c>
      <c r="H124" s="3">
        <v>44477</v>
      </c>
      <c r="I124" t="s">
        <v>4747</v>
      </c>
      <c r="J124" t="s">
        <v>4748</v>
      </c>
    </row>
    <row r="125" spans="1:10" x14ac:dyDescent="0.3">
      <c r="A125" t="s">
        <v>3014</v>
      </c>
      <c r="B125" s="20" t="s">
        <v>397</v>
      </c>
      <c r="C125" t="s">
        <v>398</v>
      </c>
      <c r="D125" t="s">
        <v>399</v>
      </c>
      <c r="E125" s="1">
        <v>44137</v>
      </c>
      <c r="F125" s="1">
        <v>44137</v>
      </c>
      <c r="G125" s="5">
        <v>44488</v>
      </c>
      <c r="H125" s="3">
        <v>44488</v>
      </c>
      <c r="I125" t="s">
        <v>3015</v>
      </c>
      <c r="J125" t="s">
        <v>3016</v>
      </c>
    </row>
    <row r="126" spans="1:10" x14ac:dyDescent="0.3">
      <c r="A126" t="s">
        <v>1513</v>
      </c>
      <c r="B126" s="20" t="s">
        <v>1514</v>
      </c>
      <c r="C126" t="s">
        <v>1209</v>
      </c>
      <c r="D126" t="s">
        <v>1210</v>
      </c>
      <c r="E126" s="1">
        <v>44204</v>
      </c>
      <c r="F126" s="1">
        <v>44204</v>
      </c>
      <c r="G126" s="5">
        <v>44490</v>
      </c>
      <c r="H126" s="3">
        <v>44490</v>
      </c>
      <c r="I126" t="s">
        <v>1515</v>
      </c>
      <c r="J126" t="s">
        <v>1516</v>
      </c>
    </row>
    <row r="127" spans="1:10" x14ac:dyDescent="0.3">
      <c r="A127" t="s">
        <v>1011</v>
      </c>
      <c r="B127" s="20" t="s">
        <v>1012</v>
      </c>
      <c r="C127" t="s">
        <v>1013</v>
      </c>
      <c r="D127" t="s">
        <v>1014</v>
      </c>
      <c r="E127" s="1">
        <v>44176</v>
      </c>
      <c r="F127" s="1">
        <v>44176</v>
      </c>
      <c r="G127" s="5">
        <v>44491</v>
      </c>
      <c r="H127" s="3">
        <v>44491</v>
      </c>
      <c r="I127" t="s">
        <v>1015</v>
      </c>
      <c r="J127" t="s">
        <v>1016</v>
      </c>
    </row>
    <row r="128" spans="1:10" x14ac:dyDescent="0.3">
      <c r="A128" t="s">
        <v>2673</v>
      </c>
      <c r="B128" s="20" t="s">
        <v>2674</v>
      </c>
      <c r="C128" t="s">
        <v>2645</v>
      </c>
      <c r="D128" t="s">
        <v>2646</v>
      </c>
      <c r="E128" s="1">
        <v>44316</v>
      </c>
      <c r="F128" s="1">
        <v>44316</v>
      </c>
      <c r="G128" s="5">
        <v>44498</v>
      </c>
      <c r="H128" s="3">
        <v>44498</v>
      </c>
      <c r="I128" t="s">
        <v>2675</v>
      </c>
      <c r="J128" t="s">
        <v>2676</v>
      </c>
    </row>
    <row r="129" spans="1:10" x14ac:dyDescent="0.3">
      <c r="A129" t="s">
        <v>1751</v>
      </c>
      <c r="B129" s="20" t="s">
        <v>1752</v>
      </c>
      <c r="C129" t="s">
        <v>1753</v>
      </c>
      <c r="D129" t="s">
        <v>1754</v>
      </c>
      <c r="E129" s="1">
        <v>43980</v>
      </c>
      <c r="F129" s="1">
        <v>43980</v>
      </c>
      <c r="G129" s="5">
        <v>44501</v>
      </c>
      <c r="H129" s="3">
        <v>44501</v>
      </c>
      <c r="I129" t="s">
        <v>1755</v>
      </c>
      <c r="J129" t="s">
        <v>1756</v>
      </c>
    </row>
    <row r="130" spans="1:10" x14ac:dyDescent="0.3">
      <c r="A130" t="s">
        <v>1180</v>
      </c>
      <c r="B130" s="20" t="s">
        <v>1181</v>
      </c>
      <c r="C130" t="s">
        <v>1182</v>
      </c>
      <c r="D130" t="s">
        <v>1183</v>
      </c>
      <c r="E130" s="1">
        <v>44281</v>
      </c>
      <c r="F130" s="1">
        <v>44281</v>
      </c>
      <c r="G130" s="5">
        <v>44502</v>
      </c>
      <c r="H130" s="3">
        <v>44502</v>
      </c>
      <c r="I130" t="s">
        <v>1184</v>
      </c>
      <c r="J130" t="s">
        <v>1185</v>
      </c>
    </row>
    <row r="131" spans="1:10" x14ac:dyDescent="0.3">
      <c r="A131" t="s">
        <v>2477</v>
      </c>
      <c r="B131" s="20" t="s">
        <v>2478</v>
      </c>
      <c r="C131" t="s">
        <v>2479</v>
      </c>
      <c r="D131" t="s">
        <v>1798</v>
      </c>
      <c r="E131" s="1">
        <v>44144</v>
      </c>
      <c r="F131" s="1">
        <v>44204</v>
      </c>
      <c r="G131" s="5">
        <v>44502</v>
      </c>
      <c r="H131" s="3">
        <v>44502</v>
      </c>
      <c r="I131" t="s">
        <v>2480</v>
      </c>
      <c r="J131" t="s">
        <v>2481</v>
      </c>
    </row>
    <row r="132" spans="1:10" x14ac:dyDescent="0.3">
      <c r="A132" t="s">
        <v>2323</v>
      </c>
      <c r="B132" s="20" t="s">
        <v>2324</v>
      </c>
      <c r="C132" t="s">
        <v>2325</v>
      </c>
      <c r="D132" t="s">
        <v>2326</v>
      </c>
      <c r="E132" s="1">
        <v>44302</v>
      </c>
      <c r="F132" s="1">
        <v>44302</v>
      </c>
      <c r="G132" s="5">
        <v>44505</v>
      </c>
      <c r="H132" s="3">
        <v>44505</v>
      </c>
      <c r="I132" t="s">
        <v>2327</v>
      </c>
      <c r="J132" t="s">
        <v>2328</v>
      </c>
    </row>
    <row r="133" spans="1:10" x14ac:dyDescent="0.3">
      <c r="A133" t="s">
        <v>2405</v>
      </c>
      <c r="B133" s="20" t="s">
        <v>2406</v>
      </c>
      <c r="C133" t="s">
        <v>2407</v>
      </c>
      <c r="D133" t="s">
        <v>2408</v>
      </c>
      <c r="E133" s="1">
        <v>44216</v>
      </c>
      <c r="F133" s="1">
        <v>44216</v>
      </c>
      <c r="G133" s="5">
        <v>44509</v>
      </c>
      <c r="H133" s="3">
        <v>44509</v>
      </c>
      <c r="I133" t="s">
        <v>2409</v>
      </c>
      <c r="J133" t="s">
        <v>2410</v>
      </c>
    </row>
    <row r="134" spans="1:10" x14ac:dyDescent="0.3">
      <c r="A134" t="s">
        <v>3101</v>
      </c>
      <c r="B134" s="20" t="s">
        <v>3102</v>
      </c>
      <c r="C134" t="s">
        <v>685</v>
      </c>
      <c r="D134" t="s">
        <v>3103</v>
      </c>
      <c r="E134" s="1">
        <v>44208</v>
      </c>
      <c r="F134" s="1">
        <v>44208</v>
      </c>
      <c r="G134" s="5">
        <v>44509</v>
      </c>
      <c r="H134" s="3">
        <v>44509</v>
      </c>
      <c r="I134" t="s">
        <v>3104</v>
      </c>
      <c r="J134" t="s">
        <v>3105</v>
      </c>
    </row>
    <row r="135" spans="1:10" x14ac:dyDescent="0.3">
      <c r="A135" t="s">
        <v>4058</v>
      </c>
      <c r="B135" s="20" t="s">
        <v>4059</v>
      </c>
      <c r="C135" t="s">
        <v>2407</v>
      </c>
      <c r="D135" t="s">
        <v>2408</v>
      </c>
      <c r="E135" s="1">
        <v>44216</v>
      </c>
      <c r="F135" s="1">
        <v>44216</v>
      </c>
      <c r="G135" s="5">
        <v>44509</v>
      </c>
      <c r="H135" s="3">
        <v>44509</v>
      </c>
      <c r="I135" t="s">
        <v>4060</v>
      </c>
      <c r="J135" t="s">
        <v>4061</v>
      </c>
    </row>
    <row r="136" spans="1:10" x14ac:dyDescent="0.3">
      <c r="A136" t="s">
        <v>59</v>
      </c>
      <c r="B136" s="21" t="s">
        <v>60</v>
      </c>
      <c r="C136" t="s">
        <v>61</v>
      </c>
      <c r="D136" t="s">
        <v>62</v>
      </c>
      <c r="E136" s="1">
        <v>44211</v>
      </c>
      <c r="F136" s="1">
        <v>44211</v>
      </c>
      <c r="G136" s="5">
        <v>44512</v>
      </c>
      <c r="H136" s="3">
        <v>44512</v>
      </c>
      <c r="I136" t="s">
        <v>63</v>
      </c>
      <c r="J136" t="s">
        <v>64</v>
      </c>
    </row>
    <row r="137" spans="1:10" x14ac:dyDescent="0.3">
      <c r="A137" t="s">
        <v>4798</v>
      </c>
      <c r="B137" s="20" t="s">
        <v>4799</v>
      </c>
      <c r="C137" t="s">
        <v>4800</v>
      </c>
      <c r="D137" t="s">
        <v>4801</v>
      </c>
      <c r="E137" s="1">
        <v>44274</v>
      </c>
      <c r="F137" s="1">
        <v>44274</v>
      </c>
      <c r="G137" s="5">
        <v>44512</v>
      </c>
      <c r="H137" s="3">
        <v>44512</v>
      </c>
      <c r="I137" t="s">
        <v>4802</v>
      </c>
      <c r="J137" t="s">
        <v>4803</v>
      </c>
    </row>
    <row r="138" spans="1:10" x14ac:dyDescent="0.3">
      <c r="A138" t="s">
        <v>3761</v>
      </c>
      <c r="B138" s="20" t="s">
        <v>3762</v>
      </c>
      <c r="C138" t="s">
        <v>3763</v>
      </c>
      <c r="D138" t="s">
        <v>3764</v>
      </c>
      <c r="E138" s="1">
        <v>44228</v>
      </c>
      <c r="F138" s="1">
        <v>44228</v>
      </c>
      <c r="G138" s="5">
        <v>44516</v>
      </c>
      <c r="H138" s="3">
        <v>44516</v>
      </c>
      <c r="I138" t="s">
        <v>3765</v>
      </c>
      <c r="J138" t="s">
        <v>3766</v>
      </c>
    </row>
    <row r="139" spans="1:10" x14ac:dyDescent="0.3">
      <c r="A139" t="s">
        <v>4196</v>
      </c>
      <c r="B139" s="20" t="s">
        <v>4197</v>
      </c>
      <c r="C139" t="s">
        <v>4198</v>
      </c>
      <c r="D139" t="s">
        <v>4199</v>
      </c>
      <c r="E139" s="1">
        <v>44312</v>
      </c>
      <c r="F139" s="1">
        <v>44312</v>
      </c>
      <c r="G139" s="5">
        <v>44516</v>
      </c>
      <c r="H139" s="3">
        <v>44516</v>
      </c>
      <c r="I139" t="s">
        <v>4200</v>
      </c>
      <c r="J139" t="s">
        <v>4201</v>
      </c>
    </row>
    <row r="140" spans="1:10" x14ac:dyDescent="0.3">
      <c r="A140" t="s">
        <v>1385</v>
      </c>
      <c r="B140" s="20" t="s">
        <v>1386</v>
      </c>
      <c r="C140" t="s">
        <v>1387</v>
      </c>
      <c r="D140" t="s">
        <v>1388</v>
      </c>
      <c r="E140" s="1">
        <v>44265</v>
      </c>
      <c r="F140" s="1">
        <v>44265</v>
      </c>
      <c r="G140" s="5">
        <v>44517</v>
      </c>
      <c r="H140" s="3">
        <v>44517</v>
      </c>
      <c r="I140" t="s">
        <v>1389</v>
      </c>
      <c r="J140" t="s">
        <v>1390</v>
      </c>
    </row>
    <row r="141" spans="1:10" x14ac:dyDescent="0.3">
      <c r="A141" t="s">
        <v>1476</v>
      </c>
      <c r="B141" s="20" t="s">
        <v>1477</v>
      </c>
      <c r="C141" t="s">
        <v>1478</v>
      </c>
      <c r="D141" t="s">
        <v>1479</v>
      </c>
      <c r="E141" s="1">
        <v>43935</v>
      </c>
      <c r="F141" s="1">
        <v>43935</v>
      </c>
      <c r="G141" s="5">
        <v>44517</v>
      </c>
      <c r="H141" s="3">
        <v>44517</v>
      </c>
      <c r="I141" t="s">
        <v>1480</v>
      </c>
      <c r="J141" t="s">
        <v>1481</v>
      </c>
    </row>
    <row r="142" spans="1:10" x14ac:dyDescent="0.3">
      <c r="A142" t="s">
        <v>2803</v>
      </c>
      <c r="B142" s="20" t="s">
        <v>2804</v>
      </c>
      <c r="C142" t="s">
        <v>2805</v>
      </c>
      <c r="D142" t="s">
        <v>2806</v>
      </c>
      <c r="E142" s="1">
        <v>44305</v>
      </c>
      <c r="F142" s="1">
        <v>44305</v>
      </c>
      <c r="G142" s="5">
        <v>44519</v>
      </c>
      <c r="H142" s="3">
        <v>44519</v>
      </c>
      <c r="I142" t="s">
        <v>2807</v>
      </c>
      <c r="J142" t="s">
        <v>2808</v>
      </c>
    </row>
    <row r="143" spans="1:10" x14ac:dyDescent="0.3">
      <c r="A143" t="s">
        <v>2317</v>
      </c>
      <c r="B143" s="20" t="s">
        <v>2318</v>
      </c>
      <c r="C143" t="s">
        <v>2319</v>
      </c>
      <c r="D143" t="s">
        <v>2320</v>
      </c>
      <c r="E143" s="1">
        <v>44098</v>
      </c>
      <c r="F143" s="1">
        <v>44098</v>
      </c>
      <c r="G143" s="5">
        <v>44523</v>
      </c>
      <c r="H143" s="3">
        <v>44523</v>
      </c>
      <c r="I143" t="s">
        <v>2321</v>
      </c>
      <c r="J143" t="s">
        <v>2322</v>
      </c>
    </row>
    <row r="144" spans="1:10" x14ac:dyDescent="0.3">
      <c r="A144" t="s">
        <v>3070</v>
      </c>
      <c r="B144" s="20" t="s">
        <v>3071</v>
      </c>
      <c r="C144" t="s">
        <v>3072</v>
      </c>
      <c r="D144" t="s">
        <v>3073</v>
      </c>
      <c r="E144" s="1">
        <v>44400</v>
      </c>
      <c r="F144" s="1">
        <v>44400</v>
      </c>
      <c r="G144" s="5">
        <v>44523</v>
      </c>
      <c r="H144" s="3">
        <v>44523</v>
      </c>
      <c r="I144" t="s">
        <v>3074</v>
      </c>
      <c r="J144" t="s">
        <v>3075</v>
      </c>
    </row>
    <row r="145" spans="1:10" x14ac:dyDescent="0.3">
      <c r="A145" t="s">
        <v>3278</v>
      </c>
      <c r="B145" s="20" t="s">
        <v>3279</v>
      </c>
      <c r="C145" t="s">
        <v>3280</v>
      </c>
      <c r="D145" t="s">
        <v>3281</v>
      </c>
      <c r="E145" s="1">
        <v>44375</v>
      </c>
      <c r="F145" s="1">
        <v>44375</v>
      </c>
      <c r="G145" s="5">
        <v>44523</v>
      </c>
      <c r="H145" s="3">
        <v>44523</v>
      </c>
      <c r="I145" t="s">
        <v>3282</v>
      </c>
      <c r="J145" t="s">
        <v>3283</v>
      </c>
    </row>
    <row r="146" spans="1:10" x14ac:dyDescent="0.3">
      <c r="A146" t="s">
        <v>4207</v>
      </c>
      <c r="B146" s="20" t="s">
        <v>4208</v>
      </c>
      <c r="C146" t="s">
        <v>4209</v>
      </c>
      <c r="D146" t="s">
        <v>4210</v>
      </c>
      <c r="E146" s="1">
        <v>44183</v>
      </c>
      <c r="F146" s="1">
        <v>44183</v>
      </c>
      <c r="G146" s="5">
        <v>44523</v>
      </c>
      <c r="H146" s="3">
        <v>44523</v>
      </c>
      <c r="I146" t="s">
        <v>4211</v>
      </c>
      <c r="J146" t="s">
        <v>4212</v>
      </c>
    </row>
    <row r="147" spans="1:10" x14ac:dyDescent="0.3">
      <c r="A147" t="s">
        <v>4269</v>
      </c>
      <c r="B147" s="20" t="s">
        <v>4270</v>
      </c>
      <c r="C147" t="s">
        <v>4271</v>
      </c>
      <c r="D147" t="s">
        <v>4271</v>
      </c>
      <c r="E147" s="1">
        <v>44278</v>
      </c>
      <c r="F147" s="1">
        <v>44278</v>
      </c>
      <c r="G147" s="5">
        <v>44523</v>
      </c>
      <c r="H147" s="3">
        <v>44523</v>
      </c>
      <c r="I147" t="s">
        <v>4272</v>
      </c>
      <c r="J147" t="s">
        <v>4273</v>
      </c>
    </row>
    <row r="148" spans="1:10" x14ac:dyDescent="0.3">
      <c r="A148" t="s">
        <v>4415</v>
      </c>
      <c r="B148" s="20" t="s">
        <v>4416</v>
      </c>
      <c r="C148" t="s">
        <v>1883</v>
      </c>
      <c r="D148" t="s">
        <v>4417</v>
      </c>
      <c r="E148" s="1">
        <v>44152</v>
      </c>
      <c r="F148" s="1">
        <v>44152</v>
      </c>
      <c r="G148" s="5">
        <v>44523</v>
      </c>
      <c r="H148" s="3">
        <v>44523</v>
      </c>
      <c r="I148" t="s">
        <v>4418</v>
      </c>
      <c r="J148" t="s">
        <v>4419</v>
      </c>
    </row>
    <row r="149" spans="1:10" x14ac:dyDescent="0.3">
      <c r="A149" t="s">
        <v>1881</v>
      </c>
      <c r="B149" s="20" t="s">
        <v>1882</v>
      </c>
      <c r="C149" t="s">
        <v>1883</v>
      </c>
      <c r="D149" t="s">
        <v>1884</v>
      </c>
      <c r="E149" s="1">
        <v>44152</v>
      </c>
      <c r="F149" s="1">
        <v>44152</v>
      </c>
      <c r="G149" s="5">
        <v>44526</v>
      </c>
      <c r="H149" s="3">
        <v>44526</v>
      </c>
      <c r="I149" t="s">
        <v>1885</v>
      </c>
      <c r="J149" t="s">
        <v>1886</v>
      </c>
    </row>
    <row r="150" spans="1:10" x14ac:dyDescent="0.3">
      <c r="A150" t="s">
        <v>2163</v>
      </c>
      <c r="B150" s="20" t="s">
        <v>2164</v>
      </c>
      <c r="C150" t="s">
        <v>910</v>
      </c>
      <c r="D150" t="s">
        <v>2165</v>
      </c>
      <c r="E150" s="1">
        <v>44282</v>
      </c>
      <c r="F150" s="1">
        <v>44282</v>
      </c>
      <c r="G150" s="5">
        <v>44526</v>
      </c>
      <c r="H150" s="3">
        <v>44526</v>
      </c>
      <c r="I150" t="s">
        <v>2166</v>
      </c>
      <c r="J150" t="s">
        <v>2167</v>
      </c>
    </row>
    <row r="151" spans="1:10" x14ac:dyDescent="0.3">
      <c r="A151" t="s">
        <v>3127</v>
      </c>
      <c r="B151" s="20" t="s">
        <v>3128</v>
      </c>
      <c r="C151" t="s">
        <v>3129</v>
      </c>
      <c r="D151" t="s">
        <v>3130</v>
      </c>
      <c r="E151" s="1">
        <v>44382</v>
      </c>
      <c r="F151" s="1">
        <v>44382</v>
      </c>
      <c r="G151" s="5">
        <v>44526</v>
      </c>
      <c r="H151" s="3">
        <v>44526</v>
      </c>
      <c r="I151" t="s">
        <v>3131</v>
      </c>
      <c r="J151" t="s">
        <v>3132</v>
      </c>
    </row>
    <row r="152" spans="1:10" x14ac:dyDescent="0.3">
      <c r="A152" t="s">
        <v>38</v>
      </c>
      <c r="B152" s="20" t="s">
        <v>39</v>
      </c>
      <c r="C152" t="s">
        <v>40</v>
      </c>
      <c r="D152" t="s">
        <v>41</v>
      </c>
      <c r="E152" s="1">
        <v>44376</v>
      </c>
      <c r="F152" s="1">
        <v>44376</v>
      </c>
      <c r="G152" s="5">
        <v>44530</v>
      </c>
      <c r="H152" s="3">
        <v>44530</v>
      </c>
      <c r="I152" t="s">
        <v>42</v>
      </c>
      <c r="J152" t="s">
        <v>43</v>
      </c>
    </row>
    <row r="153" spans="1:10" x14ac:dyDescent="0.3">
      <c r="A153" t="s">
        <v>1606</v>
      </c>
      <c r="B153" s="21" t="s">
        <v>1607</v>
      </c>
      <c r="C153" t="s">
        <v>1608</v>
      </c>
      <c r="D153" t="s">
        <v>1609</v>
      </c>
      <c r="E153" s="1">
        <v>44330</v>
      </c>
      <c r="F153" s="1">
        <v>44330</v>
      </c>
      <c r="G153" s="5">
        <v>44530</v>
      </c>
      <c r="H153" s="3">
        <v>44530</v>
      </c>
      <c r="I153" t="s">
        <v>1610</v>
      </c>
      <c r="J153" t="s">
        <v>1611</v>
      </c>
    </row>
    <row r="154" spans="1:10" x14ac:dyDescent="0.3">
      <c r="A154" t="s">
        <v>4570</v>
      </c>
      <c r="B154" s="20" t="s">
        <v>4571</v>
      </c>
      <c r="C154" t="s">
        <v>4572</v>
      </c>
      <c r="D154" t="s">
        <v>4573</v>
      </c>
      <c r="E154" s="1">
        <v>44139</v>
      </c>
      <c r="F154" s="1">
        <v>44139</v>
      </c>
      <c r="G154" s="5">
        <v>44530</v>
      </c>
      <c r="H154" s="3">
        <v>44530</v>
      </c>
      <c r="I154" t="s">
        <v>4574</v>
      </c>
      <c r="J154" t="s">
        <v>4575</v>
      </c>
    </row>
    <row r="155" spans="1:10" x14ac:dyDescent="0.3">
      <c r="A155" t="s">
        <v>4836</v>
      </c>
      <c r="B155" s="20" t="s">
        <v>4837</v>
      </c>
      <c r="C155" t="s">
        <v>4838</v>
      </c>
      <c r="D155" t="s">
        <v>4839</v>
      </c>
      <c r="E155" s="1">
        <v>44292</v>
      </c>
      <c r="F155" s="1">
        <v>44292</v>
      </c>
      <c r="G155" s="5">
        <v>44530</v>
      </c>
      <c r="H155" s="3">
        <v>44530</v>
      </c>
      <c r="I155" t="s">
        <v>4840</v>
      </c>
      <c r="J155" t="s">
        <v>4841</v>
      </c>
    </row>
    <row r="156" spans="1:10" x14ac:dyDescent="0.3">
      <c r="A156" t="s">
        <v>65</v>
      </c>
      <c r="B156" s="20" t="s">
        <v>66</v>
      </c>
      <c r="C156" t="s">
        <v>67</v>
      </c>
      <c r="D156" t="s">
        <v>68</v>
      </c>
      <c r="E156" s="1">
        <v>44305</v>
      </c>
      <c r="F156" s="1">
        <v>44305</v>
      </c>
      <c r="G156" s="5">
        <v>44533</v>
      </c>
      <c r="H156" s="3">
        <v>44533</v>
      </c>
      <c r="I156" t="s">
        <v>69</v>
      </c>
      <c r="J156" t="s">
        <v>70</v>
      </c>
    </row>
    <row r="157" spans="1:10" x14ac:dyDescent="0.3">
      <c r="A157" t="s">
        <v>567</v>
      </c>
      <c r="B157" s="20" t="s">
        <v>568</v>
      </c>
      <c r="C157" t="s">
        <v>569</v>
      </c>
      <c r="D157" t="s">
        <v>570</v>
      </c>
      <c r="E157" s="1">
        <v>44363</v>
      </c>
      <c r="F157" s="1">
        <v>44363</v>
      </c>
      <c r="G157" s="5">
        <v>44533</v>
      </c>
      <c r="H157" s="3">
        <v>44533</v>
      </c>
      <c r="I157" t="s">
        <v>571</v>
      </c>
      <c r="J157" t="s">
        <v>572</v>
      </c>
    </row>
    <row r="158" spans="1:10" x14ac:dyDescent="0.3">
      <c r="A158" t="s">
        <v>2306</v>
      </c>
      <c r="B158" s="20" t="s">
        <v>2307</v>
      </c>
      <c r="C158" t="s">
        <v>2308</v>
      </c>
      <c r="D158" t="s">
        <v>2309</v>
      </c>
      <c r="E158" s="1">
        <v>44357</v>
      </c>
      <c r="F158" s="1">
        <v>44357</v>
      </c>
      <c r="G158" s="5">
        <v>44533</v>
      </c>
      <c r="H158" s="3">
        <v>44533</v>
      </c>
      <c r="I158" t="s">
        <v>2310</v>
      </c>
      <c r="J158" t="s">
        <v>2311</v>
      </c>
    </row>
    <row r="159" spans="1:10" x14ac:dyDescent="0.3">
      <c r="A159" t="s">
        <v>3626</v>
      </c>
      <c r="B159" s="20" t="s">
        <v>3627</v>
      </c>
      <c r="C159" t="s">
        <v>3628</v>
      </c>
      <c r="D159" t="s">
        <v>3629</v>
      </c>
      <c r="E159" s="1">
        <v>44328</v>
      </c>
      <c r="F159" s="1">
        <v>44328</v>
      </c>
      <c r="G159" s="5">
        <v>44533</v>
      </c>
      <c r="H159" s="3">
        <v>44533</v>
      </c>
      <c r="I159" t="s">
        <v>3630</v>
      </c>
      <c r="J159" t="s">
        <v>3631</v>
      </c>
    </row>
    <row r="160" spans="1:10" x14ac:dyDescent="0.3">
      <c r="A160" t="s">
        <v>3849</v>
      </c>
      <c r="B160" s="20" t="s">
        <v>3850</v>
      </c>
      <c r="C160" t="s">
        <v>2319</v>
      </c>
      <c r="D160" t="s">
        <v>2320</v>
      </c>
      <c r="E160" s="1">
        <v>44098</v>
      </c>
      <c r="F160" s="1">
        <v>44098</v>
      </c>
      <c r="G160" s="5">
        <v>44537</v>
      </c>
      <c r="H160" s="3">
        <v>44537</v>
      </c>
      <c r="I160" t="s">
        <v>3851</v>
      </c>
      <c r="J160" t="s">
        <v>3852</v>
      </c>
    </row>
    <row r="161" spans="1:10" x14ac:dyDescent="0.3">
      <c r="A161" t="s">
        <v>1232</v>
      </c>
      <c r="B161" s="20" t="s">
        <v>1233</v>
      </c>
      <c r="C161" t="s">
        <v>1234</v>
      </c>
      <c r="D161" t="s">
        <v>1235</v>
      </c>
      <c r="E161" s="1">
        <v>44432</v>
      </c>
      <c r="F161" s="1">
        <v>44432</v>
      </c>
      <c r="G161" s="5">
        <v>44539</v>
      </c>
      <c r="H161" s="3">
        <v>44539</v>
      </c>
      <c r="I161" t="s">
        <v>1236</v>
      </c>
    </row>
    <row r="162" spans="1:10" x14ac:dyDescent="0.3">
      <c r="A162" t="s">
        <v>2535</v>
      </c>
      <c r="B162" s="20" t="s">
        <v>2536</v>
      </c>
      <c r="C162" t="s">
        <v>2537</v>
      </c>
      <c r="D162" t="s">
        <v>2538</v>
      </c>
      <c r="E162" s="1">
        <v>44274</v>
      </c>
      <c r="F162" s="1">
        <v>44274</v>
      </c>
      <c r="G162" s="5">
        <v>44540</v>
      </c>
      <c r="H162" s="3">
        <v>44540</v>
      </c>
      <c r="I162" t="s">
        <v>2539</v>
      </c>
      <c r="J162" t="s">
        <v>2540</v>
      </c>
    </row>
    <row r="163" spans="1:10" x14ac:dyDescent="0.3">
      <c r="A163" t="s">
        <v>2969</v>
      </c>
      <c r="B163" s="20" t="s">
        <v>2970</v>
      </c>
      <c r="C163" t="s">
        <v>2971</v>
      </c>
      <c r="D163" t="s">
        <v>2971</v>
      </c>
      <c r="E163" s="1">
        <v>44279</v>
      </c>
      <c r="F163" s="1">
        <v>44279</v>
      </c>
      <c r="G163" s="5">
        <v>44540</v>
      </c>
      <c r="H163" s="3">
        <v>44540</v>
      </c>
      <c r="I163" t="s">
        <v>2972</v>
      </c>
      <c r="J163" t="s">
        <v>2973</v>
      </c>
    </row>
    <row r="164" spans="1:10" x14ac:dyDescent="0.3">
      <c r="A164" t="s">
        <v>640</v>
      </c>
      <c r="B164" s="20" t="s">
        <v>641</v>
      </c>
      <c r="C164" t="s">
        <v>642</v>
      </c>
      <c r="D164" t="s">
        <v>643</v>
      </c>
      <c r="E164" s="1">
        <v>44467</v>
      </c>
      <c r="F164" s="1">
        <v>44467</v>
      </c>
      <c r="G164" s="5">
        <v>44546</v>
      </c>
      <c r="H164" s="3">
        <v>44546</v>
      </c>
      <c r="I164" t="s">
        <v>644</v>
      </c>
      <c r="J164" t="s">
        <v>645</v>
      </c>
    </row>
    <row r="165" spans="1:10" x14ac:dyDescent="0.3">
      <c r="A165" t="s">
        <v>2000</v>
      </c>
      <c r="B165" s="20" t="s">
        <v>2001</v>
      </c>
      <c r="C165" t="s">
        <v>2002</v>
      </c>
      <c r="D165" t="s">
        <v>2003</v>
      </c>
      <c r="E165" s="1">
        <v>44028</v>
      </c>
      <c r="F165" s="1">
        <v>44028</v>
      </c>
      <c r="G165" s="5">
        <v>44551</v>
      </c>
      <c r="H165" s="3">
        <v>44551</v>
      </c>
      <c r="I165" t="s">
        <v>2004</v>
      </c>
      <c r="J165" t="s">
        <v>2005</v>
      </c>
    </row>
    <row r="166" spans="1:10" x14ac:dyDescent="0.3">
      <c r="A166" t="s">
        <v>4398</v>
      </c>
      <c r="B166" s="20" t="s">
        <v>4399</v>
      </c>
      <c r="C166" t="s">
        <v>4400</v>
      </c>
      <c r="D166" t="s">
        <v>4401</v>
      </c>
      <c r="E166" s="1">
        <v>44265</v>
      </c>
      <c r="F166" s="1">
        <v>44265</v>
      </c>
      <c r="G166" s="5">
        <v>44551</v>
      </c>
      <c r="H166" s="3">
        <v>44551</v>
      </c>
      <c r="I166" t="s">
        <v>4402</v>
      </c>
      <c r="J166" t="s">
        <v>4403</v>
      </c>
    </row>
    <row r="167" spans="1:10" x14ac:dyDescent="0.3">
      <c r="A167" t="s">
        <v>1870</v>
      </c>
      <c r="B167" s="20" t="s">
        <v>1871</v>
      </c>
      <c r="C167" t="s">
        <v>1872</v>
      </c>
      <c r="D167" t="s">
        <v>1873</v>
      </c>
      <c r="E167" s="1">
        <v>44224</v>
      </c>
      <c r="F167" s="1">
        <v>44224</v>
      </c>
      <c r="G167" s="5">
        <v>44561</v>
      </c>
      <c r="H167" s="3">
        <v>44561</v>
      </c>
      <c r="I167" t="s">
        <v>1874</v>
      </c>
      <c r="J167" t="s">
        <v>1875</v>
      </c>
    </row>
    <row r="168" spans="1:10" x14ac:dyDescent="0.3">
      <c r="A168" t="s">
        <v>4612</v>
      </c>
      <c r="B168" s="20" t="s">
        <v>4613</v>
      </c>
      <c r="C168" t="s">
        <v>4614</v>
      </c>
      <c r="D168" t="s">
        <v>4615</v>
      </c>
      <c r="E168" s="1">
        <v>44322</v>
      </c>
      <c r="F168" s="1">
        <v>44322</v>
      </c>
      <c r="G168" s="5">
        <v>44561</v>
      </c>
      <c r="H168" s="3">
        <v>44561</v>
      </c>
      <c r="I168" t="s">
        <v>4616</v>
      </c>
      <c r="J168" t="s">
        <v>4617</v>
      </c>
    </row>
    <row r="169" spans="1:10" x14ac:dyDescent="0.3">
      <c r="A169" t="s">
        <v>2178</v>
      </c>
      <c r="B169" s="6" t="s">
        <v>2179</v>
      </c>
      <c r="C169" t="s">
        <v>2180</v>
      </c>
      <c r="D169" t="s">
        <v>2181</v>
      </c>
      <c r="E169" s="1">
        <v>44361</v>
      </c>
      <c r="F169" s="1">
        <v>44361</v>
      </c>
      <c r="G169" s="1">
        <v>44564</v>
      </c>
      <c r="H169" s="3">
        <v>44564</v>
      </c>
      <c r="I169" t="s">
        <v>2182</v>
      </c>
      <c r="J169" t="s">
        <v>2183</v>
      </c>
    </row>
    <row r="170" spans="1:10" x14ac:dyDescent="0.3">
      <c r="A170" t="s">
        <v>2739</v>
      </c>
      <c r="B170" s="6" t="s">
        <v>2740</v>
      </c>
      <c r="C170" t="s">
        <v>2741</v>
      </c>
      <c r="D170" t="s">
        <v>2742</v>
      </c>
      <c r="E170" s="1">
        <v>44466</v>
      </c>
      <c r="F170" s="1">
        <v>44466</v>
      </c>
      <c r="G170" s="1">
        <v>44568</v>
      </c>
      <c r="H170" s="3">
        <v>44568</v>
      </c>
      <c r="I170" t="s">
        <v>2743</v>
      </c>
      <c r="J170" t="s">
        <v>2744</v>
      </c>
    </row>
    <row r="171" spans="1:10" x14ac:dyDescent="0.3">
      <c r="A171" t="s">
        <v>4026</v>
      </c>
      <c r="B171" s="6" t="s">
        <v>4027</v>
      </c>
      <c r="C171" t="s">
        <v>4028</v>
      </c>
      <c r="D171" t="s">
        <v>4029</v>
      </c>
      <c r="E171" s="1">
        <v>44397</v>
      </c>
      <c r="F171" s="1">
        <v>44397</v>
      </c>
      <c r="G171" s="1">
        <v>44572</v>
      </c>
      <c r="H171" s="3">
        <v>44572</v>
      </c>
      <c r="I171" t="s">
        <v>4030</v>
      </c>
      <c r="J171" t="s">
        <v>4031</v>
      </c>
    </row>
    <row r="172" spans="1:10" x14ac:dyDescent="0.3">
      <c r="A172" t="s">
        <v>2718</v>
      </c>
      <c r="B172" s="6" t="s">
        <v>2719</v>
      </c>
      <c r="C172" t="s">
        <v>2720</v>
      </c>
      <c r="D172" t="s">
        <v>2721</v>
      </c>
      <c r="E172" s="1">
        <v>44370</v>
      </c>
      <c r="F172" s="1">
        <v>44370</v>
      </c>
      <c r="G172" s="1">
        <v>44582</v>
      </c>
      <c r="H172" s="3">
        <v>44582</v>
      </c>
      <c r="I172" t="s">
        <v>2722</v>
      </c>
      <c r="J172" t="s">
        <v>2723</v>
      </c>
    </row>
    <row r="173" spans="1:10" x14ac:dyDescent="0.3">
      <c r="A173" t="s">
        <v>4134</v>
      </c>
      <c r="B173" s="6" t="s">
        <v>4135</v>
      </c>
      <c r="C173" t="s">
        <v>4136</v>
      </c>
      <c r="D173" t="s">
        <v>4137</v>
      </c>
      <c r="E173" s="1">
        <v>44463</v>
      </c>
      <c r="F173" s="1">
        <v>44463</v>
      </c>
      <c r="G173" s="1">
        <v>44582</v>
      </c>
      <c r="H173" s="3">
        <v>44582</v>
      </c>
      <c r="I173" t="s">
        <v>4138</v>
      </c>
      <c r="J173" t="s">
        <v>4139</v>
      </c>
    </row>
    <row r="174" spans="1:10" x14ac:dyDescent="0.3">
      <c r="A174" t="s">
        <v>2524</v>
      </c>
      <c r="B174" s="6" t="s">
        <v>2525</v>
      </c>
      <c r="C174" t="s">
        <v>2526</v>
      </c>
      <c r="D174" t="s">
        <v>2526</v>
      </c>
      <c r="E174" s="1">
        <v>44412</v>
      </c>
      <c r="F174" s="1">
        <v>44412</v>
      </c>
      <c r="G174" s="1">
        <v>44589</v>
      </c>
      <c r="H174" s="3">
        <v>44589</v>
      </c>
      <c r="I174" t="s">
        <v>2527</v>
      </c>
      <c r="J174" t="s">
        <v>2528</v>
      </c>
    </row>
    <row r="175" spans="1:10" x14ac:dyDescent="0.3">
      <c r="A175" t="s">
        <v>2881</v>
      </c>
      <c r="B175" s="6" t="s">
        <v>2882</v>
      </c>
      <c r="C175" t="s">
        <v>2883</v>
      </c>
      <c r="D175" t="s">
        <v>2884</v>
      </c>
      <c r="E175" s="1">
        <v>44422</v>
      </c>
      <c r="F175" s="1">
        <v>44422</v>
      </c>
      <c r="G175" s="1">
        <v>44600</v>
      </c>
      <c r="H175" s="3">
        <v>44600</v>
      </c>
      <c r="I175" t="s">
        <v>2885</v>
      </c>
      <c r="J175" t="s">
        <v>2886</v>
      </c>
    </row>
    <row r="176" spans="1:10" x14ac:dyDescent="0.3">
      <c r="A176" t="s">
        <v>1207</v>
      </c>
      <c r="B176" s="6" t="s">
        <v>1208</v>
      </c>
      <c r="C176" t="s">
        <v>1209</v>
      </c>
      <c r="D176" t="s">
        <v>1210</v>
      </c>
      <c r="E176" s="1">
        <v>44286</v>
      </c>
      <c r="F176" s="1">
        <v>44286</v>
      </c>
      <c r="G176" s="1">
        <v>44601</v>
      </c>
      <c r="H176" s="3">
        <v>44601</v>
      </c>
      <c r="I176" t="s">
        <v>1211</v>
      </c>
      <c r="J176" t="s">
        <v>1212</v>
      </c>
    </row>
    <row r="177" spans="1:10" x14ac:dyDescent="0.3">
      <c r="A177" t="s">
        <v>2637</v>
      </c>
      <c r="B177" s="6" t="s">
        <v>2638</v>
      </c>
      <c r="C177" t="s">
        <v>2639</v>
      </c>
      <c r="D177" t="s">
        <v>2640</v>
      </c>
      <c r="E177" s="1">
        <v>44438</v>
      </c>
      <c r="F177" s="1">
        <v>44438</v>
      </c>
      <c r="G177" s="1">
        <v>44603</v>
      </c>
      <c r="H177" s="3">
        <v>44603</v>
      </c>
      <c r="I177" t="s">
        <v>2641</v>
      </c>
      <c r="J177" t="s">
        <v>2642</v>
      </c>
    </row>
    <row r="178" spans="1:10" x14ac:dyDescent="0.3">
      <c r="A178" t="s">
        <v>4020</v>
      </c>
      <c r="B178" s="6" t="s">
        <v>4021</v>
      </c>
      <c r="C178" t="s">
        <v>4022</v>
      </c>
      <c r="D178" t="s">
        <v>4023</v>
      </c>
      <c r="E178" s="1">
        <v>44455</v>
      </c>
      <c r="F178" s="1">
        <v>44455</v>
      </c>
      <c r="G178" s="1">
        <v>44603</v>
      </c>
      <c r="H178" s="3">
        <v>44603</v>
      </c>
      <c r="I178" t="s">
        <v>4024</v>
      </c>
      <c r="J178" t="s">
        <v>4025</v>
      </c>
    </row>
    <row r="179" spans="1:10" x14ac:dyDescent="0.3">
      <c r="A179" t="s">
        <v>1594</v>
      </c>
      <c r="B179" s="6" t="s">
        <v>1595</v>
      </c>
      <c r="C179" t="s">
        <v>1596</v>
      </c>
      <c r="D179" t="s">
        <v>1597</v>
      </c>
      <c r="E179" s="1">
        <v>44327</v>
      </c>
      <c r="F179" s="1">
        <v>44327</v>
      </c>
      <c r="G179" s="1">
        <v>44607</v>
      </c>
      <c r="H179" s="3">
        <v>44607</v>
      </c>
      <c r="I179" t="s">
        <v>1598</v>
      </c>
      <c r="J179" t="s">
        <v>1599</v>
      </c>
    </row>
    <row r="180" spans="1:10" x14ac:dyDescent="0.3">
      <c r="A180" t="s">
        <v>2152</v>
      </c>
      <c r="B180" s="6" t="s">
        <v>2153</v>
      </c>
      <c r="C180" t="s">
        <v>2154</v>
      </c>
      <c r="D180" t="s">
        <v>2155</v>
      </c>
      <c r="E180" s="1">
        <v>44446</v>
      </c>
      <c r="F180" s="1">
        <v>44446</v>
      </c>
      <c r="G180" s="1">
        <v>44607</v>
      </c>
      <c r="H180" s="3">
        <v>44607</v>
      </c>
      <c r="I180" t="s">
        <v>2156</v>
      </c>
      <c r="J180" t="s">
        <v>2157</v>
      </c>
    </row>
    <row r="181" spans="1:10" x14ac:dyDescent="0.3">
      <c r="A181" t="s">
        <v>3421</v>
      </c>
      <c r="B181" s="6" t="s">
        <v>3422</v>
      </c>
      <c r="C181" t="s">
        <v>3423</v>
      </c>
      <c r="D181" t="s">
        <v>3424</v>
      </c>
      <c r="E181" s="1">
        <v>44452</v>
      </c>
      <c r="F181" s="1">
        <v>44452</v>
      </c>
      <c r="G181" s="1">
        <v>44610</v>
      </c>
      <c r="H181" s="3">
        <v>44610</v>
      </c>
      <c r="I181" t="s">
        <v>3425</v>
      </c>
      <c r="J181" t="s">
        <v>3426</v>
      </c>
    </row>
    <row r="182" spans="1:10" x14ac:dyDescent="0.3">
      <c r="A182" t="s">
        <v>4534</v>
      </c>
      <c r="B182" s="7" t="s">
        <v>4535</v>
      </c>
      <c r="C182" t="s">
        <v>4536</v>
      </c>
      <c r="D182" t="s">
        <v>4536</v>
      </c>
      <c r="E182" s="1">
        <v>44308</v>
      </c>
      <c r="F182" s="1">
        <v>44308</v>
      </c>
      <c r="G182" s="1">
        <v>44614</v>
      </c>
      <c r="H182" s="3">
        <v>44614</v>
      </c>
      <c r="I182" t="s">
        <v>4537</v>
      </c>
      <c r="J182" t="s">
        <v>4538</v>
      </c>
    </row>
    <row r="183" spans="1:10" x14ac:dyDescent="0.3">
      <c r="A183" t="s">
        <v>2184</v>
      </c>
      <c r="B183" s="6" t="s">
        <v>2185</v>
      </c>
      <c r="C183" t="s">
        <v>2186</v>
      </c>
      <c r="D183" t="s">
        <v>2187</v>
      </c>
      <c r="E183" s="1">
        <v>44466</v>
      </c>
      <c r="F183" s="1">
        <v>44466</v>
      </c>
      <c r="G183" s="1">
        <v>44624</v>
      </c>
      <c r="H183" s="3">
        <v>44624</v>
      </c>
      <c r="I183" t="s">
        <v>2188</v>
      </c>
      <c r="J183" t="s">
        <v>2189</v>
      </c>
    </row>
    <row r="184" spans="1:10" x14ac:dyDescent="0.3">
      <c r="A184" t="s">
        <v>149</v>
      </c>
      <c r="B184" s="6" t="s">
        <v>150</v>
      </c>
      <c r="C184" t="s">
        <v>151</v>
      </c>
      <c r="D184" t="s">
        <v>152</v>
      </c>
      <c r="E184" s="1">
        <v>44285</v>
      </c>
      <c r="F184" s="1">
        <v>44285</v>
      </c>
      <c r="G184" s="1">
        <v>44631</v>
      </c>
      <c r="H184" s="3">
        <v>44631</v>
      </c>
      <c r="I184" t="s">
        <v>153</v>
      </c>
      <c r="J184" t="s">
        <v>154</v>
      </c>
    </row>
    <row r="185" spans="1:10" x14ac:dyDescent="0.3">
      <c r="A185" t="s">
        <v>2329</v>
      </c>
      <c r="B185" s="6" t="s">
        <v>2330</v>
      </c>
      <c r="C185" t="s">
        <v>2331</v>
      </c>
      <c r="D185" t="s">
        <v>2332</v>
      </c>
      <c r="E185" s="1">
        <v>44504</v>
      </c>
      <c r="F185" s="1">
        <v>44504</v>
      </c>
      <c r="G185" s="1">
        <v>44638</v>
      </c>
      <c r="H185" s="3">
        <v>44638</v>
      </c>
      <c r="I185" t="s">
        <v>2333</v>
      </c>
      <c r="J185" t="s">
        <v>2334</v>
      </c>
    </row>
    <row r="186" spans="1:10" x14ac:dyDescent="0.3">
      <c r="A186" t="s">
        <v>4377</v>
      </c>
      <c r="B186" s="7" t="s">
        <v>4378</v>
      </c>
      <c r="C186" t="s">
        <v>4379</v>
      </c>
      <c r="D186" t="s">
        <v>4380</v>
      </c>
      <c r="E186" s="1">
        <v>44439</v>
      </c>
      <c r="F186" s="1">
        <v>44439</v>
      </c>
      <c r="G186" s="1">
        <v>44638</v>
      </c>
      <c r="H186" s="3">
        <v>44638</v>
      </c>
      <c r="I186" t="s">
        <v>4381</v>
      </c>
      <c r="J186" t="s">
        <v>4382</v>
      </c>
    </row>
    <row r="187" spans="1:10" x14ac:dyDescent="0.3">
      <c r="A187" t="s">
        <v>143</v>
      </c>
      <c r="B187" s="6" t="s">
        <v>144</v>
      </c>
      <c r="C187" t="s">
        <v>145</v>
      </c>
      <c r="D187" t="s">
        <v>146</v>
      </c>
      <c r="E187" s="1">
        <v>44550</v>
      </c>
      <c r="F187" s="1">
        <v>44550</v>
      </c>
      <c r="G187" s="1">
        <v>44642</v>
      </c>
      <c r="H187" s="3">
        <v>44642</v>
      </c>
      <c r="I187" t="s">
        <v>147</v>
      </c>
      <c r="J187" t="s">
        <v>148</v>
      </c>
    </row>
    <row r="188" spans="1:10" x14ac:dyDescent="0.3">
      <c r="A188" t="s">
        <v>3106</v>
      </c>
      <c r="B188" s="6" t="s">
        <v>3107</v>
      </c>
      <c r="C188" t="s">
        <v>3108</v>
      </c>
      <c r="D188" t="s">
        <v>3109</v>
      </c>
      <c r="E188" s="1">
        <v>44400</v>
      </c>
      <c r="F188" s="1">
        <v>44400</v>
      </c>
      <c r="G188" s="1">
        <v>44652</v>
      </c>
      <c r="H188" s="3">
        <v>44652</v>
      </c>
      <c r="I188" t="s">
        <v>3110</v>
      </c>
      <c r="J188" t="s">
        <v>3111</v>
      </c>
    </row>
    <row r="189" spans="1:10" x14ac:dyDescent="0.3">
      <c r="A189" t="s">
        <v>863</v>
      </c>
      <c r="B189" s="6" t="s">
        <v>864</v>
      </c>
      <c r="C189" t="s">
        <v>865</v>
      </c>
      <c r="D189" t="s">
        <v>866</v>
      </c>
      <c r="E189" s="1">
        <v>44356</v>
      </c>
      <c r="F189" s="1">
        <v>44356</v>
      </c>
      <c r="G189" s="1">
        <v>44656</v>
      </c>
      <c r="H189" s="3">
        <v>44656</v>
      </c>
      <c r="I189" t="s">
        <v>867</v>
      </c>
      <c r="J189" t="s">
        <v>868</v>
      </c>
    </row>
    <row r="190" spans="1:10" x14ac:dyDescent="0.3">
      <c r="A190" t="s">
        <v>2400</v>
      </c>
      <c r="B190" s="6" t="s">
        <v>2401</v>
      </c>
      <c r="C190" t="s">
        <v>2402</v>
      </c>
      <c r="D190" t="s">
        <v>2402</v>
      </c>
      <c r="E190" s="1">
        <v>44484</v>
      </c>
      <c r="F190" s="1">
        <v>44484</v>
      </c>
      <c r="G190" s="1">
        <v>44656</v>
      </c>
      <c r="H190" s="3">
        <v>44656</v>
      </c>
      <c r="I190" t="s">
        <v>2403</v>
      </c>
      <c r="J190" t="s">
        <v>2404</v>
      </c>
    </row>
    <row r="191" spans="1:10" x14ac:dyDescent="0.3">
      <c r="A191" t="s">
        <v>2887</v>
      </c>
      <c r="B191" s="7" t="s">
        <v>2888</v>
      </c>
      <c r="C191" t="s">
        <v>2889</v>
      </c>
      <c r="D191" t="s">
        <v>2890</v>
      </c>
      <c r="E191" s="1">
        <v>44509</v>
      </c>
      <c r="F191" s="1">
        <v>44509</v>
      </c>
      <c r="G191" s="1">
        <v>44656</v>
      </c>
      <c r="H191" s="3">
        <v>44656</v>
      </c>
      <c r="I191" t="s">
        <v>2891</v>
      </c>
      <c r="J191" t="s">
        <v>2892</v>
      </c>
    </row>
    <row r="192" spans="1:10" x14ac:dyDescent="0.3">
      <c r="A192" t="s">
        <v>3453</v>
      </c>
      <c r="B192" s="7" t="s">
        <v>3454</v>
      </c>
      <c r="C192" t="s">
        <v>3455</v>
      </c>
      <c r="D192" t="s">
        <v>3456</v>
      </c>
      <c r="E192" s="1">
        <v>44462</v>
      </c>
      <c r="F192" s="1">
        <v>44462</v>
      </c>
      <c r="G192" s="1">
        <v>44656</v>
      </c>
      <c r="H192" s="3">
        <v>44656</v>
      </c>
      <c r="I192" t="s">
        <v>3457</v>
      </c>
      <c r="J192" t="s">
        <v>3458</v>
      </c>
    </row>
    <row r="193" spans="1:10" x14ac:dyDescent="0.3">
      <c r="A193" t="s">
        <v>1919</v>
      </c>
      <c r="B193" s="6" t="s">
        <v>1920</v>
      </c>
      <c r="C193" t="s">
        <v>1921</v>
      </c>
      <c r="D193" t="s">
        <v>1922</v>
      </c>
      <c r="E193" s="1">
        <v>44502</v>
      </c>
      <c r="F193" s="1">
        <v>44502</v>
      </c>
      <c r="G193" s="1">
        <v>44663</v>
      </c>
      <c r="H193" s="3">
        <v>44663</v>
      </c>
      <c r="I193" t="s">
        <v>1923</v>
      </c>
      <c r="J193" t="s">
        <v>1924</v>
      </c>
    </row>
    <row r="194" spans="1:10" x14ac:dyDescent="0.3">
      <c r="A194" t="s">
        <v>2383</v>
      </c>
      <c r="B194" s="6" t="s">
        <v>2384</v>
      </c>
      <c r="C194" t="s">
        <v>2385</v>
      </c>
      <c r="D194" t="s">
        <v>2386</v>
      </c>
      <c r="E194" s="1">
        <v>44499</v>
      </c>
      <c r="F194" s="1">
        <v>44499</v>
      </c>
      <c r="G194" s="1">
        <v>44663</v>
      </c>
      <c r="H194" s="3">
        <v>44663</v>
      </c>
      <c r="I194" t="s">
        <v>2387</v>
      </c>
      <c r="J194" t="s">
        <v>2388</v>
      </c>
    </row>
    <row r="195" spans="1:10" x14ac:dyDescent="0.3">
      <c r="A195" t="s">
        <v>3008</v>
      </c>
      <c r="B195" s="6" t="s">
        <v>3009</v>
      </c>
      <c r="C195" t="s">
        <v>3010</v>
      </c>
      <c r="D195" t="s">
        <v>3011</v>
      </c>
      <c r="E195" s="1">
        <v>44536</v>
      </c>
      <c r="F195" s="1">
        <v>44536</v>
      </c>
      <c r="G195" s="1">
        <v>44663</v>
      </c>
      <c r="H195" s="3">
        <v>44663</v>
      </c>
      <c r="I195" t="s">
        <v>3012</v>
      </c>
      <c r="J195" t="s">
        <v>3013</v>
      </c>
    </row>
    <row r="196" spans="1:10" x14ac:dyDescent="0.3">
      <c r="A196" t="s">
        <v>615</v>
      </c>
      <c r="B196" s="6" t="s">
        <v>616</v>
      </c>
      <c r="C196" t="s">
        <v>569</v>
      </c>
      <c r="D196" t="s">
        <v>617</v>
      </c>
      <c r="E196" s="1">
        <v>44363</v>
      </c>
      <c r="F196" s="1">
        <v>44363</v>
      </c>
      <c r="G196" s="1">
        <v>44666</v>
      </c>
      <c r="H196" s="3">
        <v>44666</v>
      </c>
      <c r="I196" t="s">
        <v>618</v>
      </c>
      <c r="J196" t="s">
        <v>619</v>
      </c>
    </row>
    <row r="197" spans="1:10" x14ac:dyDescent="0.3">
      <c r="A197" t="s">
        <v>1816</v>
      </c>
      <c r="B197" s="6" t="s">
        <v>1817</v>
      </c>
      <c r="C197" t="s">
        <v>1818</v>
      </c>
      <c r="D197" t="s">
        <v>1819</v>
      </c>
      <c r="E197" s="1">
        <v>44491</v>
      </c>
      <c r="F197" s="1">
        <v>44491</v>
      </c>
      <c r="G197" s="1">
        <v>44677</v>
      </c>
      <c r="H197" s="3">
        <v>44677</v>
      </c>
      <c r="I197" t="s">
        <v>1820</v>
      </c>
      <c r="J197" t="s">
        <v>1821</v>
      </c>
    </row>
    <row r="198" spans="1:10" x14ac:dyDescent="0.3">
      <c r="A198" t="s">
        <v>2677</v>
      </c>
      <c r="B198" s="7" t="s">
        <v>2678</v>
      </c>
      <c r="C198" t="s">
        <v>2679</v>
      </c>
      <c r="D198" t="s">
        <v>2680</v>
      </c>
      <c r="E198" s="1">
        <v>44587</v>
      </c>
      <c r="F198" s="1">
        <v>44587</v>
      </c>
      <c r="G198" s="1">
        <v>44677</v>
      </c>
      <c r="H198" s="3">
        <v>44677</v>
      </c>
      <c r="I198" t="s">
        <v>2681</v>
      </c>
      <c r="J198" t="s">
        <v>2682</v>
      </c>
    </row>
    <row r="199" spans="1:10" x14ac:dyDescent="0.3">
      <c r="A199" t="s">
        <v>780</v>
      </c>
      <c r="B199" s="6" t="s">
        <v>781</v>
      </c>
      <c r="C199" t="s">
        <v>782</v>
      </c>
      <c r="D199" t="s">
        <v>783</v>
      </c>
      <c r="E199" s="1">
        <v>44440</v>
      </c>
      <c r="F199" s="1">
        <v>44440</v>
      </c>
      <c r="G199" s="1">
        <v>44680</v>
      </c>
      <c r="H199" s="3">
        <v>44680</v>
      </c>
      <c r="I199" t="s">
        <v>784</v>
      </c>
      <c r="J199" t="s">
        <v>785</v>
      </c>
    </row>
    <row r="200" spans="1:10" x14ac:dyDescent="0.3">
      <c r="A200" t="s">
        <v>3986</v>
      </c>
      <c r="B200" s="6" t="s">
        <v>3987</v>
      </c>
      <c r="C200" t="s">
        <v>3988</v>
      </c>
      <c r="D200" t="s">
        <v>3989</v>
      </c>
      <c r="E200" s="1">
        <v>44433</v>
      </c>
      <c r="F200" s="1">
        <v>44433</v>
      </c>
      <c r="G200" s="1">
        <v>44680</v>
      </c>
      <c r="H200" s="3">
        <v>44680</v>
      </c>
      <c r="I200" t="s">
        <v>3990</v>
      </c>
      <c r="J200" t="s">
        <v>3991</v>
      </c>
    </row>
    <row r="201" spans="1:10" x14ac:dyDescent="0.3">
      <c r="A201" t="s">
        <v>4190</v>
      </c>
      <c r="B201" s="6" t="s">
        <v>4191</v>
      </c>
      <c r="C201" t="s">
        <v>4192</v>
      </c>
      <c r="D201" t="s">
        <v>4193</v>
      </c>
      <c r="E201" s="1">
        <v>44425</v>
      </c>
      <c r="F201" s="1">
        <v>44425</v>
      </c>
      <c r="G201" s="1">
        <v>44680</v>
      </c>
      <c r="H201" s="3">
        <v>44680</v>
      </c>
      <c r="I201" t="s">
        <v>4194</v>
      </c>
      <c r="J201" t="s">
        <v>4195</v>
      </c>
    </row>
    <row r="202" spans="1:10" x14ac:dyDescent="0.3">
      <c r="A202" t="s">
        <v>651</v>
      </c>
      <c r="B202" s="7" t="s">
        <v>652</v>
      </c>
      <c r="C202" t="s">
        <v>653</v>
      </c>
      <c r="D202" t="s">
        <v>654</v>
      </c>
      <c r="E202" s="1">
        <v>44234</v>
      </c>
      <c r="F202" s="1">
        <v>44234</v>
      </c>
      <c r="G202" s="1">
        <v>44684</v>
      </c>
      <c r="H202" s="3">
        <v>44684</v>
      </c>
      <c r="I202" t="s">
        <v>655</v>
      </c>
      <c r="J202" t="s">
        <v>656</v>
      </c>
    </row>
    <row r="203" spans="1:10" x14ac:dyDescent="0.3">
      <c r="A203" t="s">
        <v>2095</v>
      </c>
      <c r="B203" s="6" t="s">
        <v>2096</v>
      </c>
      <c r="C203" t="s">
        <v>2097</v>
      </c>
      <c r="D203" t="s">
        <v>2098</v>
      </c>
      <c r="E203" s="1">
        <v>44188</v>
      </c>
      <c r="F203" s="1">
        <v>44188</v>
      </c>
      <c r="G203" s="1">
        <v>44687</v>
      </c>
      <c r="H203" s="3">
        <v>44687</v>
      </c>
      <c r="I203" t="s">
        <v>2099</v>
      </c>
      <c r="J203" t="s">
        <v>2100</v>
      </c>
    </row>
    <row r="204" spans="1:10" x14ac:dyDescent="0.3">
      <c r="A204" t="s">
        <v>3234</v>
      </c>
      <c r="B204" s="7" t="s">
        <v>3235</v>
      </c>
      <c r="C204" t="s">
        <v>3236</v>
      </c>
      <c r="D204" t="s">
        <v>3237</v>
      </c>
      <c r="E204" s="1">
        <v>44557</v>
      </c>
      <c r="F204" s="1">
        <v>44557</v>
      </c>
      <c r="G204" s="1">
        <v>44691</v>
      </c>
      <c r="H204" s="3">
        <v>44691</v>
      </c>
      <c r="I204" t="s">
        <v>3238</v>
      </c>
      <c r="J204" t="s">
        <v>3239</v>
      </c>
    </row>
    <row r="205" spans="1:10" x14ac:dyDescent="0.3">
      <c r="A205" t="s">
        <v>2294</v>
      </c>
      <c r="B205" s="6" t="s">
        <v>2295</v>
      </c>
      <c r="C205" t="s">
        <v>2296</v>
      </c>
      <c r="D205" t="s">
        <v>2297</v>
      </c>
      <c r="E205" s="1">
        <v>44234</v>
      </c>
      <c r="F205" s="1">
        <v>44234</v>
      </c>
      <c r="G205" s="1">
        <v>44694</v>
      </c>
      <c r="H205" s="3">
        <v>44694</v>
      </c>
      <c r="I205" t="s">
        <v>2298</v>
      </c>
      <c r="J205" t="s">
        <v>2299</v>
      </c>
    </row>
    <row r="206" spans="1:10" x14ac:dyDescent="0.3">
      <c r="A206" t="s">
        <v>4760</v>
      </c>
      <c r="B206" s="6" t="s">
        <v>4761</v>
      </c>
      <c r="C206" t="s">
        <v>4762</v>
      </c>
      <c r="D206" t="s">
        <v>4763</v>
      </c>
      <c r="E206" s="1">
        <v>44544</v>
      </c>
      <c r="F206" s="1">
        <v>44544</v>
      </c>
      <c r="G206" s="1">
        <v>44694</v>
      </c>
      <c r="H206" s="3">
        <v>44694</v>
      </c>
      <c r="I206" t="s">
        <v>4764</v>
      </c>
      <c r="J206" t="s">
        <v>4765</v>
      </c>
    </row>
    <row r="207" spans="1:10" x14ac:dyDescent="0.3">
      <c r="A207" t="s">
        <v>4355</v>
      </c>
      <c r="B207" s="6" t="s">
        <v>4356</v>
      </c>
      <c r="C207" t="s">
        <v>4357</v>
      </c>
      <c r="D207" t="s">
        <v>4358</v>
      </c>
      <c r="E207" s="1">
        <v>44477</v>
      </c>
      <c r="F207" s="1">
        <v>44477</v>
      </c>
      <c r="G207" s="1">
        <v>44698</v>
      </c>
      <c r="H207" s="3">
        <v>44698</v>
      </c>
      <c r="I207" t="s">
        <v>4359</v>
      </c>
      <c r="J207" t="s">
        <v>4360</v>
      </c>
    </row>
    <row r="208" spans="1:10" x14ac:dyDescent="0.3">
      <c r="A208" t="s">
        <v>3869</v>
      </c>
      <c r="B208" s="7" t="s">
        <v>3870</v>
      </c>
      <c r="C208" t="s">
        <v>3871</v>
      </c>
      <c r="D208" t="s">
        <v>3872</v>
      </c>
      <c r="E208" s="1">
        <v>44565</v>
      </c>
      <c r="F208" s="1">
        <v>44565</v>
      </c>
      <c r="G208" s="1">
        <v>44708</v>
      </c>
      <c r="H208" s="3">
        <v>44708</v>
      </c>
      <c r="I208" t="s">
        <v>3873</v>
      </c>
      <c r="J208" t="s">
        <v>3874</v>
      </c>
    </row>
    <row r="209" spans="1:10" x14ac:dyDescent="0.3">
      <c r="A209" t="s">
        <v>1908</v>
      </c>
      <c r="B209" s="6" t="s">
        <v>1909</v>
      </c>
      <c r="C209" t="s">
        <v>1910</v>
      </c>
      <c r="D209" t="s">
        <v>1911</v>
      </c>
      <c r="E209" s="1">
        <v>44567</v>
      </c>
      <c r="F209" s="1">
        <v>44567</v>
      </c>
      <c r="G209" s="1">
        <v>44715</v>
      </c>
      <c r="H209" s="3">
        <v>44715</v>
      </c>
      <c r="I209" t="s">
        <v>1912</v>
      </c>
      <c r="J209" t="s">
        <v>1913</v>
      </c>
    </row>
    <row r="210" spans="1:10" x14ac:dyDescent="0.3">
      <c r="A210" t="s">
        <v>3371</v>
      </c>
      <c r="B210" s="6" t="s">
        <v>3372</v>
      </c>
      <c r="C210" t="s">
        <v>3373</v>
      </c>
      <c r="D210" t="s">
        <v>3374</v>
      </c>
      <c r="E210" s="1">
        <v>44579</v>
      </c>
      <c r="F210" s="1">
        <v>44579</v>
      </c>
      <c r="G210" s="1">
        <v>44719</v>
      </c>
      <c r="H210" s="3">
        <v>44719</v>
      </c>
      <c r="I210" t="s">
        <v>3375</v>
      </c>
      <c r="J210" t="s">
        <v>3376</v>
      </c>
    </row>
    <row r="211" spans="1:10" x14ac:dyDescent="0.3">
      <c r="A211" t="s">
        <v>4223</v>
      </c>
      <c r="B211" s="6" t="s">
        <v>4224</v>
      </c>
      <c r="C211" t="s">
        <v>4225</v>
      </c>
      <c r="D211" t="s">
        <v>4226</v>
      </c>
      <c r="E211" s="1">
        <v>44529</v>
      </c>
      <c r="F211" s="1">
        <v>44529</v>
      </c>
      <c r="G211" s="1">
        <v>44719</v>
      </c>
      <c r="H211" s="3">
        <v>44719</v>
      </c>
      <c r="I211" t="s">
        <v>4227</v>
      </c>
      <c r="J211" t="s">
        <v>4228</v>
      </c>
    </row>
    <row r="212" spans="1:10" x14ac:dyDescent="0.3">
      <c r="A212" t="s">
        <v>2080</v>
      </c>
      <c r="B212" s="6" t="s">
        <v>2081</v>
      </c>
      <c r="C212" t="s">
        <v>2082</v>
      </c>
      <c r="D212" t="s">
        <v>2082</v>
      </c>
      <c r="E212" s="1">
        <v>44397</v>
      </c>
      <c r="F212" s="1">
        <v>44397</v>
      </c>
      <c r="G212" s="1">
        <v>44722</v>
      </c>
      <c r="H212" s="3">
        <v>44722</v>
      </c>
      <c r="I212" t="s">
        <v>2083</v>
      </c>
      <c r="J212" t="s">
        <v>2084</v>
      </c>
    </row>
    <row r="213" spans="1:10" x14ac:dyDescent="0.3">
      <c r="A213" t="s">
        <v>1459</v>
      </c>
      <c r="B213" s="6" t="s">
        <v>1460</v>
      </c>
      <c r="C213" t="s">
        <v>1461</v>
      </c>
      <c r="D213" t="s">
        <v>1462</v>
      </c>
      <c r="E213" s="1">
        <v>44533</v>
      </c>
      <c r="F213" s="1">
        <v>44533</v>
      </c>
      <c r="G213" s="1">
        <v>44726</v>
      </c>
      <c r="H213" s="3">
        <v>44726</v>
      </c>
      <c r="I213" t="s">
        <v>1463</v>
      </c>
      <c r="J213" t="s">
        <v>1464</v>
      </c>
    </row>
    <row r="214" spans="1:10" x14ac:dyDescent="0.3">
      <c r="A214" t="s">
        <v>3189</v>
      </c>
      <c r="B214" s="6" t="s">
        <v>3190</v>
      </c>
      <c r="C214" t="s">
        <v>3191</v>
      </c>
      <c r="D214" t="s">
        <v>3192</v>
      </c>
      <c r="E214" s="1">
        <v>44565</v>
      </c>
      <c r="F214" s="1">
        <v>44565</v>
      </c>
      <c r="G214" s="1">
        <v>44729</v>
      </c>
      <c r="H214" s="3">
        <v>44729</v>
      </c>
      <c r="I214" t="s">
        <v>3193</v>
      </c>
      <c r="J214" t="s">
        <v>3194</v>
      </c>
    </row>
    <row r="215" spans="1:10" x14ac:dyDescent="0.3">
      <c r="A215" t="s">
        <v>281</v>
      </c>
      <c r="B215" s="6" t="s">
        <v>282</v>
      </c>
      <c r="C215" t="s">
        <v>283</v>
      </c>
      <c r="D215" t="s">
        <v>284</v>
      </c>
      <c r="E215" s="1">
        <v>44560</v>
      </c>
      <c r="F215" s="1">
        <v>44560</v>
      </c>
      <c r="G215" s="1">
        <v>44733</v>
      </c>
      <c r="H215" s="3">
        <v>44733</v>
      </c>
      <c r="I215" t="s">
        <v>285</v>
      </c>
      <c r="J215" t="s">
        <v>286</v>
      </c>
    </row>
    <row r="216" spans="1:10" x14ac:dyDescent="0.3">
      <c r="A216" t="s">
        <v>3168</v>
      </c>
      <c r="B216" s="6" t="s">
        <v>3169</v>
      </c>
      <c r="C216" t="s">
        <v>3170</v>
      </c>
      <c r="D216" t="s">
        <v>3170</v>
      </c>
      <c r="E216" s="1">
        <v>44456</v>
      </c>
      <c r="F216" s="1">
        <v>44456</v>
      </c>
      <c r="G216" s="1">
        <v>44734</v>
      </c>
      <c r="H216" s="3">
        <v>44734</v>
      </c>
      <c r="I216" t="s">
        <v>3171</v>
      </c>
      <c r="J216" t="s">
        <v>3172</v>
      </c>
    </row>
    <row r="217" spans="1:10" x14ac:dyDescent="0.3">
      <c r="A217" t="s">
        <v>22</v>
      </c>
      <c r="B217" s="6" t="s">
        <v>23</v>
      </c>
      <c r="C217" t="s">
        <v>24</v>
      </c>
      <c r="D217" t="s">
        <v>25</v>
      </c>
      <c r="E217" s="1">
        <v>44674</v>
      </c>
      <c r="F217" s="1">
        <v>44674</v>
      </c>
      <c r="G217" s="1">
        <v>44736</v>
      </c>
      <c r="H217" s="3">
        <v>44736</v>
      </c>
      <c r="I217" t="s">
        <v>26</v>
      </c>
      <c r="J217" t="s">
        <v>27</v>
      </c>
    </row>
    <row r="218" spans="1:10" x14ac:dyDescent="0.3">
      <c r="A218" t="s">
        <v>2572</v>
      </c>
      <c r="B218" s="6" t="s">
        <v>2573</v>
      </c>
      <c r="C218" t="s">
        <v>2385</v>
      </c>
      <c r="D218" t="s">
        <v>2386</v>
      </c>
      <c r="E218" s="1">
        <v>44499</v>
      </c>
      <c r="F218" s="1">
        <v>44499</v>
      </c>
      <c r="G218" s="1">
        <v>44736</v>
      </c>
      <c r="H218" s="3">
        <v>44736</v>
      </c>
      <c r="I218" t="s">
        <v>2574</v>
      </c>
      <c r="J218" t="s">
        <v>2575</v>
      </c>
    </row>
    <row r="219" spans="1:10" x14ac:dyDescent="0.3">
      <c r="A219" t="s">
        <v>1763</v>
      </c>
      <c r="B219" s="6" t="s">
        <v>1764</v>
      </c>
      <c r="C219" t="s">
        <v>1366</v>
      </c>
      <c r="D219" t="s">
        <v>1765</v>
      </c>
      <c r="E219" s="1">
        <v>44130</v>
      </c>
      <c r="F219" s="1">
        <v>44130</v>
      </c>
      <c r="G219" s="1">
        <v>44740</v>
      </c>
      <c r="H219" s="3">
        <v>44740</v>
      </c>
      <c r="I219" t="s">
        <v>1766</v>
      </c>
      <c r="J219" t="s">
        <v>1767</v>
      </c>
    </row>
    <row r="220" spans="1:10" x14ac:dyDescent="0.3">
      <c r="A220" t="s">
        <v>1256</v>
      </c>
      <c r="B220" s="6" t="s">
        <v>1257</v>
      </c>
      <c r="C220" t="s">
        <v>1258</v>
      </c>
      <c r="D220" t="s">
        <v>1259</v>
      </c>
      <c r="E220" s="1">
        <v>44557</v>
      </c>
      <c r="F220" s="1">
        <v>44557</v>
      </c>
      <c r="G220" s="1">
        <v>44747</v>
      </c>
      <c r="H220" s="3">
        <v>44747</v>
      </c>
      <c r="I220" t="s">
        <v>1260</v>
      </c>
      <c r="J220" t="s">
        <v>1261</v>
      </c>
    </row>
    <row r="221" spans="1:10" x14ac:dyDescent="0.3">
      <c r="A221" t="s">
        <v>1600</v>
      </c>
      <c r="B221" s="7" t="s">
        <v>1601</v>
      </c>
      <c r="C221" t="s">
        <v>1602</v>
      </c>
      <c r="D221" t="s">
        <v>1603</v>
      </c>
      <c r="E221" s="1">
        <v>44410</v>
      </c>
      <c r="F221" s="1">
        <v>44410</v>
      </c>
      <c r="G221" s="1">
        <v>44748</v>
      </c>
      <c r="H221" s="3">
        <v>44748</v>
      </c>
      <c r="I221" t="s">
        <v>1604</v>
      </c>
      <c r="J221" t="s">
        <v>1605</v>
      </c>
    </row>
    <row r="222" spans="1:10" x14ac:dyDescent="0.3">
      <c r="A222" t="s">
        <v>4295</v>
      </c>
      <c r="B222" s="6" t="s">
        <v>4296</v>
      </c>
      <c r="C222" t="s">
        <v>4297</v>
      </c>
      <c r="D222" t="s">
        <v>4298</v>
      </c>
      <c r="E222" s="1">
        <v>44526</v>
      </c>
      <c r="F222" s="1">
        <v>44526</v>
      </c>
      <c r="G222" s="1">
        <v>44754</v>
      </c>
      <c r="H222" s="3">
        <v>44754</v>
      </c>
      <c r="I222" t="s">
        <v>4299</v>
      </c>
      <c r="J222" t="s">
        <v>4300</v>
      </c>
    </row>
    <row r="223" spans="1:10" x14ac:dyDescent="0.3">
      <c r="A223" t="s">
        <v>2689</v>
      </c>
      <c r="B223" s="6" t="s">
        <v>2690</v>
      </c>
      <c r="C223" t="s">
        <v>2691</v>
      </c>
      <c r="D223" t="s">
        <v>2692</v>
      </c>
      <c r="E223" s="1">
        <v>44600</v>
      </c>
      <c r="F223" s="1">
        <v>44600</v>
      </c>
      <c r="G223" s="1">
        <v>44761</v>
      </c>
      <c r="H223" s="3">
        <v>44761</v>
      </c>
      <c r="I223" t="s">
        <v>2693</v>
      </c>
      <c r="J223" t="s">
        <v>2694</v>
      </c>
    </row>
    <row r="224" spans="1:10" x14ac:dyDescent="0.3">
      <c r="A224" t="s">
        <v>4083</v>
      </c>
      <c r="B224" s="7" t="s">
        <v>4084</v>
      </c>
      <c r="C224" t="s">
        <v>4085</v>
      </c>
      <c r="D224" t="s">
        <v>4086</v>
      </c>
      <c r="E224" s="1">
        <v>44635</v>
      </c>
      <c r="F224" s="1">
        <v>44635</v>
      </c>
      <c r="G224" s="1">
        <v>44761</v>
      </c>
      <c r="H224" s="3">
        <v>44761</v>
      </c>
      <c r="I224" t="s">
        <v>4087</v>
      </c>
      <c r="J224" t="s">
        <v>4088</v>
      </c>
    </row>
    <row r="225" spans="1:10" x14ac:dyDescent="0.3">
      <c r="A225" t="s">
        <v>170</v>
      </c>
      <c r="B225" s="6" t="s">
        <v>171</v>
      </c>
      <c r="C225" t="s">
        <v>172</v>
      </c>
      <c r="D225" t="s">
        <v>173</v>
      </c>
      <c r="E225" s="1">
        <v>44173</v>
      </c>
      <c r="F225" s="1">
        <v>44173</v>
      </c>
      <c r="G225" s="1">
        <v>44764</v>
      </c>
      <c r="H225" s="3">
        <v>44764</v>
      </c>
      <c r="I225" t="s">
        <v>174</v>
      </c>
      <c r="J225" t="s">
        <v>175</v>
      </c>
    </row>
    <row r="226" spans="1:10" x14ac:dyDescent="0.3">
      <c r="A226" t="s">
        <v>3267</v>
      </c>
      <c r="B226" s="6" t="s">
        <v>3268</v>
      </c>
      <c r="C226" t="s">
        <v>3269</v>
      </c>
      <c r="D226" t="s">
        <v>3270</v>
      </c>
      <c r="E226" s="1">
        <v>44543</v>
      </c>
      <c r="F226" s="1">
        <v>44543</v>
      </c>
      <c r="G226" s="1">
        <v>44768</v>
      </c>
      <c r="H226" s="3">
        <v>44768</v>
      </c>
      <c r="I226" t="s">
        <v>3271</v>
      </c>
      <c r="J226" t="s">
        <v>3272</v>
      </c>
    </row>
    <row r="227" spans="1:10" x14ac:dyDescent="0.3">
      <c r="A227" t="s">
        <v>2772</v>
      </c>
      <c r="B227" s="6" t="s">
        <v>2773</v>
      </c>
      <c r="C227" t="s">
        <v>2774</v>
      </c>
      <c r="D227" t="s">
        <v>2775</v>
      </c>
      <c r="E227" s="1">
        <v>44081</v>
      </c>
      <c r="F227" s="1">
        <v>44081</v>
      </c>
      <c r="G227" s="1">
        <v>44771</v>
      </c>
      <c r="H227" s="3">
        <v>44771</v>
      </c>
      <c r="I227" t="s">
        <v>2776</v>
      </c>
      <c r="J227" t="s">
        <v>2777</v>
      </c>
    </row>
    <row r="228" spans="1:10" x14ac:dyDescent="0.3">
      <c r="A228" t="s">
        <v>1811</v>
      </c>
      <c r="B228" s="6" t="s">
        <v>1812</v>
      </c>
      <c r="C228" t="s">
        <v>1331</v>
      </c>
      <c r="D228" t="s">
        <v>1813</v>
      </c>
      <c r="E228" s="1">
        <v>44363</v>
      </c>
      <c r="F228" s="1">
        <v>44363</v>
      </c>
      <c r="G228" s="1">
        <v>44775</v>
      </c>
      <c r="H228" s="3">
        <v>44775</v>
      </c>
      <c r="I228" t="s">
        <v>1814</v>
      </c>
      <c r="J228" t="s">
        <v>1815</v>
      </c>
    </row>
    <row r="229" spans="1:10" x14ac:dyDescent="0.3">
      <c r="A229" t="s">
        <v>1983</v>
      </c>
      <c r="B229" s="6" t="s">
        <v>1984</v>
      </c>
      <c r="C229" t="s">
        <v>1985</v>
      </c>
      <c r="D229" t="s">
        <v>1986</v>
      </c>
      <c r="E229" s="1">
        <v>44632</v>
      </c>
      <c r="F229" s="1">
        <v>44632</v>
      </c>
      <c r="G229" s="1">
        <v>44778</v>
      </c>
      <c r="H229" s="3">
        <v>44778</v>
      </c>
      <c r="I229" t="s">
        <v>1987</v>
      </c>
      <c r="J229" t="s">
        <v>1988</v>
      </c>
    </row>
    <row r="230" spans="1:10" x14ac:dyDescent="0.3">
      <c r="A230" t="s">
        <v>1757</v>
      </c>
      <c r="B230" s="6" t="s">
        <v>1758</v>
      </c>
      <c r="C230" t="s">
        <v>1759</v>
      </c>
      <c r="D230" t="s">
        <v>1760</v>
      </c>
      <c r="E230" s="1">
        <v>44484</v>
      </c>
      <c r="F230" s="1">
        <v>44484</v>
      </c>
      <c r="G230" s="1">
        <v>44782</v>
      </c>
      <c r="H230" s="3">
        <v>44782</v>
      </c>
      <c r="I230" t="s">
        <v>1761</v>
      </c>
      <c r="J230" t="s">
        <v>1762</v>
      </c>
    </row>
    <row r="231" spans="1:10" x14ac:dyDescent="0.3">
      <c r="A231" t="s">
        <v>1830</v>
      </c>
      <c r="B231" s="6" t="s">
        <v>1831</v>
      </c>
      <c r="C231" t="s">
        <v>1832</v>
      </c>
      <c r="D231" t="s">
        <v>1833</v>
      </c>
      <c r="E231" s="1">
        <v>43858</v>
      </c>
      <c r="F231" s="1">
        <v>43858</v>
      </c>
      <c r="G231" s="1">
        <v>44783</v>
      </c>
      <c r="H231" s="3">
        <v>44783</v>
      </c>
      <c r="I231" t="s">
        <v>1834</v>
      </c>
      <c r="J231" t="s">
        <v>1835</v>
      </c>
    </row>
    <row r="232" spans="1:10" x14ac:dyDescent="0.3">
      <c r="A232" t="s">
        <v>96</v>
      </c>
      <c r="B232" s="7" t="s">
        <v>97</v>
      </c>
      <c r="C232" t="s">
        <v>67</v>
      </c>
      <c r="D232" t="s">
        <v>98</v>
      </c>
      <c r="E232" s="1">
        <v>44671</v>
      </c>
      <c r="F232" s="1">
        <v>44671</v>
      </c>
      <c r="G232" s="1">
        <v>44789</v>
      </c>
      <c r="H232" s="3">
        <v>44789</v>
      </c>
      <c r="I232" t="s">
        <v>99</v>
      </c>
      <c r="J232" t="s">
        <v>100</v>
      </c>
    </row>
    <row r="233" spans="1:10" x14ac:dyDescent="0.3">
      <c r="A233" t="s">
        <v>485</v>
      </c>
      <c r="B233" s="6" t="s">
        <v>486</v>
      </c>
      <c r="C233" t="s">
        <v>487</v>
      </c>
      <c r="D233" t="s">
        <v>488</v>
      </c>
      <c r="E233" s="1">
        <v>44361</v>
      </c>
      <c r="F233" s="1">
        <v>44361</v>
      </c>
      <c r="G233" s="1">
        <v>44789</v>
      </c>
      <c r="H233" s="3">
        <v>44789</v>
      </c>
      <c r="I233" t="s">
        <v>489</v>
      </c>
    </row>
    <row r="234" spans="1:10" x14ac:dyDescent="0.3">
      <c r="A234" t="s">
        <v>1950</v>
      </c>
      <c r="B234" s="6" t="s">
        <v>1951</v>
      </c>
      <c r="C234" t="s">
        <v>447</v>
      </c>
      <c r="D234" t="s">
        <v>1952</v>
      </c>
      <c r="E234" s="1">
        <v>44286</v>
      </c>
      <c r="F234" s="1">
        <v>44286</v>
      </c>
      <c r="G234" s="1">
        <v>44792</v>
      </c>
      <c r="H234" s="3">
        <v>44792</v>
      </c>
      <c r="I234" t="s">
        <v>1953</v>
      </c>
      <c r="J234" t="s">
        <v>1954</v>
      </c>
    </row>
    <row r="235" spans="1:10" x14ac:dyDescent="0.3">
      <c r="A235" t="s">
        <v>1379</v>
      </c>
      <c r="B235" s="6" t="s">
        <v>1380</v>
      </c>
      <c r="C235" t="s">
        <v>1381</v>
      </c>
      <c r="D235" t="s">
        <v>1382</v>
      </c>
      <c r="E235" s="1">
        <v>44162</v>
      </c>
      <c r="F235" s="1">
        <v>44162</v>
      </c>
      <c r="G235" s="1">
        <v>44799</v>
      </c>
      <c r="H235" s="3">
        <v>44799</v>
      </c>
      <c r="I235" t="s">
        <v>1383</v>
      </c>
      <c r="J235" t="s">
        <v>1384</v>
      </c>
    </row>
    <row r="236" spans="1:10" x14ac:dyDescent="0.3">
      <c r="A236" t="s">
        <v>2277</v>
      </c>
      <c r="B236" s="6" t="s">
        <v>2278</v>
      </c>
      <c r="C236" t="s">
        <v>2279</v>
      </c>
      <c r="D236" t="s">
        <v>2280</v>
      </c>
      <c r="E236" s="1">
        <v>44600</v>
      </c>
      <c r="F236" s="1">
        <v>44600</v>
      </c>
      <c r="G236" s="1">
        <v>44803</v>
      </c>
      <c r="H236" s="3">
        <v>44803</v>
      </c>
      <c r="I236" t="s">
        <v>2281</v>
      </c>
      <c r="J236" t="s">
        <v>2282</v>
      </c>
    </row>
    <row r="237" spans="1:10" x14ac:dyDescent="0.3">
      <c r="A237" t="s">
        <v>3652</v>
      </c>
      <c r="B237" s="7" t="s">
        <v>1995</v>
      </c>
      <c r="C237" t="s">
        <v>3653</v>
      </c>
      <c r="D237" t="s">
        <v>3653</v>
      </c>
      <c r="E237" s="1">
        <v>44546</v>
      </c>
      <c r="F237" s="1">
        <v>44546</v>
      </c>
      <c r="G237" s="1">
        <v>44803</v>
      </c>
      <c r="H237" s="3">
        <v>44803</v>
      </c>
      <c r="I237" t="s">
        <v>3654</v>
      </c>
      <c r="J237" t="s">
        <v>3655</v>
      </c>
    </row>
    <row r="238" spans="1:10" x14ac:dyDescent="0.3">
      <c r="A238" t="s">
        <v>1283</v>
      </c>
      <c r="B238" s="6" t="s">
        <v>1284</v>
      </c>
      <c r="C238" t="s">
        <v>1285</v>
      </c>
      <c r="D238" t="s">
        <v>1286</v>
      </c>
      <c r="E238" s="1">
        <v>44161</v>
      </c>
      <c r="F238" s="1">
        <v>44161</v>
      </c>
      <c r="G238" s="1">
        <v>44809</v>
      </c>
      <c r="H238" s="3">
        <v>44809</v>
      </c>
      <c r="I238" t="s">
        <v>1287</v>
      </c>
      <c r="J238" t="s">
        <v>1288</v>
      </c>
    </row>
    <row r="239" spans="1:10" x14ac:dyDescent="0.3">
      <c r="A239" t="s">
        <v>2529</v>
      </c>
      <c r="B239" s="6" t="s">
        <v>2530</v>
      </c>
      <c r="C239" t="s">
        <v>2531</v>
      </c>
      <c r="D239" t="s">
        <v>2532</v>
      </c>
      <c r="E239" s="1">
        <v>44699</v>
      </c>
      <c r="F239" s="1">
        <v>44699</v>
      </c>
      <c r="G239" s="1">
        <v>44813</v>
      </c>
      <c r="H239" s="3">
        <v>44813</v>
      </c>
      <c r="I239" t="s">
        <v>2533</v>
      </c>
      <c r="J239" t="s">
        <v>2534</v>
      </c>
    </row>
    <row r="240" spans="1:10" x14ac:dyDescent="0.3">
      <c r="A240" t="s">
        <v>263</v>
      </c>
      <c r="B240" s="6" t="s">
        <v>264</v>
      </c>
      <c r="C240" t="s">
        <v>265</v>
      </c>
      <c r="D240" t="s">
        <v>266</v>
      </c>
      <c r="E240" s="1">
        <v>44195</v>
      </c>
      <c r="F240" s="1">
        <v>44195</v>
      </c>
      <c r="G240" s="1">
        <v>44817</v>
      </c>
      <c r="H240" s="3">
        <v>44817</v>
      </c>
      <c r="I240" t="s">
        <v>267</v>
      </c>
      <c r="J240" t="s">
        <v>268</v>
      </c>
    </row>
    <row r="241" spans="1:10" x14ac:dyDescent="0.3">
      <c r="A241" t="s">
        <v>1836</v>
      </c>
      <c r="B241" s="6" t="s">
        <v>1837</v>
      </c>
      <c r="C241" t="s">
        <v>1838</v>
      </c>
      <c r="D241" t="s">
        <v>1839</v>
      </c>
      <c r="E241" s="1">
        <v>44746</v>
      </c>
      <c r="F241" s="1">
        <v>44746</v>
      </c>
      <c r="G241" s="1">
        <v>44820</v>
      </c>
      <c r="H241" s="3">
        <v>44820</v>
      </c>
      <c r="I241" t="s">
        <v>1840</v>
      </c>
      <c r="J241" t="s">
        <v>1841</v>
      </c>
    </row>
    <row r="242" spans="1:10" x14ac:dyDescent="0.3">
      <c r="A242" t="s">
        <v>1959</v>
      </c>
      <c r="B242" s="7" t="s">
        <v>1960</v>
      </c>
      <c r="C242" t="s">
        <v>1961</v>
      </c>
      <c r="D242" t="s">
        <v>1962</v>
      </c>
      <c r="E242" s="1">
        <v>43979</v>
      </c>
      <c r="F242" s="1">
        <v>43979</v>
      </c>
      <c r="G242" s="1">
        <v>44820</v>
      </c>
      <c r="H242" s="3">
        <v>44820</v>
      </c>
      <c r="I242" t="s">
        <v>1963</v>
      </c>
      <c r="J242" t="s">
        <v>1964</v>
      </c>
    </row>
    <row r="243" spans="1:10" x14ac:dyDescent="0.3">
      <c r="A243" t="s">
        <v>2426</v>
      </c>
      <c r="B243" s="6" t="s">
        <v>2427</v>
      </c>
      <c r="C243" t="s">
        <v>2428</v>
      </c>
      <c r="D243" t="s">
        <v>2429</v>
      </c>
      <c r="E243" s="1">
        <v>44582</v>
      </c>
      <c r="F243" s="1">
        <v>44582</v>
      </c>
      <c r="G243" s="1">
        <v>44820</v>
      </c>
      <c r="H243" s="3">
        <v>44820</v>
      </c>
      <c r="I243" t="s">
        <v>2430</v>
      </c>
      <c r="J243" t="s">
        <v>2431</v>
      </c>
    </row>
    <row r="244" spans="1:10" x14ac:dyDescent="0.3">
      <c r="A244" t="s">
        <v>2849</v>
      </c>
      <c r="B244" s="6" t="s">
        <v>2850</v>
      </c>
      <c r="C244" t="s">
        <v>2851</v>
      </c>
      <c r="D244" t="s">
        <v>2852</v>
      </c>
      <c r="E244" s="1">
        <v>44679</v>
      </c>
      <c r="F244" s="1">
        <v>44679</v>
      </c>
      <c r="G244" s="1">
        <v>44834</v>
      </c>
      <c r="H244" s="3">
        <v>44834</v>
      </c>
      <c r="I244" t="s">
        <v>2853</v>
      </c>
      <c r="J244" t="s">
        <v>2854</v>
      </c>
    </row>
    <row r="245" spans="1:10" x14ac:dyDescent="0.3">
      <c r="A245" t="s">
        <v>3696</v>
      </c>
      <c r="B245" s="7" t="s">
        <v>3697</v>
      </c>
      <c r="C245" t="s">
        <v>3698</v>
      </c>
      <c r="D245" t="s">
        <v>3699</v>
      </c>
      <c r="E245" s="1">
        <v>44140</v>
      </c>
      <c r="F245" s="1">
        <v>44140</v>
      </c>
      <c r="G245" s="1">
        <v>44845</v>
      </c>
      <c r="H245" s="3">
        <v>44845</v>
      </c>
      <c r="I245" t="s">
        <v>3700</v>
      </c>
      <c r="J245" t="s">
        <v>3701</v>
      </c>
    </row>
    <row r="246" spans="1:10" x14ac:dyDescent="0.3">
      <c r="A246" t="s">
        <v>474</v>
      </c>
      <c r="B246" s="6" t="s">
        <v>475</v>
      </c>
      <c r="C246" t="s">
        <v>476</v>
      </c>
      <c r="D246" t="s">
        <v>477</v>
      </c>
      <c r="E246" s="1">
        <v>43920</v>
      </c>
      <c r="F246" s="1">
        <v>43920</v>
      </c>
      <c r="G246" s="1">
        <v>44859</v>
      </c>
      <c r="H246" s="3">
        <v>44859</v>
      </c>
      <c r="I246" t="s">
        <v>478</v>
      </c>
      <c r="J246" t="s">
        <v>479</v>
      </c>
    </row>
    <row r="247" spans="1:10" x14ac:dyDescent="0.3">
      <c r="A247" t="s">
        <v>693</v>
      </c>
      <c r="B247" s="6" t="s">
        <v>694</v>
      </c>
      <c r="C247" t="s">
        <v>695</v>
      </c>
      <c r="D247" t="s">
        <v>696</v>
      </c>
      <c r="E247" s="1">
        <v>44607</v>
      </c>
      <c r="F247" s="1">
        <v>44607</v>
      </c>
      <c r="G247" s="1">
        <v>44862</v>
      </c>
      <c r="H247" s="3">
        <v>44862</v>
      </c>
      <c r="I247" t="s">
        <v>697</v>
      </c>
      <c r="J247" t="s">
        <v>698</v>
      </c>
    </row>
    <row r="248" spans="1:10" x14ac:dyDescent="0.3">
      <c r="A248" t="s">
        <v>4383</v>
      </c>
      <c r="B248" s="6" t="s">
        <v>4384</v>
      </c>
      <c r="C248" t="s">
        <v>4385</v>
      </c>
      <c r="D248" t="s">
        <v>4386</v>
      </c>
      <c r="E248" s="1">
        <v>44700</v>
      </c>
      <c r="F248" s="1">
        <v>44700</v>
      </c>
      <c r="G248" s="1">
        <v>44862</v>
      </c>
      <c r="H248" s="3">
        <v>44862</v>
      </c>
      <c r="I248" t="s">
        <v>4387</v>
      </c>
      <c r="J248" t="s">
        <v>4388</v>
      </c>
    </row>
    <row r="249" spans="1:10" x14ac:dyDescent="0.3">
      <c r="A249" t="s">
        <v>1150</v>
      </c>
      <c r="B249" s="6" t="s">
        <v>1151</v>
      </c>
      <c r="C249" t="s">
        <v>1152</v>
      </c>
      <c r="D249" t="s">
        <v>1153</v>
      </c>
      <c r="E249" s="1">
        <v>43868</v>
      </c>
      <c r="F249" s="1">
        <v>43868</v>
      </c>
      <c r="G249" s="1">
        <v>44866</v>
      </c>
      <c r="H249" s="3">
        <v>44866</v>
      </c>
      <c r="I249" t="s">
        <v>1154</v>
      </c>
      <c r="J249" t="s">
        <v>1155</v>
      </c>
    </row>
    <row r="250" spans="1:10" x14ac:dyDescent="0.3">
      <c r="A250" t="s">
        <v>2047</v>
      </c>
      <c r="B250" s="6" t="s">
        <v>2048</v>
      </c>
      <c r="C250" t="s">
        <v>2049</v>
      </c>
      <c r="D250" t="s">
        <v>2050</v>
      </c>
      <c r="E250" s="1">
        <v>44503</v>
      </c>
      <c r="F250" s="1">
        <v>44503</v>
      </c>
      <c r="G250" s="1">
        <v>44869</v>
      </c>
      <c r="H250" s="3">
        <v>44869</v>
      </c>
      <c r="I250" t="s">
        <v>2051</v>
      </c>
      <c r="J250" t="s">
        <v>2052</v>
      </c>
    </row>
    <row r="251" spans="1:10" x14ac:dyDescent="0.3">
      <c r="A251" t="s">
        <v>1578</v>
      </c>
      <c r="B251" s="6" t="s">
        <v>1579</v>
      </c>
      <c r="C251" t="s">
        <v>1580</v>
      </c>
      <c r="D251" t="s">
        <v>1581</v>
      </c>
      <c r="E251" s="1">
        <v>44432</v>
      </c>
      <c r="F251" s="1">
        <v>44432</v>
      </c>
      <c r="G251" s="1">
        <v>44873</v>
      </c>
      <c r="H251" s="3">
        <v>44873</v>
      </c>
      <c r="I251" t="s">
        <v>1582</v>
      </c>
      <c r="J251" t="s">
        <v>1583</v>
      </c>
    </row>
    <row r="252" spans="1:10" x14ac:dyDescent="0.3">
      <c r="A252" t="s">
        <v>4151</v>
      </c>
      <c r="B252" s="6" t="s">
        <v>4152</v>
      </c>
      <c r="C252" t="s">
        <v>4153</v>
      </c>
      <c r="D252" t="s">
        <v>4154</v>
      </c>
      <c r="E252" s="1">
        <v>44761</v>
      </c>
      <c r="F252" s="1">
        <v>44761</v>
      </c>
      <c r="G252" s="1">
        <v>44873</v>
      </c>
      <c r="H252" s="3">
        <v>44873</v>
      </c>
      <c r="I252" t="s">
        <v>4155</v>
      </c>
      <c r="J252" t="s">
        <v>4156</v>
      </c>
    </row>
    <row r="253" spans="1:10" x14ac:dyDescent="0.3">
      <c r="A253" t="s">
        <v>1700</v>
      </c>
      <c r="B253" s="6" t="s">
        <v>1701</v>
      </c>
      <c r="C253" t="s">
        <v>1702</v>
      </c>
      <c r="D253" t="s">
        <v>1703</v>
      </c>
      <c r="E253" s="1">
        <v>44128</v>
      </c>
      <c r="F253" s="1">
        <v>44128</v>
      </c>
      <c r="G253" s="1">
        <v>44880</v>
      </c>
      <c r="H253" s="3">
        <v>44880</v>
      </c>
      <c r="I253" t="s">
        <v>1704</v>
      </c>
      <c r="J253" t="s">
        <v>1705</v>
      </c>
    </row>
    <row r="254" spans="1:10" x14ac:dyDescent="0.3">
      <c r="A254" t="s">
        <v>2683</v>
      </c>
      <c r="B254" s="6" t="s">
        <v>2684</v>
      </c>
      <c r="C254" t="s">
        <v>2685</v>
      </c>
      <c r="D254" t="s">
        <v>2686</v>
      </c>
      <c r="E254" s="1">
        <v>44088</v>
      </c>
      <c r="F254" s="1">
        <v>44088</v>
      </c>
      <c r="G254" s="1">
        <v>44897</v>
      </c>
      <c r="H254" s="3">
        <v>44897</v>
      </c>
      <c r="I254" t="s">
        <v>2687</v>
      </c>
      <c r="J254" t="s">
        <v>2688</v>
      </c>
    </row>
    <row r="255" spans="1:10" x14ac:dyDescent="0.3">
      <c r="A255" t="s">
        <v>3245</v>
      </c>
      <c r="B255" s="6" t="s">
        <v>3246</v>
      </c>
      <c r="C255" t="s">
        <v>3247</v>
      </c>
      <c r="D255" t="s">
        <v>3248</v>
      </c>
      <c r="E255" s="1">
        <v>44377</v>
      </c>
      <c r="F255" s="1">
        <v>44377</v>
      </c>
      <c r="G255" s="1">
        <v>44897</v>
      </c>
      <c r="H255" s="3">
        <v>44897</v>
      </c>
      <c r="I255" t="s">
        <v>3249</v>
      </c>
      <c r="J255" t="s">
        <v>3250</v>
      </c>
    </row>
    <row r="256" spans="1:10" x14ac:dyDescent="0.3">
      <c r="A256" t="s">
        <v>4476</v>
      </c>
      <c r="B256" s="6" t="s">
        <v>4477</v>
      </c>
      <c r="C256" t="s">
        <v>4478</v>
      </c>
      <c r="D256" t="s">
        <v>4479</v>
      </c>
      <c r="E256" s="1">
        <v>44722</v>
      </c>
      <c r="F256" s="1">
        <v>44722</v>
      </c>
      <c r="G256" s="1">
        <v>44897</v>
      </c>
      <c r="H256" s="3">
        <v>44897</v>
      </c>
      <c r="I256" t="s">
        <v>4480</v>
      </c>
      <c r="J256" t="s">
        <v>4481</v>
      </c>
    </row>
    <row r="257" spans="1:10" x14ac:dyDescent="0.3">
      <c r="A257" t="s">
        <v>4361</v>
      </c>
      <c r="B257" s="6" t="s">
        <v>4362</v>
      </c>
      <c r="C257" t="s">
        <v>4363</v>
      </c>
      <c r="D257" t="s">
        <v>4364</v>
      </c>
      <c r="E257" s="1">
        <v>44713</v>
      </c>
      <c r="F257" s="1">
        <v>44713</v>
      </c>
      <c r="G257" s="1">
        <v>44901</v>
      </c>
      <c r="H257" s="3">
        <v>44901</v>
      </c>
      <c r="I257" t="s">
        <v>4365</v>
      </c>
      <c r="J257" t="s">
        <v>4366</v>
      </c>
    </row>
    <row r="258" spans="1:10" x14ac:dyDescent="0.3">
      <c r="A258" t="s">
        <v>4524</v>
      </c>
      <c r="B258" s="6" t="s">
        <v>4525</v>
      </c>
      <c r="C258" t="s">
        <v>4526</v>
      </c>
      <c r="D258" t="s">
        <v>4527</v>
      </c>
      <c r="E258" s="1">
        <v>44733</v>
      </c>
      <c r="F258" s="1">
        <v>44733</v>
      </c>
      <c r="G258" s="1">
        <v>44901</v>
      </c>
      <c r="H258" s="3">
        <v>44901</v>
      </c>
      <c r="I258" t="s">
        <v>4528</v>
      </c>
      <c r="J258" t="s">
        <v>4529</v>
      </c>
    </row>
    <row r="259" spans="1:10" x14ac:dyDescent="0.3">
      <c r="A259" t="s">
        <v>3735</v>
      </c>
      <c r="B259" s="6" t="s">
        <v>3736</v>
      </c>
      <c r="C259" t="s">
        <v>3737</v>
      </c>
      <c r="D259" t="s">
        <v>3738</v>
      </c>
      <c r="E259" s="1">
        <v>44769</v>
      </c>
      <c r="F259" s="1">
        <v>44769</v>
      </c>
      <c r="G259" s="1">
        <v>44904</v>
      </c>
      <c r="H259" s="3">
        <v>44904</v>
      </c>
      <c r="I259" t="s">
        <v>3739</v>
      </c>
      <c r="J259" t="s">
        <v>3740</v>
      </c>
    </row>
    <row r="260" spans="1:10" x14ac:dyDescent="0.3">
      <c r="A260" t="s">
        <v>2146</v>
      </c>
      <c r="B260" s="6" t="s">
        <v>2147</v>
      </c>
      <c r="C260" t="s">
        <v>2148</v>
      </c>
      <c r="D260" t="s">
        <v>2149</v>
      </c>
      <c r="E260" s="1">
        <v>44825</v>
      </c>
      <c r="F260" s="1">
        <v>44825</v>
      </c>
      <c r="G260" s="1">
        <v>44911</v>
      </c>
      <c r="H260" s="3">
        <v>44911</v>
      </c>
      <c r="I260" t="s">
        <v>2150</v>
      </c>
      <c r="J260" t="s">
        <v>2151</v>
      </c>
    </row>
    <row r="261" spans="1:10" x14ac:dyDescent="0.3">
      <c r="A261" t="s">
        <v>3528</v>
      </c>
      <c r="B261" s="6" t="s">
        <v>3529</v>
      </c>
      <c r="C261" t="s">
        <v>3530</v>
      </c>
      <c r="D261" t="s">
        <v>3531</v>
      </c>
      <c r="E261" s="1">
        <v>44811</v>
      </c>
      <c r="F261" s="1">
        <v>44811</v>
      </c>
      <c r="G261" s="1">
        <v>44915</v>
      </c>
      <c r="H261" s="3">
        <v>44915</v>
      </c>
      <c r="I261" t="s">
        <v>3532</v>
      </c>
      <c r="J261" t="s">
        <v>3533</v>
      </c>
    </row>
    <row r="262" spans="1:10" x14ac:dyDescent="0.3">
      <c r="A262" t="s">
        <v>3875</v>
      </c>
      <c r="B262" s="6" t="s">
        <v>3876</v>
      </c>
      <c r="C262" t="s">
        <v>3877</v>
      </c>
      <c r="D262" t="s">
        <v>3878</v>
      </c>
      <c r="E262" s="1">
        <v>44742</v>
      </c>
      <c r="F262" s="1">
        <v>44742</v>
      </c>
      <c r="G262" s="1">
        <v>44915</v>
      </c>
      <c r="H262" s="3">
        <v>44915</v>
      </c>
      <c r="I262" t="s">
        <v>3879</v>
      </c>
      <c r="J262" t="s">
        <v>3880</v>
      </c>
    </row>
    <row r="263" spans="1:10" x14ac:dyDescent="0.3">
      <c r="A263" t="s">
        <v>3783</v>
      </c>
      <c r="B263" s="6" t="s">
        <v>3784</v>
      </c>
      <c r="C263" t="s">
        <v>3785</v>
      </c>
      <c r="D263" t="s">
        <v>3786</v>
      </c>
      <c r="E263" s="1">
        <v>44657</v>
      </c>
      <c r="F263" s="1">
        <v>44657</v>
      </c>
      <c r="G263" s="1">
        <v>44918</v>
      </c>
      <c r="H263" s="3">
        <v>44918</v>
      </c>
      <c r="I263" t="s">
        <v>3787</v>
      </c>
      <c r="J263" t="s">
        <v>3788</v>
      </c>
    </row>
    <row r="264" spans="1:10" x14ac:dyDescent="0.3">
      <c r="A264" t="s">
        <v>3550</v>
      </c>
      <c r="B264" s="18" t="s">
        <v>3551</v>
      </c>
      <c r="C264" t="s">
        <v>2559</v>
      </c>
      <c r="D264" t="s">
        <v>3552</v>
      </c>
      <c r="E264" s="1">
        <v>44866</v>
      </c>
      <c r="F264" s="1">
        <v>44866</v>
      </c>
      <c r="G264" s="1">
        <v>44932</v>
      </c>
      <c r="H264" s="3">
        <v>44932</v>
      </c>
      <c r="I264" t="s">
        <v>3553</v>
      </c>
      <c r="J264" t="s">
        <v>3554</v>
      </c>
    </row>
    <row r="265" spans="1:10" x14ac:dyDescent="0.3">
      <c r="A265" t="s">
        <v>2035</v>
      </c>
      <c r="B265" s="18" t="s">
        <v>2036</v>
      </c>
      <c r="C265" t="s">
        <v>2037</v>
      </c>
      <c r="D265" t="s">
        <v>2038</v>
      </c>
      <c r="E265" s="1">
        <v>44868</v>
      </c>
      <c r="F265" s="1">
        <v>44868</v>
      </c>
      <c r="G265" s="1">
        <v>44939</v>
      </c>
      <c r="H265" s="3">
        <v>44939</v>
      </c>
      <c r="I265" t="s">
        <v>2039</v>
      </c>
      <c r="J265" t="s">
        <v>2040</v>
      </c>
    </row>
    <row r="266" spans="1:10" x14ac:dyDescent="0.3">
      <c r="A266" t="s">
        <v>4633</v>
      </c>
      <c r="B266" s="18" t="s">
        <v>4634</v>
      </c>
      <c r="C266" t="s">
        <v>4635</v>
      </c>
      <c r="D266" t="s">
        <v>4636</v>
      </c>
      <c r="E266" s="1">
        <v>44824</v>
      </c>
      <c r="F266" s="1">
        <v>44824</v>
      </c>
      <c r="G266" s="1">
        <v>44939</v>
      </c>
      <c r="H266" s="3">
        <v>44939</v>
      </c>
      <c r="I266" t="s">
        <v>4637</v>
      </c>
      <c r="J266" t="s">
        <v>4638</v>
      </c>
    </row>
    <row r="267" spans="1:10" x14ac:dyDescent="0.3">
      <c r="A267" t="s">
        <v>979</v>
      </c>
      <c r="B267" s="18" t="s">
        <v>980</v>
      </c>
      <c r="C267" t="s">
        <v>981</v>
      </c>
      <c r="D267" t="s">
        <v>982</v>
      </c>
      <c r="E267" s="1">
        <v>44875</v>
      </c>
      <c r="F267" s="1">
        <v>44875</v>
      </c>
      <c r="G267" s="1">
        <v>44950</v>
      </c>
      <c r="H267" s="3">
        <v>44950</v>
      </c>
      <c r="I267" t="s">
        <v>983</v>
      </c>
      <c r="J267" t="s">
        <v>984</v>
      </c>
    </row>
    <row r="268" spans="1:10" x14ac:dyDescent="0.3">
      <c r="A268" t="s">
        <v>1864</v>
      </c>
      <c r="B268" s="18" t="s">
        <v>1865</v>
      </c>
      <c r="C268" t="s">
        <v>1866</v>
      </c>
      <c r="D268" t="s">
        <v>1867</v>
      </c>
      <c r="E268" s="1">
        <v>44020</v>
      </c>
      <c r="F268" s="1">
        <v>44020</v>
      </c>
      <c r="G268" s="1">
        <v>44950</v>
      </c>
      <c r="H268" s="3">
        <v>44950</v>
      </c>
      <c r="I268" t="s">
        <v>1868</v>
      </c>
      <c r="J268" t="s">
        <v>1869</v>
      </c>
    </row>
    <row r="269" spans="1:10" x14ac:dyDescent="0.3">
      <c r="A269" t="s">
        <v>4693</v>
      </c>
      <c r="B269" s="18" t="s">
        <v>4694</v>
      </c>
      <c r="C269" t="s">
        <v>2331</v>
      </c>
      <c r="D269" t="s">
        <v>4695</v>
      </c>
      <c r="E269" s="1">
        <v>44721</v>
      </c>
      <c r="F269" s="1">
        <v>44721</v>
      </c>
      <c r="G269" s="1">
        <v>44950</v>
      </c>
      <c r="H269" s="3">
        <v>44950</v>
      </c>
      <c r="I269" t="s">
        <v>4696</v>
      </c>
      <c r="J269" t="s">
        <v>4697</v>
      </c>
    </row>
    <row r="270" spans="1:10" x14ac:dyDescent="0.3">
      <c r="A270" t="s">
        <v>1638</v>
      </c>
      <c r="B270" s="19" t="s">
        <v>1639</v>
      </c>
      <c r="C270" t="s">
        <v>1640</v>
      </c>
      <c r="D270" t="s">
        <v>1641</v>
      </c>
      <c r="E270" s="1">
        <v>44678</v>
      </c>
      <c r="F270" s="1">
        <v>44678</v>
      </c>
      <c r="G270" s="1">
        <v>44957</v>
      </c>
      <c r="H270" s="3">
        <v>44957</v>
      </c>
      <c r="I270" t="s">
        <v>1642</v>
      </c>
      <c r="J270" t="s">
        <v>1643</v>
      </c>
    </row>
    <row r="271" spans="1:10" x14ac:dyDescent="0.3">
      <c r="A271" t="s">
        <v>4782</v>
      </c>
      <c r="B271" s="18" t="s">
        <v>4783</v>
      </c>
      <c r="C271" t="s">
        <v>4784</v>
      </c>
      <c r="D271" t="s">
        <v>4785</v>
      </c>
      <c r="E271" s="1">
        <v>44281</v>
      </c>
      <c r="F271" s="1">
        <v>44281</v>
      </c>
      <c r="G271" s="1">
        <v>44957</v>
      </c>
      <c r="H271" s="3">
        <v>44957</v>
      </c>
      <c r="I271" t="s">
        <v>4786</v>
      </c>
      <c r="J271" t="s">
        <v>4787</v>
      </c>
    </row>
    <row r="272" spans="1:10" x14ac:dyDescent="0.3">
      <c r="A272" t="s">
        <v>2234</v>
      </c>
      <c r="B272" s="19" t="s">
        <v>2235</v>
      </c>
      <c r="C272" t="s">
        <v>2236</v>
      </c>
      <c r="D272" t="s">
        <v>2237</v>
      </c>
      <c r="E272" s="1">
        <v>44852</v>
      </c>
      <c r="F272" s="1">
        <v>44852</v>
      </c>
      <c r="G272" s="1">
        <v>44960</v>
      </c>
      <c r="H272" s="3">
        <v>44960</v>
      </c>
      <c r="I272" t="s">
        <v>2238</v>
      </c>
      <c r="J272" t="s">
        <v>2239</v>
      </c>
    </row>
    <row r="273" spans="1:10" x14ac:dyDescent="0.3">
      <c r="A273" t="s">
        <v>3133</v>
      </c>
      <c r="B273" s="18" t="s">
        <v>3134</v>
      </c>
      <c r="C273" t="s">
        <v>3135</v>
      </c>
      <c r="D273" t="s">
        <v>3136</v>
      </c>
      <c r="E273" s="1">
        <v>44875</v>
      </c>
      <c r="F273" s="1">
        <v>44875</v>
      </c>
      <c r="G273" s="1">
        <v>44967</v>
      </c>
      <c r="H273" s="3">
        <v>44967</v>
      </c>
      <c r="I273" t="s">
        <v>3137</v>
      </c>
      <c r="J273" t="s">
        <v>3138</v>
      </c>
    </row>
    <row r="274" spans="1:10" x14ac:dyDescent="0.3">
      <c r="A274" t="s">
        <v>1201</v>
      </c>
      <c r="B274" s="18" t="s">
        <v>1202</v>
      </c>
      <c r="C274" t="s">
        <v>1203</v>
      </c>
      <c r="D274" t="s">
        <v>1204</v>
      </c>
      <c r="E274" s="1">
        <v>44805</v>
      </c>
      <c r="F274" s="1">
        <v>44805</v>
      </c>
      <c r="G274" s="1">
        <v>44974</v>
      </c>
      <c r="H274" s="3">
        <v>44974</v>
      </c>
      <c r="I274" t="s">
        <v>1205</v>
      </c>
      <c r="J274" t="s">
        <v>1206</v>
      </c>
    </row>
    <row r="275" spans="1:10" x14ac:dyDescent="0.3">
      <c r="A275" t="s">
        <v>2819</v>
      </c>
      <c r="B275" s="19" t="s">
        <v>2820</v>
      </c>
      <c r="C275" t="s">
        <v>2821</v>
      </c>
      <c r="D275" t="s">
        <v>2822</v>
      </c>
      <c r="E275" s="1">
        <v>44775</v>
      </c>
      <c r="F275" s="1">
        <v>44775</v>
      </c>
      <c r="G275" s="1">
        <v>44978</v>
      </c>
      <c r="H275" s="3">
        <v>44978</v>
      </c>
      <c r="I275" t="s">
        <v>2823</v>
      </c>
      <c r="J275" t="s">
        <v>2824</v>
      </c>
    </row>
    <row r="276" spans="1:10" x14ac:dyDescent="0.3">
      <c r="A276" t="s">
        <v>1507</v>
      </c>
      <c r="B276" s="19" t="s">
        <v>1508</v>
      </c>
      <c r="C276" t="s">
        <v>1509</v>
      </c>
      <c r="D276" t="s">
        <v>1510</v>
      </c>
      <c r="E276" s="1">
        <v>44426</v>
      </c>
      <c r="F276" s="1">
        <v>44839</v>
      </c>
      <c r="G276" s="1">
        <v>44985</v>
      </c>
      <c r="H276" s="3">
        <v>44985</v>
      </c>
      <c r="I276" t="s">
        <v>1511</v>
      </c>
      <c r="J276" t="s">
        <v>1512</v>
      </c>
    </row>
    <row r="277" spans="1:10" x14ac:dyDescent="0.3">
      <c r="A277" t="s">
        <v>1887</v>
      </c>
      <c r="B277" s="18" t="s">
        <v>1888</v>
      </c>
      <c r="C277" t="s">
        <v>1889</v>
      </c>
      <c r="D277" t="s">
        <v>1890</v>
      </c>
      <c r="E277" s="1">
        <v>44181</v>
      </c>
      <c r="F277" s="1">
        <v>44181</v>
      </c>
      <c r="G277" s="1">
        <v>44988</v>
      </c>
      <c r="H277" s="3">
        <v>44988</v>
      </c>
      <c r="I277" t="s">
        <v>1891</v>
      </c>
      <c r="J277" t="s">
        <v>1892</v>
      </c>
    </row>
    <row r="278" spans="1:10" x14ac:dyDescent="0.3">
      <c r="A278" t="s">
        <v>573</v>
      </c>
      <c r="B278" s="18" t="s">
        <v>574</v>
      </c>
      <c r="C278" t="s">
        <v>575</v>
      </c>
      <c r="D278" t="s">
        <v>576</v>
      </c>
      <c r="E278" s="1">
        <v>44516</v>
      </c>
      <c r="F278" s="1">
        <v>44516</v>
      </c>
      <c r="G278" s="1">
        <v>44992</v>
      </c>
      <c r="H278" s="3">
        <v>44992</v>
      </c>
      <c r="I278" t="s">
        <v>577</v>
      </c>
      <c r="J278" t="s">
        <v>578</v>
      </c>
    </row>
    <row r="279" spans="1:10" x14ac:dyDescent="0.3">
      <c r="A279" t="s">
        <v>1664</v>
      </c>
      <c r="B279" s="18" t="s">
        <v>1665</v>
      </c>
      <c r="C279" t="s">
        <v>1666</v>
      </c>
      <c r="D279" t="s">
        <v>1667</v>
      </c>
      <c r="E279" s="1">
        <v>44478</v>
      </c>
      <c r="F279" s="1">
        <v>44478</v>
      </c>
      <c r="G279" s="1">
        <v>44992</v>
      </c>
      <c r="H279" s="3">
        <v>44992</v>
      </c>
      <c r="I279" t="s">
        <v>1668</v>
      </c>
      <c r="J279" t="s">
        <v>1669</v>
      </c>
    </row>
    <row r="280" spans="1:10" x14ac:dyDescent="0.3">
      <c r="A280" t="s">
        <v>2017</v>
      </c>
      <c r="B280" s="18" t="s">
        <v>2018</v>
      </c>
      <c r="C280" t="s">
        <v>2019</v>
      </c>
      <c r="D280" t="s">
        <v>2020</v>
      </c>
      <c r="E280" s="1">
        <v>44391</v>
      </c>
      <c r="F280" s="1">
        <v>44391</v>
      </c>
      <c r="G280" s="1">
        <v>44992</v>
      </c>
      <c r="H280" s="3">
        <v>44992</v>
      </c>
      <c r="I280" t="s">
        <v>2021</v>
      </c>
      <c r="J280" t="s">
        <v>2022</v>
      </c>
    </row>
    <row r="281" spans="1:10" x14ac:dyDescent="0.3">
      <c r="A281" t="s">
        <v>584</v>
      </c>
      <c r="B281" s="18" t="s">
        <v>585</v>
      </c>
      <c r="C281" t="s">
        <v>586</v>
      </c>
      <c r="D281" t="s">
        <v>587</v>
      </c>
      <c r="E281" s="1">
        <v>44924</v>
      </c>
      <c r="F281" s="1">
        <v>44924</v>
      </c>
      <c r="G281" s="1">
        <v>44999</v>
      </c>
      <c r="H281" s="3">
        <v>44999</v>
      </c>
      <c r="I281" t="s">
        <v>588</v>
      </c>
      <c r="J281" t="s">
        <v>589</v>
      </c>
    </row>
    <row r="282" spans="1:10" x14ac:dyDescent="0.3">
      <c r="A282" t="s">
        <v>1842</v>
      </c>
      <c r="B282" s="19" t="s">
        <v>1843</v>
      </c>
      <c r="C282" t="s">
        <v>1844</v>
      </c>
      <c r="D282" t="s">
        <v>1845</v>
      </c>
      <c r="E282" s="1">
        <v>44021</v>
      </c>
      <c r="F282" s="1">
        <v>44377</v>
      </c>
      <c r="G282" s="1">
        <v>44999</v>
      </c>
      <c r="H282" s="3">
        <v>44999</v>
      </c>
      <c r="I282" t="s">
        <v>1846</v>
      </c>
      <c r="J282" t="s">
        <v>1847</v>
      </c>
    </row>
    <row r="283" spans="1:10" x14ac:dyDescent="0.3">
      <c r="A283" t="s">
        <v>4394</v>
      </c>
      <c r="B283" s="18" t="s">
        <v>4395</v>
      </c>
      <c r="C283" t="s">
        <v>2990</v>
      </c>
      <c r="D283" t="s">
        <v>3242</v>
      </c>
      <c r="E283" s="1">
        <v>44880</v>
      </c>
      <c r="F283" s="1">
        <v>44880</v>
      </c>
      <c r="G283" s="1">
        <v>45002</v>
      </c>
      <c r="H283" s="3">
        <v>45002</v>
      </c>
      <c r="I283" t="s">
        <v>4396</v>
      </c>
      <c r="J283" t="s">
        <v>4397</v>
      </c>
    </row>
    <row r="284" spans="1:10" x14ac:dyDescent="0.3">
      <c r="A284" t="s">
        <v>246</v>
      </c>
      <c r="B284" s="18" t="s">
        <v>247</v>
      </c>
      <c r="C284" t="s">
        <v>248</v>
      </c>
      <c r="D284" t="s">
        <v>249</v>
      </c>
      <c r="E284" s="1">
        <v>44424</v>
      </c>
      <c r="F284" s="1">
        <v>44494</v>
      </c>
      <c r="G284" s="1">
        <v>45006</v>
      </c>
      <c r="H284" s="3">
        <v>45006</v>
      </c>
      <c r="I284" t="s">
        <v>250</v>
      </c>
      <c r="J284" t="s">
        <v>251</v>
      </c>
    </row>
    <row r="285" spans="1:10" x14ac:dyDescent="0.3">
      <c r="A285" t="s">
        <v>1805</v>
      </c>
      <c r="B285" s="18" t="s">
        <v>1806</v>
      </c>
      <c r="C285" t="s">
        <v>1807</v>
      </c>
      <c r="D285" t="s">
        <v>1808</v>
      </c>
      <c r="E285" s="1">
        <v>44899</v>
      </c>
      <c r="F285" s="1">
        <v>44899</v>
      </c>
      <c r="G285" s="1">
        <v>45006</v>
      </c>
      <c r="H285" s="3">
        <v>45006</v>
      </c>
      <c r="I285" t="s">
        <v>1809</v>
      </c>
      <c r="J285" t="s">
        <v>1810</v>
      </c>
    </row>
    <row r="286" spans="1:10" x14ac:dyDescent="0.3">
      <c r="A286" t="s">
        <v>3470</v>
      </c>
      <c r="B286" s="18" t="s">
        <v>3471</v>
      </c>
      <c r="C286" t="s">
        <v>3472</v>
      </c>
      <c r="D286" t="s">
        <v>3473</v>
      </c>
      <c r="E286" s="1">
        <v>44888</v>
      </c>
      <c r="F286" s="1">
        <v>44888</v>
      </c>
      <c r="G286" s="1">
        <v>45006</v>
      </c>
      <c r="H286" s="3">
        <v>45006</v>
      </c>
      <c r="I286" t="s">
        <v>3474</v>
      </c>
      <c r="J286" t="s">
        <v>3475</v>
      </c>
    </row>
    <row r="287" spans="1:10" x14ac:dyDescent="0.3">
      <c r="A287" t="s">
        <v>3828</v>
      </c>
      <c r="B287" s="19" t="s">
        <v>3829</v>
      </c>
      <c r="C287" t="s">
        <v>3830</v>
      </c>
      <c r="D287" t="s">
        <v>3830</v>
      </c>
      <c r="E287" s="1">
        <v>44861</v>
      </c>
      <c r="F287" s="1">
        <v>44861</v>
      </c>
      <c r="G287" s="1">
        <v>45006</v>
      </c>
      <c r="H287" s="3">
        <v>45006</v>
      </c>
      <c r="I287" t="s">
        <v>3831</v>
      </c>
      <c r="J287" t="s">
        <v>3832</v>
      </c>
    </row>
    <row r="288" spans="1:10" x14ac:dyDescent="0.3">
      <c r="A288" t="s">
        <v>796</v>
      </c>
      <c r="B288" s="18" t="s">
        <v>797</v>
      </c>
      <c r="C288" t="s">
        <v>798</v>
      </c>
      <c r="D288" t="s">
        <v>799</v>
      </c>
      <c r="E288" s="1">
        <v>43838</v>
      </c>
      <c r="F288" s="1">
        <v>43838</v>
      </c>
      <c r="G288" s="1">
        <v>45009</v>
      </c>
      <c r="H288" s="3">
        <v>45009</v>
      </c>
      <c r="I288" t="s">
        <v>800</v>
      </c>
      <c r="J288" t="s">
        <v>801</v>
      </c>
    </row>
    <row r="289" spans="1:10" x14ac:dyDescent="0.3">
      <c r="A289" t="s">
        <v>2860</v>
      </c>
      <c r="B289" s="18" t="s">
        <v>2861</v>
      </c>
      <c r="C289" t="s">
        <v>2862</v>
      </c>
      <c r="D289" t="s">
        <v>2863</v>
      </c>
      <c r="E289" s="1">
        <v>44872</v>
      </c>
      <c r="F289" s="1">
        <v>44872</v>
      </c>
      <c r="G289" s="1">
        <v>45009</v>
      </c>
      <c r="H289" s="3">
        <v>45009</v>
      </c>
      <c r="I289" t="s">
        <v>2864</v>
      </c>
      <c r="J289" t="s">
        <v>2865</v>
      </c>
    </row>
    <row r="290" spans="1:10" x14ac:dyDescent="0.3">
      <c r="A290" t="s">
        <v>4140</v>
      </c>
      <c r="B290" s="19" t="s">
        <v>4141</v>
      </c>
      <c r="C290" t="s">
        <v>4142</v>
      </c>
      <c r="D290" t="s">
        <v>4143</v>
      </c>
      <c r="E290" s="1">
        <v>44679</v>
      </c>
      <c r="F290" s="1">
        <v>44679</v>
      </c>
      <c r="G290" s="1">
        <v>45009</v>
      </c>
      <c r="H290" s="3">
        <v>45009</v>
      </c>
      <c r="I290" t="s">
        <v>4144</v>
      </c>
      <c r="J290" t="s">
        <v>4145</v>
      </c>
    </row>
    <row r="291" spans="1:10" x14ac:dyDescent="0.3">
      <c r="A291" t="s">
        <v>4455</v>
      </c>
      <c r="B291" s="19" t="s">
        <v>4456</v>
      </c>
      <c r="C291" t="s">
        <v>4457</v>
      </c>
      <c r="D291" t="s">
        <v>4458</v>
      </c>
      <c r="E291" s="1">
        <v>44842</v>
      </c>
      <c r="F291" s="1">
        <v>44842</v>
      </c>
      <c r="G291" s="1">
        <v>45009</v>
      </c>
      <c r="H291" s="3">
        <v>45009</v>
      </c>
      <c r="I291" t="s">
        <v>4459</v>
      </c>
      <c r="J291" t="s">
        <v>4460</v>
      </c>
    </row>
    <row r="292" spans="1:10" x14ac:dyDescent="0.3">
      <c r="A292" t="s">
        <v>380</v>
      </c>
      <c r="B292" s="19" t="s">
        <v>381</v>
      </c>
      <c r="C292" t="s">
        <v>382</v>
      </c>
      <c r="D292" t="s">
        <v>383</v>
      </c>
      <c r="E292" s="1">
        <v>44491</v>
      </c>
      <c r="F292" s="1">
        <v>44491</v>
      </c>
      <c r="G292" s="1">
        <v>45023</v>
      </c>
      <c r="H292" s="3">
        <v>45023</v>
      </c>
      <c r="I292" t="s">
        <v>384</v>
      </c>
      <c r="J292" t="s">
        <v>385</v>
      </c>
    </row>
    <row r="293" spans="1:10" x14ac:dyDescent="0.3">
      <c r="A293" t="s">
        <v>2712</v>
      </c>
      <c r="B293" s="18" t="s">
        <v>2713</v>
      </c>
      <c r="C293" t="s">
        <v>2714</v>
      </c>
      <c r="D293" t="s">
        <v>2715</v>
      </c>
      <c r="E293" s="1">
        <v>43994</v>
      </c>
      <c r="F293" s="1">
        <v>43994</v>
      </c>
      <c r="G293" s="1">
        <v>45023</v>
      </c>
      <c r="H293" s="3">
        <v>45023</v>
      </c>
      <c r="I293" t="s">
        <v>2716</v>
      </c>
      <c r="J293" t="s">
        <v>2717</v>
      </c>
    </row>
    <row r="294" spans="1:10" x14ac:dyDescent="0.3">
      <c r="A294" t="s">
        <v>3459</v>
      </c>
      <c r="B294" s="19" t="s">
        <v>3460</v>
      </c>
      <c r="C294" t="s">
        <v>3461</v>
      </c>
      <c r="D294" t="s">
        <v>3462</v>
      </c>
      <c r="E294" s="1">
        <v>44861</v>
      </c>
      <c r="F294" s="1">
        <v>44861</v>
      </c>
      <c r="G294" s="1">
        <v>45023</v>
      </c>
      <c r="H294" s="3">
        <v>45023</v>
      </c>
      <c r="I294" t="s">
        <v>3463</v>
      </c>
      <c r="J294" t="s">
        <v>3464</v>
      </c>
    </row>
    <row r="295" spans="1:10" x14ac:dyDescent="0.3">
      <c r="A295" t="s">
        <v>1768</v>
      </c>
      <c r="B295" s="18" t="s">
        <v>1769</v>
      </c>
      <c r="C295" t="s">
        <v>1770</v>
      </c>
      <c r="D295" t="s">
        <v>1771</v>
      </c>
      <c r="E295" s="1">
        <v>44924</v>
      </c>
      <c r="F295" s="1">
        <v>44924</v>
      </c>
      <c r="G295" s="1">
        <v>45027</v>
      </c>
      <c r="H295" s="3">
        <v>45027</v>
      </c>
      <c r="I295" t="s">
        <v>1772</v>
      </c>
      <c r="J295" t="s">
        <v>1773</v>
      </c>
    </row>
    <row r="296" spans="1:10" x14ac:dyDescent="0.3">
      <c r="A296" t="s">
        <v>2023</v>
      </c>
      <c r="B296" s="18" t="s">
        <v>2024</v>
      </c>
      <c r="C296" t="s">
        <v>2025</v>
      </c>
      <c r="D296" t="s">
        <v>2026</v>
      </c>
      <c r="E296" s="1">
        <v>44212</v>
      </c>
      <c r="F296" s="1">
        <v>44212</v>
      </c>
      <c r="G296" s="1">
        <v>45030</v>
      </c>
      <c r="H296" s="3">
        <v>45030</v>
      </c>
      <c r="I296" t="s">
        <v>2027</v>
      </c>
      <c r="J296" t="s">
        <v>2028</v>
      </c>
    </row>
    <row r="297" spans="1:10" x14ac:dyDescent="0.3">
      <c r="A297" t="s">
        <v>2939</v>
      </c>
      <c r="B297" s="19" t="s">
        <v>2940</v>
      </c>
      <c r="C297" t="s">
        <v>2941</v>
      </c>
      <c r="D297" t="s">
        <v>2942</v>
      </c>
      <c r="E297" s="1">
        <v>44904</v>
      </c>
      <c r="F297" s="1">
        <v>44904</v>
      </c>
      <c r="G297" s="1">
        <v>45034</v>
      </c>
      <c r="H297" s="3">
        <v>45034</v>
      </c>
      <c r="I297" t="s">
        <v>2943</v>
      </c>
      <c r="J297" t="s">
        <v>2944</v>
      </c>
    </row>
    <row r="298" spans="1:10" x14ac:dyDescent="0.3">
      <c r="A298" t="s">
        <v>995</v>
      </c>
      <c r="B298" s="18" t="s">
        <v>996</v>
      </c>
      <c r="C298" t="s">
        <v>997</v>
      </c>
      <c r="D298" t="s">
        <v>998</v>
      </c>
      <c r="E298" s="1">
        <v>44190</v>
      </c>
      <c r="F298" s="1">
        <v>44190</v>
      </c>
      <c r="G298" s="1">
        <v>45037</v>
      </c>
      <c r="H298" s="3">
        <v>45037</v>
      </c>
      <c r="I298" t="s">
        <v>999</v>
      </c>
      <c r="J298" t="s">
        <v>1000</v>
      </c>
    </row>
    <row r="299" spans="1:10" x14ac:dyDescent="0.3">
      <c r="A299" t="s">
        <v>2453</v>
      </c>
      <c r="B299" s="19" t="s">
        <v>2454</v>
      </c>
      <c r="C299" t="s">
        <v>2455</v>
      </c>
      <c r="D299" t="s">
        <v>2456</v>
      </c>
      <c r="E299" s="1">
        <v>44727</v>
      </c>
      <c r="F299" s="1">
        <v>44727</v>
      </c>
      <c r="G299" s="1">
        <v>45041</v>
      </c>
      <c r="H299" s="3">
        <v>45041</v>
      </c>
      <c r="I299" t="s">
        <v>2457</v>
      </c>
      <c r="J299" t="s">
        <v>2458</v>
      </c>
    </row>
    <row r="300" spans="1:10" x14ac:dyDescent="0.3">
      <c r="A300" t="s">
        <v>4157</v>
      </c>
      <c r="B300" s="18" t="s">
        <v>4158</v>
      </c>
      <c r="C300" t="s">
        <v>4159</v>
      </c>
      <c r="D300" t="s">
        <v>4160</v>
      </c>
      <c r="E300" s="1">
        <v>44503</v>
      </c>
      <c r="F300" s="1">
        <v>44503</v>
      </c>
      <c r="G300" s="1">
        <v>45044</v>
      </c>
      <c r="H300" s="3">
        <v>45044</v>
      </c>
      <c r="I300" t="s">
        <v>4161</v>
      </c>
      <c r="J300" t="s">
        <v>4162</v>
      </c>
    </row>
    <row r="301" spans="1:10" x14ac:dyDescent="0.3">
      <c r="A301" t="s">
        <v>3566</v>
      </c>
      <c r="B301" s="18" t="s">
        <v>3567</v>
      </c>
      <c r="C301" t="s">
        <v>3568</v>
      </c>
      <c r="D301" t="s">
        <v>3569</v>
      </c>
      <c r="E301" s="1">
        <v>44802</v>
      </c>
      <c r="F301" s="1">
        <v>44802</v>
      </c>
      <c r="G301" s="1">
        <v>45048</v>
      </c>
      <c r="H301" s="3">
        <v>45048</v>
      </c>
      <c r="I301" t="s">
        <v>3570</v>
      </c>
      <c r="J301" t="s">
        <v>3571</v>
      </c>
    </row>
    <row r="302" spans="1:10" x14ac:dyDescent="0.3">
      <c r="A302" t="s">
        <v>4077</v>
      </c>
      <c r="B302" s="18" t="s">
        <v>4078</v>
      </c>
      <c r="C302" t="s">
        <v>4079</v>
      </c>
      <c r="D302" t="s">
        <v>4080</v>
      </c>
      <c r="E302" s="1">
        <v>44883</v>
      </c>
      <c r="F302" s="1">
        <v>44883</v>
      </c>
      <c r="G302" s="1">
        <v>45051</v>
      </c>
      <c r="H302" s="3">
        <v>45051</v>
      </c>
      <c r="I302" t="s">
        <v>4081</v>
      </c>
      <c r="J302" t="s">
        <v>4082</v>
      </c>
    </row>
    <row r="303" spans="1:10" x14ac:dyDescent="0.3">
      <c r="A303" t="s">
        <v>4174</v>
      </c>
      <c r="B303" s="18" t="s">
        <v>4175</v>
      </c>
      <c r="C303" t="s">
        <v>4176</v>
      </c>
      <c r="D303" t="s">
        <v>4177</v>
      </c>
      <c r="E303" s="1">
        <v>44688</v>
      </c>
      <c r="F303" s="1">
        <v>44688</v>
      </c>
      <c r="G303" s="1">
        <v>45051</v>
      </c>
      <c r="H303" s="3">
        <v>45051</v>
      </c>
      <c r="I303" t="s">
        <v>4178</v>
      </c>
      <c r="J303" t="s">
        <v>4179</v>
      </c>
    </row>
    <row r="304" spans="1:10" x14ac:dyDescent="0.3">
      <c r="A304" t="s">
        <v>402</v>
      </c>
      <c r="B304" s="18" t="s">
        <v>403</v>
      </c>
      <c r="C304" t="s">
        <v>404</v>
      </c>
      <c r="D304" t="s">
        <v>405</v>
      </c>
      <c r="E304" s="1">
        <v>44929</v>
      </c>
      <c r="F304" s="1">
        <v>44929</v>
      </c>
      <c r="G304" s="1">
        <v>45055</v>
      </c>
      <c r="H304" s="3">
        <v>45055</v>
      </c>
      <c r="I304" t="s">
        <v>406</v>
      </c>
      <c r="J304" t="s">
        <v>407</v>
      </c>
    </row>
    <row r="305" spans="1:10" x14ac:dyDescent="0.3">
      <c r="A305" t="s">
        <v>744</v>
      </c>
      <c r="B305" s="18" t="s">
        <v>745</v>
      </c>
      <c r="C305" t="s">
        <v>746</v>
      </c>
      <c r="D305" t="s">
        <v>747</v>
      </c>
      <c r="E305" s="1">
        <v>44553</v>
      </c>
      <c r="F305" s="1">
        <v>44553</v>
      </c>
      <c r="G305" s="1">
        <v>45055</v>
      </c>
      <c r="H305" s="3">
        <v>45055</v>
      </c>
      <c r="I305" t="s">
        <v>748</v>
      </c>
      <c r="J305" t="s">
        <v>749</v>
      </c>
    </row>
    <row r="306" spans="1:10" x14ac:dyDescent="0.3">
      <c r="A306" t="s">
        <v>1032</v>
      </c>
      <c r="B306" s="18" t="s">
        <v>1033</v>
      </c>
      <c r="C306" t="s">
        <v>1034</v>
      </c>
      <c r="D306" t="s">
        <v>1035</v>
      </c>
      <c r="E306" s="1">
        <v>44558</v>
      </c>
      <c r="F306" s="1">
        <v>44558</v>
      </c>
      <c r="G306" s="1">
        <v>45055</v>
      </c>
      <c r="H306" s="3">
        <v>45055</v>
      </c>
      <c r="I306" t="s">
        <v>1036</v>
      </c>
      <c r="J306" t="s">
        <v>1037</v>
      </c>
    </row>
    <row r="307" spans="1:10" x14ac:dyDescent="0.3">
      <c r="A307" t="s">
        <v>1572</v>
      </c>
      <c r="B307" s="18" t="s">
        <v>1573</v>
      </c>
      <c r="C307" t="s">
        <v>1574</v>
      </c>
      <c r="D307" t="s">
        <v>1575</v>
      </c>
      <c r="E307" s="1">
        <v>44547</v>
      </c>
      <c r="F307" s="1">
        <v>44547</v>
      </c>
      <c r="G307" s="1">
        <v>45055</v>
      </c>
      <c r="H307" s="3">
        <v>45055</v>
      </c>
      <c r="I307" t="s">
        <v>1576</v>
      </c>
      <c r="J307" t="s">
        <v>1577</v>
      </c>
    </row>
    <row r="308" spans="1:10" x14ac:dyDescent="0.3">
      <c r="A308" t="s">
        <v>4814</v>
      </c>
      <c r="B308" s="18" t="s">
        <v>4815</v>
      </c>
      <c r="C308" t="s">
        <v>4816</v>
      </c>
      <c r="D308" t="s">
        <v>4817</v>
      </c>
      <c r="E308" s="1">
        <v>44848</v>
      </c>
      <c r="F308" s="1">
        <v>44848</v>
      </c>
      <c r="G308" s="1">
        <v>45056</v>
      </c>
      <c r="H308" s="3">
        <v>45056</v>
      </c>
      <c r="I308" t="s">
        <v>4818</v>
      </c>
      <c r="J308" t="s">
        <v>4819</v>
      </c>
    </row>
    <row r="309" spans="1:10" x14ac:dyDescent="0.3">
      <c r="A309" t="s">
        <v>3810</v>
      </c>
      <c r="B309" s="18" t="s">
        <v>3811</v>
      </c>
      <c r="C309" t="s">
        <v>320</v>
      </c>
      <c r="D309" t="s">
        <v>3812</v>
      </c>
      <c r="E309" s="1">
        <v>44993</v>
      </c>
      <c r="F309" s="1">
        <v>44993</v>
      </c>
      <c r="G309" s="1">
        <v>45058</v>
      </c>
      <c r="H309" s="3">
        <v>45058</v>
      </c>
      <c r="I309" t="s">
        <v>3813</v>
      </c>
      <c r="J309" t="s">
        <v>3814</v>
      </c>
    </row>
    <row r="310" spans="1:10" x14ac:dyDescent="0.3">
      <c r="A310" t="s">
        <v>4009</v>
      </c>
      <c r="B310" s="18" t="s">
        <v>4010</v>
      </c>
      <c r="C310" t="s">
        <v>4011</v>
      </c>
      <c r="D310" t="s">
        <v>4012</v>
      </c>
      <c r="E310" s="1">
        <v>44923</v>
      </c>
      <c r="F310" s="1">
        <v>44923</v>
      </c>
      <c r="G310" s="1">
        <v>45072</v>
      </c>
      <c r="H310" s="3">
        <v>45072</v>
      </c>
      <c r="I310" t="s">
        <v>4013</v>
      </c>
      <c r="J310" t="s">
        <v>4014</v>
      </c>
    </row>
    <row r="311" spans="1:10" x14ac:dyDescent="0.3">
      <c r="A311" t="s">
        <v>2766</v>
      </c>
      <c r="B311" s="18" t="s">
        <v>2767</v>
      </c>
      <c r="C311" t="s">
        <v>2768</v>
      </c>
      <c r="D311" t="s">
        <v>2769</v>
      </c>
      <c r="E311" s="1">
        <v>44797</v>
      </c>
      <c r="F311" s="1">
        <v>44830</v>
      </c>
      <c r="G311" s="1">
        <v>45090</v>
      </c>
      <c r="H311" s="3">
        <v>45090</v>
      </c>
      <c r="I311" t="s">
        <v>2770</v>
      </c>
      <c r="J311" t="s">
        <v>2771</v>
      </c>
    </row>
    <row r="312" spans="1:10" x14ac:dyDescent="0.3">
      <c r="A312" t="s">
        <v>3606</v>
      </c>
      <c r="B312" s="18" t="s">
        <v>3607</v>
      </c>
      <c r="C312" t="s">
        <v>3608</v>
      </c>
      <c r="D312" t="s">
        <v>3609</v>
      </c>
      <c r="E312" s="1">
        <v>45023</v>
      </c>
      <c r="F312" s="1">
        <v>45023</v>
      </c>
      <c r="G312" s="1">
        <v>45093</v>
      </c>
      <c r="H312" s="3">
        <v>45093</v>
      </c>
      <c r="I312" t="s">
        <v>3610</v>
      </c>
      <c r="J312" t="s">
        <v>3611</v>
      </c>
    </row>
    <row r="313" spans="1:10" x14ac:dyDescent="0.3">
      <c r="A313" t="s">
        <v>3022</v>
      </c>
      <c r="B313" s="18" t="s">
        <v>3023</v>
      </c>
      <c r="C313" t="s">
        <v>3024</v>
      </c>
      <c r="D313" t="s">
        <v>3025</v>
      </c>
      <c r="E313" s="1">
        <v>45020</v>
      </c>
      <c r="F313" s="1">
        <v>45020</v>
      </c>
      <c r="G313" s="1">
        <v>45097</v>
      </c>
      <c r="H313" s="3">
        <v>45097</v>
      </c>
      <c r="I313" t="s">
        <v>3026</v>
      </c>
      <c r="J313" t="s">
        <v>3027</v>
      </c>
    </row>
    <row r="314" spans="1:10" x14ac:dyDescent="0.3">
      <c r="A314" t="s">
        <v>2755</v>
      </c>
      <c r="B314" s="18" t="s">
        <v>2756</v>
      </c>
      <c r="C314" t="s">
        <v>2757</v>
      </c>
      <c r="D314" t="s">
        <v>2758</v>
      </c>
      <c r="E314" s="1">
        <v>44396</v>
      </c>
      <c r="F314" s="1">
        <v>44396</v>
      </c>
      <c r="G314" s="1">
        <v>45100</v>
      </c>
      <c r="H314" s="3">
        <v>45100</v>
      </c>
      <c r="I314" t="s">
        <v>2759</v>
      </c>
      <c r="J314" t="s">
        <v>2760</v>
      </c>
    </row>
    <row r="315" spans="1:10" x14ac:dyDescent="0.3">
      <c r="A315" t="s">
        <v>958</v>
      </c>
      <c r="B315" s="18" t="s">
        <v>959</v>
      </c>
      <c r="C315" t="s">
        <v>746</v>
      </c>
      <c r="D315" t="s">
        <v>960</v>
      </c>
      <c r="E315" s="1">
        <v>44901</v>
      </c>
      <c r="F315" s="1">
        <v>44901</v>
      </c>
      <c r="G315" s="1">
        <v>45104</v>
      </c>
      <c r="H315" s="3">
        <v>45104</v>
      </c>
      <c r="I315" t="s">
        <v>961</v>
      </c>
      <c r="J315" t="s">
        <v>962</v>
      </c>
    </row>
    <row r="316" spans="1:10" x14ac:dyDescent="0.3">
      <c r="A316" t="s">
        <v>1358</v>
      </c>
      <c r="B316" s="18" t="s">
        <v>1359</v>
      </c>
      <c r="C316" t="s">
        <v>1360</v>
      </c>
      <c r="D316" t="s">
        <v>1361</v>
      </c>
      <c r="E316" s="1">
        <v>44411</v>
      </c>
      <c r="F316" s="1">
        <v>44411</v>
      </c>
      <c r="G316" s="1">
        <v>45104</v>
      </c>
      <c r="H316" s="3">
        <v>45104</v>
      </c>
      <c r="I316" t="s">
        <v>1362</v>
      </c>
      <c r="J316" t="s">
        <v>1363</v>
      </c>
    </row>
    <row r="317" spans="1:10" x14ac:dyDescent="0.3">
      <c r="A317" t="s">
        <v>2389</v>
      </c>
      <c r="B317" s="19" t="s">
        <v>2390</v>
      </c>
      <c r="C317" t="s">
        <v>1827</v>
      </c>
      <c r="D317" t="s">
        <v>2391</v>
      </c>
      <c r="E317" s="1">
        <v>44286</v>
      </c>
      <c r="F317" s="1">
        <v>44286</v>
      </c>
      <c r="G317" s="1">
        <v>45104</v>
      </c>
      <c r="H317" s="3">
        <v>45104</v>
      </c>
      <c r="I317" t="s">
        <v>2392</v>
      </c>
      <c r="J317" t="s">
        <v>2393</v>
      </c>
    </row>
    <row r="318" spans="1:10" x14ac:dyDescent="0.3">
      <c r="A318" t="s">
        <v>3240</v>
      </c>
      <c r="B318" s="19" t="s">
        <v>3241</v>
      </c>
      <c r="C318" t="s">
        <v>2990</v>
      </c>
      <c r="D318" t="s">
        <v>3242</v>
      </c>
      <c r="E318" s="1">
        <v>44887</v>
      </c>
      <c r="F318" s="1">
        <v>44887</v>
      </c>
      <c r="G318" s="1">
        <v>45104</v>
      </c>
      <c r="H318" s="3">
        <v>45104</v>
      </c>
      <c r="I318" t="s">
        <v>3243</v>
      </c>
      <c r="J318" t="s">
        <v>3244</v>
      </c>
    </row>
    <row r="319" spans="1:10" x14ac:dyDescent="0.3">
      <c r="A319" t="s">
        <v>4217</v>
      </c>
      <c r="B319" s="18" t="s">
        <v>4218</v>
      </c>
      <c r="C319" t="s">
        <v>4219</v>
      </c>
      <c r="D319" t="s">
        <v>4220</v>
      </c>
      <c r="E319" s="1">
        <v>44966</v>
      </c>
      <c r="F319" s="1">
        <v>44966</v>
      </c>
      <c r="G319" s="1">
        <v>45104</v>
      </c>
      <c r="H319" s="3">
        <v>45104</v>
      </c>
      <c r="I319" t="s">
        <v>4221</v>
      </c>
      <c r="J319" t="s">
        <v>4222</v>
      </c>
    </row>
    <row r="320" spans="1:10" x14ac:dyDescent="0.3">
      <c r="A320" t="s">
        <v>4673</v>
      </c>
      <c r="B320" s="18" t="s">
        <v>4674</v>
      </c>
      <c r="C320" t="s">
        <v>4675</v>
      </c>
      <c r="D320" t="s">
        <v>4676</v>
      </c>
      <c r="E320" s="1">
        <v>44904</v>
      </c>
      <c r="F320" s="1">
        <v>44904</v>
      </c>
      <c r="G320" s="1">
        <v>45107</v>
      </c>
      <c r="H320" s="3">
        <v>45107</v>
      </c>
      <c r="I320" t="s">
        <v>4677</v>
      </c>
      <c r="J320" t="s">
        <v>4678</v>
      </c>
    </row>
    <row r="321" spans="1:10" x14ac:dyDescent="0.3">
      <c r="A321" t="s">
        <v>1022</v>
      </c>
      <c r="B321" s="18" t="s">
        <v>1023</v>
      </c>
      <c r="C321" t="s">
        <v>135</v>
      </c>
      <c r="D321" t="s">
        <v>1024</v>
      </c>
      <c r="E321" s="1">
        <v>44554</v>
      </c>
      <c r="F321" s="1">
        <v>44554</v>
      </c>
      <c r="G321" s="1">
        <v>45121</v>
      </c>
      <c r="H321" s="3">
        <v>45121</v>
      </c>
      <c r="I321" t="s">
        <v>1025</v>
      </c>
      <c r="J321" t="s">
        <v>1026</v>
      </c>
    </row>
    <row r="322" spans="1:10" x14ac:dyDescent="0.3">
      <c r="A322" t="s">
        <v>12</v>
      </c>
      <c r="B322" s="19" t="s">
        <v>13</v>
      </c>
      <c r="C322" t="s">
        <v>14</v>
      </c>
      <c r="D322" t="s">
        <v>15</v>
      </c>
      <c r="E322" s="1">
        <v>44133</v>
      </c>
      <c r="F322" s="1">
        <v>44133</v>
      </c>
      <c r="G322" s="1">
        <v>45125</v>
      </c>
      <c r="H322" s="3">
        <v>45125</v>
      </c>
      <c r="I322" t="s">
        <v>16</v>
      </c>
    </row>
    <row r="323" spans="1:10" x14ac:dyDescent="0.3">
      <c r="A323" t="s">
        <v>2814</v>
      </c>
      <c r="B323" s="18" t="s">
        <v>2815</v>
      </c>
      <c r="C323" t="s">
        <v>2816</v>
      </c>
      <c r="D323" t="s">
        <v>2817</v>
      </c>
      <c r="E323" s="1">
        <v>45033</v>
      </c>
      <c r="F323" s="1">
        <v>45033</v>
      </c>
      <c r="G323" s="1">
        <v>45128</v>
      </c>
      <c r="H323" s="3">
        <v>45128</v>
      </c>
      <c r="I323" t="s">
        <v>2818</v>
      </c>
    </row>
    <row r="324" spans="1:10" x14ac:dyDescent="0.3">
      <c r="A324" t="s">
        <v>4062</v>
      </c>
      <c r="B324" s="18" t="s">
        <v>4063</v>
      </c>
      <c r="C324" t="s">
        <v>4064</v>
      </c>
      <c r="D324" t="s">
        <v>4065</v>
      </c>
      <c r="E324" s="1">
        <v>44887</v>
      </c>
      <c r="F324" s="1">
        <v>44887</v>
      </c>
      <c r="G324" s="1">
        <v>45128</v>
      </c>
      <c r="H324" s="3">
        <v>45128</v>
      </c>
      <c r="I324" t="s">
        <v>4066</v>
      </c>
    </row>
    <row r="325" spans="1:10" x14ac:dyDescent="0.3">
      <c r="A325" t="s">
        <v>2283</v>
      </c>
      <c r="B325" s="18" t="s">
        <v>2284</v>
      </c>
      <c r="C325" t="s">
        <v>2285</v>
      </c>
      <c r="D325" t="s">
        <v>2286</v>
      </c>
      <c r="E325" s="1">
        <v>44846</v>
      </c>
      <c r="F325" s="1">
        <v>44846</v>
      </c>
      <c r="G325" s="1">
        <v>45132</v>
      </c>
      <c r="H325" s="3">
        <v>45132</v>
      </c>
      <c r="I325" t="s">
        <v>2287</v>
      </c>
    </row>
    <row r="326" spans="1:10" x14ac:dyDescent="0.3">
      <c r="A326" t="s">
        <v>4831</v>
      </c>
      <c r="B326" s="18" t="s">
        <v>4832</v>
      </c>
      <c r="C326" t="s">
        <v>4833</v>
      </c>
      <c r="D326" t="s">
        <v>4834</v>
      </c>
      <c r="E326" s="1">
        <v>44855</v>
      </c>
      <c r="F326" s="1">
        <v>44855</v>
      </c>
      <c r="G326" s="1">
        <v>45132</v>
      </c>
      <c r="H326" s="3">
        <v>45132</v>
      </c>
      <c r="I326" t="s">
        <v>4835</v>
      </c>
    </row>
    <row r="327" spans="1:10" x14ac:dyDescent="0.3">
      <c r="A327" t="s">
        <v>1242</v>
      </c>
      <c r="B327" s="18" t="s">
        <v>1243</v>
      </c>
      <c r="C327" t="s">
        <v>1244</v>
      </c>
      <c r="D327" t="s">
        <v>1245</v>
      </c>
      <c r="E327" s="1">
        <v>44881</v>
      </c>
      <c r="F327" s="1">
        <v>44881</v>
      </c>
      <c r="G327" s="1">
        <v>45135</v>
      </c>
      <c r="H327" s="3">
        <v>45135</v>
      </c>
      <c r="I327" t="s">
        <v>1246</v>
      </c>
    </row>
    <row r="328" spans="1:10" x14ac:dyDescent="0.3">
      <c r="A328" t="s">
        <v>2220</v>
      </c>
      <c r="B328" s="18" t="s">
        <v>2221</v>
      </c>
      <c r="C328" t="s">
        <v>2222</v>
      </c>
      <c r="D328" t="s">
        <v>2223</v>
      </c>
      <c r="E328" s="1">
        <v>44736</v>
      </c>
      <c r="F328" s="1">
        <v>44736</v>
      </c>
      <c r="G328" s="1">
        <v>45135</v>
      </c>
      <c r="H328" s="3">
        <v>45135</v>
      </c>
      <c r="I328" t="s">
        <v>2224</v>
      </c>
    </row>
    <row r="329" spans="1:10" x14ac:dyDescent="0.3">
      <c r="A329" t="s">
        <v>359</v>
      </c>
      <c r="B329" s="18" t="s">
        <v>360</v>
      </c>
      <c r="C329" t="s">
        <v>361</v>
      </c>
      <c r="D329" t="s">
        <v>362</v>
      </c>
      <c r="E329" s="1">
        <v>43846</v>
      </c>
      <c r="F329" s="1">
        <v>43846</v>
      </c>
      <c r="G329" s="1">
        <v>45139</v>
      </c>
      <c r="H329" s="3">
        <v>45139</v>
      </c>
      <c r="I329" t="s">
        <v>363</v>
      </c>
      <c r="J329" t="s">
        <v>364</v>
      </c>
    </row>
    <row r="330" spans="1:10" x14ac:dyDescent="0.3">
      <c r="A330" t="s">
        <v>938</v>
      </c>
      <c r="B330" s="18" t="s">
        <v>939</v>
      </c>
      <c r="C330" t="s">
        <v>940</v>
      </c>
      <c r="D330" t="s">
        <v>941</v>
      </c>
      <c r="E330" s="1">
        <v>45042</v>
      </c>
      <c r="F330" s="1">
        <v>45042</v>
      </c>
      <c r="G330" s="1">
        <v>45139</v>
      </c>
      <c r="H330" s="3">
        <v>45139</v>
      </c>
      <c r="I330" t="s">
        <v>942</v>
      </c>
    </row>
    <row r="331" spans="1:10" x14ac:dyDescent="0.3">
      <c r="A331" t="s">
        <v>4420</v>
      </c>
      <c r="B331" s="18" t="s">
        <v>4421</v>
      </c>
      <c r="C331" t="s">
        <v>4422</v>
      </c>
      <c r="D331" t="s">
        <v>4423</v>
      </c>
      <c r="E331" s="1">
        <v>44920</v>
      </c>
      <c r="F331" s="1">
        <v>44920</v>
      </c>
      <c r="G331" s="1">
        <v>45146</v>
      </c>
      <c r="H331" s="3">
        <v>45146</v>
      </c>
      <c r="I331" t="s">
        <v>4424</v>
      </c>
    </row>
    <row r="332" spans="1:10" x14ac:dyDescent="0.3">
      <c r="A332" t="s">
        <v>3561</v>
      </c>
      <c r="B332" s="18" t="s">
        <v>3562</v>
      </c>
      <c r="C332" t="s">
        <v>3563</v>
      </c>
      <c r="D332" t="s">
        <v>3564</v>
      </c>
      <c r="E332" s="1">
        <v>44453</v>
      </c>
      <c r="F332" s="1">
        <v>44453</v>
      </c>
      <c r="G332" s="1">
        <v>45149</v>
      </c>
      <c r="H332" s="3">
        <v>45149</v>
      </c>
      <c r="I332" t="s">
        <v>3565</v>
      </c>
    </row>
    <row r="333" spans="1:10" x14ac:dyDescent="0.3">
      <c r="A333" t="s">
        <v>3298</v>
      </c>
      <c r="B333" s="18" t="s">
        <v>3299</v>
      </c>
      <c r="C333" t="s">
        <v>3212</v>
      </c>
      <c r="D333" t="s">
        <v>3213</v>
      </c>
      <c r="E333" s="1">
        <v>44544</v>
      </c>
      <c r="F333" s="1">
        <v>44544</v>
      </c>
      <c r="G333" s="1">
        <v>45156</v>
      </c>
      <c r="H333" s="3">
        <v>45156</v>
      </c>
      <c r="I333" t="s">
        <v>3300</v>
      </c>
    </row>
    <row r="334" spans="1:10" x14ac:dyDescent="0.3">
      <c r="A334" t="s">
        <v>3356</v>
      </c>
      <c r="B334" s="18" t="s">
        <v>3357</v>
      </c>
      <c r="C334" t="s">
        <v>3358</v>
      </c>
      <c r="D334" t="s">
        <v>3359</v>
      </c>
      <c r="E334" s="1">
        <v>44835</v>
      </c>
      <c r="F334" s="1">
        <v>44835</v>
      </c>
      <c r="G334" s="1">
        <v>45156</v>
      </c>
      <c r="H334" s="3">
        <v>45156</v>
      </c>
      <c r="I334" t="s">
        <v>3360</v>
      </c>
    </row>
    <row r="335" spans="1:10" x14ac:dyDescent="0.3">
      <c r="A335" t="s">
        <v>3964</v>
      </c>
      <c r="B335" s="19" t="s">
        <v>3965</v>
      </c>
      <c r="C335" t="s">
        <v>3966</v>
      </c>
      <c r="D335" t="s">
        <v>3967</v>
      </c>
      <c r="E335" s="1">
        <v>45007</v>
      </c>
      <c r="F335" s="1">
        <v>45007</v>
      </c>
      <c r="G335" s="1">
        <v>45156</v>
      </c>
      <c r="H335" s="3">
        <v>45156</v>
      </c>
      <c r="I335" t="s">
        <v>3968</v>
      </c>
    </row>
    <row r="336" spans="1:10" x14ac:dyDescent="0.3">
      <c r="A336" t="s">
        <v>4842</v>
      </c>
      <c r="B336" s="18" t="s">
        <v>4843</v>
      </c>
      <c r="C336" t="s">
        <v>4844</v>
      </c>
      <c r="D336" t="s">
        <v>4845</v>
      </c>
      <c r="E336" s="1">
        <v>44638</v>
      </c>
      <c r="F336" s="1">
        <v>44638</v>
      </c>
      <c r="G336" s="1">
        <v>45156</v>
      </c>
      <c r="H336" s="3">
        <v>45156</v>
      </c>
      <c r="I336" t="s">
        <v>4846</v>
      </c>
    </row>
    <row r="337" spans="1:9" x14ac:dyDescent="0.3">
      <c r="A337" t="s">
        <v>3210</v>
      </c>
      <c r="B337" s="19" t="s">
        <v>3211</v>
      </c>
      <c r="C337" t="s">
        <v>3212</v>
      </c>
      <c r="D337" t="s">
        <v>3213</v>
      </c>
      <c r="E337" s="1">
        <v>44544</v>
      </c>
      <c r="F337" s="1">
        <v>44544</v>
      </c>
      <c r="G337" s="1">
        <v>45160</v>
      </c>
      <c r="H337" s="3">
        <v>45160</v>
      </c>
      <c r="I337" t="s">
        <v>3214</v>
      </c>
    </row>
    <row r="338" spans="1:9" x14ac:dyDescent="0.3">
      <c r="A338" t="s">
        <v>2251</v>
      </c>
      <c r="B338" s="18" t="s">
        <v>2252</v>
      </c>
      <c r="C338" t="s">
        <v>2253</v>
      </c>
      <c r="D338" t="s">
        <v>2254</v>
      </c>
      <c r="E338" s="1">
        <v>44414</v>
      </c>
      <c r="F338" s="1">
        <v>44419</v>
      </c>
      <c r="G338" s="1">
        <v>45163</v>
      </c>
      <c r="H338" s="3">
        <v>45163</v>
      </c>
      <c r="I338" t="s">
        <v>2255</v>
      </c>
    </row>
    <row r="339" spans="1:9" x14ac:dyDescent="0.3">
      <c r="A339" t="s">
        <v>3139</v>
      </c>
      <c r="B339" s="18" t="s">
        <v>3140</v>
      </c>
      <c r="C339" t="s">
        <v>3141</v>
      </c>
      <c r="D339" t="s">
        <v>3142</v>
      </c>
      <c r="E339" s="1">
        <v>45000</v>
      </c>
      <c r="F339" s="1">
        <v>45000</v>
      </c>
      <c r="G339" s="1">
        <v>45177</v>
      </c>
      <c r="H339" s="3">
        <v>45177</v>
      </c>
      <c r="I339" t="s">
        <v>3143</v>
      </c>
    </row>
    <row r="340" spans="1:9" x14ac:dyDescent="0.3">
      <c r="A340" t="s">
        <v>3060</v>
      </c>
      <c r="B340" s="18" t="s">
        <v>3061</v>
      </c>
      <c r="C340" t="s">
        <v>3062</v>
      </c>
      <c r="D340" t="s">
        <v>3063</v>
      </c>
      <c r="E340" s="1">
        <v>44916</v>
      </c>
      <c r="F340" s="1">
        <v>44916</v>
      </c>
      <c r="G340" s="1">
        <v>45181</v>
      </c>
      <c r="H340" s="3">
        <v>45181</v>
      </c>
      <c r="I340" t="s">
        <v>3064</v>
      </c>
    </row>
    <row r="341" spans="1:9" x14ac:dyDescent="0.3">
      <c r="A341" t="s">
        <v>313</v>
      </c>
      <c r="B341" s="18" t="s">
        <v>314</v>
      </c>
      <c r="C341" t="s">
        <v>315</v>
      </c>
      <c r="D341" t="s">
        <v>316</v>
      </c>
      <c r="E341" s="1">
        <v>44762</v>
      </c>
      <c r="F341" s="1">
        <v>44762</v>
      </c>
      <c r="G341" s="1">
        <v>45188</v>
      </c>
      <c r="H341" s="3">
        <v>45188</v>
      </c>
      <c r="I341" t="s">
        <v>317</v>
      </c>
    </row>
    <row r="342" spans="1:9" x14ac:dyDescent="0.3">
      <c r="A342" t="s">
        <v>4185</v>
      </c>
      <c r="B342" s="18" t="s">
        <v>4186</v>
      </c>
      <c r="C342" t="s">
        <v>4187</v>
      </c>
      <c r="D342" t="s">
        <v>4188</v>
      </c>
      <c r="E342" s="1">
        <v>44926</v>
      </c>
      <c r="F342" s="1">
        <v>44926</v>
      </c>
      <c r="G342" s="1">
        <v>45188</v>
      </c>
      <c r="H342" s="3">
        <v>45188</v>
      </c>
      <c r="I342" t="s">
        <v>4189</v>
      </c>
    </row>
    <row r="343" spans="1:9" x14ac:dyDescent="0.3">
      <c r="A343" t="s">
        <v>1711</v>
      </c>
      <c r="B343" s="18" t="s">
        <v>1712</v>
      </c>
      <c r="C343" t="s">
        <v>1713</v>
      </c>
      <c r="D343" t="s">
        <v>1714</v>
      </c>
      <c r="E343" s="1">
        <v>44277</v>
      </c>
      <c r="F343" s="1">
        <v>44277</v>
      </c>
      <c r="G343" s="1">
        <v>45191</v>
      </c>
      <c r="H343" s="3">
        <v>45191</v>
      </c>
      <c r="I343" t="s">
        <v>1715</v>
      </c>
    </row>
    <row r="344" spans="1:9" x14ac:dyDescent="0.3">
      <c r="A344" t="s">
        <v>252</v>
      </c>
      <c r="B344" s="18" t="s">
        <v>253</v>
      </c>
      <c r="C344" t="s">
        <v>254</v>
      </c>
      <c r="D344" t="s">
        <v>255</v>
      </c>
      <c r="E344" s="1">
        <v>44755</v>
      </c>
      <c r="F344" s="1">
        <v>44755</v>
      </c>
      <c r="G344" s="1">
        <v>45195</v>
      </c>
      <c r="H344" s="3">
        <v>45195</v>
      </c>
      <c r="I344" t="s">
        <v>256</v>
      </c>
    </row>
    <row r="345" spans="1:9" x14ac:dyDescent="0.3">
      <c r="A345" t="s">
        <v>355</v>
      </c>
      <c r="B345" s="18" t="s">
        <v>356</v>
      </c>
      <c r="C345" t="s">
        <v>352</v>
      </c>
      <c r="D345" t="s">
        <v>357</v>
      </c>
      <c r="E345" s="1">
        <v>44560</v>
      </c>
      <c r="F345" s="1">
        <v>44560</v>
      </c>
      <c r="G345" s="1">
        <v>45195</v>
      </c>
      <c r="H345" s="3">
        <v>45195</v>
      </c>
      <c r="I345" t="s">
        <v>358</v>
      </c>
    </row>
    <row r="346" spans="1:9" x14ac:dyDescent="0.3">
      <c r="A346" t="s">
        <v>44</v>
      </c>
      <c r="B346" s="18" t="s">
        <v>45</v>
      </c>
      <c r="C346" t="s">
        <v>46</v>
      </c>
      <c r="D346" t="s">
        <v>47</v>
      </c>
      <c r="E346" s="1">
        <v>44707</v>
      </c>
      <c r="F346" s="1">
        <v>44707</v>
      </c>
      <c r="G346" s="1">
        <v>45198</v>
      </c>
      <c r="H346" s="3">
        <v>45198</v>
      </c>
      <c r="I346" t="s">
        <v>48</v>
      </c>
    </row>
    <row r="347" spans="1:9" x14ac:dyDescent="0.3">
      <c r="A347" t="s">
        <v>3039</v>
      </c>
      <c r="B347" s="18" t="s">
        <v>3040</v>
      </c>
      <c r="C347" t="s">
        <v>3041</v>
      </c>
      <c r="D347" t="s">
        <v>3042</v>
      </c>
      <c r="E347" s="1">
        <v>45009</v>
      </c>
      <c r="F347" s="1">
        <v>45065</v>
      </c>
      <c r="G347" s="1">
        <v>45202</v>
      </c>
      <c r="H347" s="3">
        <v>45202</v>
      </c>
      <c r="I347" t="s">
        <v>3043</v>
      </c>
    </row>
    <row r="348" spans="1:9" x14ac:dyDescent="0.3">
      <c r="A348" t="s">
        <v>3311</v>
      </c>
      <c r="B348" s="18" t="s">
        <v>3312</v>
      </c>
      <c r="C348" t="s">
        <v>3313</v>
      </c>
      <c r="D348" t="s">
        <v>3314</v>
      </c>
      <c r="E348" s="1">
        <v>44970</v>
      </c>
      <c r="F348" s="1">
        <v>44970</v>
      </c>
      <c r="G348" s="1">
        <v>45202</v>
      </c>
      <c r="H348" s="3">
        <v>45202</v>
      </c>
      <c r="I348" t="s">
        <v>3315</v>
      </c>
    </row>
    <row r="349" spans="1:9" x14ac:dyDescent="0.3">
      <c r="A349" t="s">
        <v>293</v>
      </c>
      <c r="B349" s="18" t="s">
        <v>294</v>
      </c>
      <c r="C349" t="s">
        <v>295</v>
      </c>
      <c r="D349" t="s">
        <v>296</v>
      </c>
      <c r="E349" s="1">
        <v>45008</v>
      </c>
      <c r="F349" s="1">
        <v>45008</v>
      </c>
      <c r="G349" s="1">
        <v>45204</v>
      </c>
      <c r="H349" s="3">
        <v>45204</v>
      </c>
      <c r="I349" t="s">
        <v>297</v>
      </c>
    </row>
    <row r="350" spans="1:9" x14ac:dyDescent="0.3">
      <c r="A350" t="s">
        <v>3680</v>
      </c>
      <c r="B350" s="18" t="s">
        <v>3681</v>
      </c>
      <c r="C350" t="s">
        <v>3682</v>
      </c>
      <c r="D350" t="s">
        <v>3683</v>
      </c>
      <c r="E350" s="1">
        <v>45037</v>
      </c>
      <c r="F350" s="1">
        <v>45037</v>
      </c>
      <c r="G350" s="1">
        <v>45212</v>
      </c>
      <c r="H350" s="3">
        <v>45212</v>
      </c>
      <c r="I350" t="s">
        <v>3684</v>
      </c>
    </row>
    <row r="351" spans="1:9" x14ac:dyDescent="0.3">
      <c r="A351" t="s">
        <v>3224</v>
      </c>
      <c r="B351" s="18" t="s">
        <v>3225</v>
      </c>
      <c r="C351" t="s">
        <v>3226</v>
      </c>
      <c r="D351" t="s">
        <v>3227</v>
      </c>
      <c r="E351" s="1">
        <v>45056</v>
      </c>
      <c r="F351" s="1">
        <v>45056</v>
      </c>
      <c r="G351" s="1">
        <v>45216</v>
      </c>
      <c r="H351" s="3">
        <v>45216</v>
      </c>
      <c r="I351" t="s">
        <v>3228</v>
      </c>
    </row>
    <row r="352" spans="1:9" x14ac:dyDescent="0.3">
      <c r="A352" t="s">
        <v>807</v>
      </c>
      <c r="B352" s="19" t="s">
        <v>808</v>
      </c>
      <c r="C352" t="s">
        <v>809</v>
      </c>
      <c r="D352" t="s">
        <v>810</v>
      </c>
      <c r="E352" s="1">
        <v>44858</v>
      </c>
      <c r="F352" s="1">
        <v>44858</v>
      </c>
      <c r="G352" s="1">
        <v>45219</v>
      </c>
      <c r="H352" s="3">
        <v>45219</v>
      </c>
      <c r="I352" t="s">
        <v>811</v>
      </c>
    </row>
    <row r="353" spans="1:10" x14ac:dyDescent="0.3">
      <c r="A353" t="s">
        <v>2695</v>
      </c>
      <c r="B353" s="19" t="s">
        <v>2696</v>
      </c>
      <c r="C353" t="s">
        <v>2697</v>
      </c>
      <c r="D353" t="s">
        <v>2698</v>
      </c>
      <c r="E353" s="1">
        <v>45034</v>
      </c>
      <c r="F353" s="1">
        <v>45034</v>
      </c>
      <c r="G353" s="1">
        <v>45219</v>
      </c>
      <c r="H353" s="3">
        <v>45219</v>
      </c>
      <c r="I353" t="s">
        <v>2699</v>
      </c>
    </row>
    <row r="354" spans="1:10" x14ac:dyDescent="0.3">
      <c r="A354" t="s">
        <v>3622</v>
      </c>
      <c r="B354" s="19" t="s">
        <v>3623</v>
      </c>
      <c r="C354" t="s">
        <v>135</v>
      </c>
      <c r="D354" t="s">
        <v>3624</v>
      </c>
      <c r="E354" s="1">
        <v>45128</v>
      </c>
      <c r="F354" s="1">
        <v>45128</v>
      </c>
      <c r="G354" s="1">
        <v>45219</v>
      </c>
      <c r="H354" s="3">
        <v>45219</v>
      </c>
      <c r="I354" t="s">
        <v>3625</v>
      </c>
    </row>
    <row r="355" spans="1:10" x14ac:dyDescent="0.3">
      <c r="A355" t="s">
        <v>1893</v>
      </c>
      <c r="B355" s="18" t="s">
        <v>1894</v>
      </c>
      <c r="C355" t="s">
        <v>1895</v>
      </c>
      <c r="D355" t="s">
        <v>1896</v>
      </c>
      <c r="E355" s="1">
        <v>45012</v>
      </c>
      <c r="F355" s="1">
        <v>45012</v>
      </c>
      <c r="G355" s="1">
        <v>45226</v>
      </c>
      <c r="H355" s="3">
        <v>45226</v>
      </c>
      <c r="I355" t="s">
        <v>1897</v>
      </c>
    </row>
    <row r="356" spans="1:10" x14ac:dyDescent="0.3">
      <c r="A356" t="s">
        <v>1396</v>
      </c>
      <c r="B356" s="18" t="s">
        <v>1397</v>
      </c>
      <c r="C356" t="s">
        <v>1398</v>
      </c>
      <c r="D356" t="s">
        <v>1399</v>
      </c>
      <c r="E356" s="1">
        <v>44266</v>
      </c>
      <c r="F356" s="1">
        <v>44266</v>
      </c>
      <c r="G356" s="1">
        <v>45233</v>
      </c>
      <c r="H356" s="3">
        <v>45233</v>
      </c>
      <c r="I356" t="s">
        <v>1400</v>
      </c>
    </row>
    <row r="357" spans="1:10" x14ac:dyDescent="0.3">
      <c r="A357" t="s">
        <v>3844</v>
      </c>
      <c r="B357" s="18" t="s">
        <v>3845</v>
      </c>
      <c r="C357" t="s">
        <v>3846</v>
      </c>
      <c r="D357" t="s">
        <v>3847</v>
      </c>
      <c r="E357" s="1">
        <v>45097</v>
      </c>
      <c r="F357" s="1">
        <v>45097</v>
      </c>
      <c r="G357" s="1">
        <v>45233</v>
      </c>
      <c r="H357" s="3">
        <v>45233</v>
      </c>
      <c r="I357" t="s">
        <v>3848</v>
      </c>
    </row>
    <row r="358" spans="1:10" x14ac:dyDescent="0.3">
      <c r="A358" t="s">
        <v>1742</v>
      </c>
      <c r="B358" s="18" t="s">
        <v>1743</v>
      </c>
      <c r="C358" t="s">
        <v>1167</v>
      </c>
      <c r="D358" t="s">
        <v>1744</v>
      </c>
      <c r="E358" s="1">
        <v>44384</v>
      </c>
      <c r="F358" s="1">
        <v>44384</v>
      </c>
      <c r="G358" s="1">
        <v>45236</v>
      </c>
      <c r="H358" s="3">
        <v>45236</v>
      </c>
      <c r="I358" t="s">
        <v>1745</v>
      </c>
    </row>
    <row r="359" spans="1:10" x14ac:dyDescent="0.3">
      <c r="A359" t="s">
        <v>3665</v>
      </c>
      <c r="B359" s="18" t="s">
        <v>3666</v>
      </c>
      <c r="C359" t="s">
        <v>3667</v>
      </c>
      <c r="D359" t="s">
        <v>3668</v>
      </c>
      <c r="E359" s="1">
        <v>45023</v>
      </c>
      <c r="F359" s="1">
        <v>45023</v>
      </c>
      <c r="G359" s="1">
        <v>45237</v>
      </c>
      <c r="H359" s="3">
        <v>45237</v>
      </c>
      <c r="I359" t="s">
        <v>3669</v>
      </c>
    </row>
    <row r="360" spans="1:10" x14ac:dyDescent="0.3">
      <c r="A360" t="s">
        <v>3998</v>
      </c>
      <c r="B360" s="18" t="s">
        <v>3999</v>
      </c>
      <c r="C360" t="s">
        <v>4000</v>
      </c>
      <c r="D360" t="s">
        <v>4001</v>
      </c>
      <c r="E360" s="1">
        <v>45030</v>
      </c>
      <c r="F360" s="1">
        <v>45030</v>
      </c>
      <c r="G360" s="1">
        <v>45237</v>
      </c>
      <c r="H360" s="3">
        <v>45237</v>
      </c>
      <c r="I360" t="s">
        <v>4002</v>
      </c>
    </row>
    <row r="361" spans="1:10" x14ac:dyDescent="0.3">
      <c r="A361" t="s">
        <v>2582</v>
      </c>
      <c r="B361" s="18" t="s">
        <v>2583</v>
      </c>
      <c r="C361" t="s">
        <v>2584</v>
      </c>
      <c r="D361" t="s">
        <v>2585</v>
      </c>
      <c r="E361" s="1">
        <v>44189</v>
      </c>
      <c r="F361" s="1">
        <v>44189</v>
      </c>
      <c r="G361" s="1">
        <v>45238</v>
      </c>
      <c r="H361" s="3">
        <v>45238</v>
      </c>
      <c r="I361" t="s">
        <v>2586</v>
      </c>
    </row>
    <row r="362" spans="1:10" x14ac:dyDescent="0.3">
      <c r="A362" t="s">
        <v>933</v>
      </c>
      <c r="B362" s="18" t="s">
        <v>934</v>
      </c>
      <c r="C362" t="s">
        <v>935</v>
      </c>
      <c r="D362" t="s">
        <v>936</v>
      </c>
      <c r="E362" s="1">
        <v>45161</v>
      </c>
      <c r="F362" s="1">
        <v>45161</v>
      </c>
      <c r="G362" s="1">
        <v>45240</v>
      </c>
      <c r="H362" s="3">
        <v>45240</v>
      </c>
      <c r="I362" t="s">
        <v>937</v>
      </c>
    </row>
    <row r="363" spans="1:10" x14ac:dyDescent="0.3">
      <c r="A363" t="s">
        <v>943</v>
      </c>
      <c r="B363" s="18" t="s">
        <v>944</v>
      </c>
      <c r="C363" t="s">
        <v>945</v>
      </c>
      <c r="D363" t="s">
        <v>946</v>
      </c>
      <c r="E363" s="1">
        <v>44991</v>
      </c>
      <c r="F363" s="1">
        <v>44991</v>
      </c>
      <c r="G363" s="1">
        <v>45240</v>
      </c>
      <c r="H363" s="3">
        <v>45240</v>
      </c>
      <c r="I363" t="s">
        <v>947</v>
      </c>
    </row>
    <row r="364" spans="1:10" x14ac:dyDescent="0.3">
      <c r="A364" t="s">
        <v>1628</v>
      </c>
      <c r="B364" s="18" t="s">
        <v>1629</v>
      </c>
      <c r="C364" t="s">
        <v>1630</v>
      </c>
      <c r="D364" t="s">
        <v>1631</v>
      </c>
      <c r="E364" s="1">
        <v>45056</v>
      </c>
      <c r="F364" s="1">
        <v>45056</v>
      </c>
      <c r="G364" s="1">
        <v>45240</v>
      </c>
      <c r="H364" s="3">
        <v>45240</v>
      </c>
      <c r="I364" t="s">
        <v>1632</v>
      </c>
    </row>
    <row r="365" spans="1:10" x14ac:dyDescent="0.3">
      <c r="A365" t="s">
        <v>3981</v>
      </c>
      <c r="B365" s="18" t="s">
        <v>3982</v>
      </c>
      <c r="C365" t="s">
        <v>3983</v>
      </c>
      <c r="D365" t="s">
        <v>3984</v>
      </c>
      <c r="E365" s="1">
        <v>44917</v>
      </c>
      <c r="F365" s="1">
        <v>44917</v>
      </c>
      <c r="G365" s="1">
        <v>45240</v>
      </c>
      <c r="H365" s="3">
        <v>45240</v>
      </c>
      <c r="I365" t="s">
        <v>3985</v>
      </c>
    </row>
    <row r="366" spans="1:10" x14ac:dyDescent="0.3">
      <c r="A366" t="s">
        <v>127</v>
      </c>
      <c r="B366" s="18" t="s">
        <v>128</v>
      </c>
      <c r="C366" t="s">
        <v>129</v>
      </c>
      <c r="D366" t="s">
        <v>130</v>
      </c>
      <c r="E366" s="1">
        <v>44379</v>
      </c>
      <c r="F366" s="1">
        <v>44684</v>
      </c>
      <c r="G366" s="1">
        <v>45244</v>
      </c>
      <c r="H366" s="3">
        <v>45244</v>
      </c>
      <c r="I366" t="s">
        <v>131</v>
      </c>
      <c r="J366" t="s">
        <v>132</v>
      </c>
    </row>
    <row r="367" spans="1:10" x14ac:dyDescent="0.3">
      <c r="A367" t="s">
        <v>1914</v>
      </c>
      <c r="B367" s="18" t="s">
        <v>1915</v>
      </c>
      <c r="C367" t="s">
        <v>1916</v>
      </c>
      <c r="D367" t="s">
        <v>1917</v>
      </c>
      <c r="E367" s="1">
        <v>44670</v>
      </c>
      <c r="F367" s="1">
        <v>44670</v>
      </c>
      <c r="G367" s="1">
        <v>45244</v>
      </c>
      <c r="H367" s="3">
        <v>45244</v>
      </c>
      <c r="I367" t="s">
        <v>1918</v>
      </c>
    </row>
    <row r="368" spans="1:10" x14ac:dyDescent="0.3">
      <c r="A368" t="s">
        <v>1435</v>
      </c>
      <c r="B368" s="19" t="s">
        <v>1436</v>
      </c>
      <c r="C368" t="s">
        <v>1437</v>
      </c>
      <c r="D368" t="s">
        <v>1438</v>
      </c>
      <c r="E368" s="1">
        <v>45079</v>
      </c>
      <c r="F368" s="1">
        <v>45079</v>
      </c>
      <c r="G368" s="1">
        <v>45247</v>
      </c>
      <c r="H368" s="3">
        <v>45247</v>
      </c>
      <c r="I368" t="s">
        <v>1439</v>
      </c>
    </row>
    <row r="369" spans="1:9" x14ac:dyDescent="0.3">
      <c r="A369" t="s">
        <v>2499</v>
      </c>
      <c r="B369" s="18" t="s">
        <v>2500</v>
      </c>
      <c r="C369" t="s">
        <v>2242</v>
      </c>
      <c r="D369" t="s">
        <v>2501</v>
      </c>
      <c r="E369" s="1">
        <v>44620</v>
      </c>
      <c r="F369" s="1">
        <v>44620</v>
      </c>
      <c r="G369" s="1">
        <v>45247</v>
      </c>
      <c r="H369" s="3">
        <v>45247</v>
      </c>
      <c r="I369" t="s">
        <v>2502</v>
      </c>
    </row>
    <row r="370" spans="1:9" x14ac:dyDescent="0.3">
      <c r="A370" t="s">
        <v>1633</v>
      </c>
      <c r="B370" s="18" t="s">
        <v>1634</v>
      </c>
      <c r="C370" t="s">
        <v>1635</v>
      </c>
      <c r="D370" t="s">
        <v>1636</v>
      </c>
      <c r="E370" s="1">
        <v>44697</v>
      </c>
      <c r="F370" s="1">
        <v>44697</v>
      </c>
      <c r="G370" s="1">
        <v>45251</v>
      </c>
      <c r="H370" s="3">
        <v>45251</v>
      </c>
      <c r="I370" t="s">
        <v>1637</v>
      </c>
    </row>
    <row r="371" spans="1:9" x14ac:dyDescent="0.3">
      <c r="A371" t="s">
        <v>1247</v>
      </c>
      <c r="B371" s="18" t="s">
        <v>1248</v>
      </c>
      <c r="C371" t="s">
        <v>1249</v>
      </c>
      <c r="D371" t="s">
        <v>1250</v>
      </c>
      <c r="E371" s="1">
        <v>44369</v>
      </c>
      <c r="F371" s="1">
        <v>44369</v>
      </c>
      <c r="G371" s="1">
        <v>45254</v>
      </c>
      <c r="H371" s="3">
        <v>45254</v>
      </c>
      <c r="I371" t="s">
        <v>1251</v>
      </c>
    </row>
    <row r="372" spans="1:9" x14ac:dyDescent="0.3">
      <c r="A372" t="s">
        <v>4315</v>
      </c>
      <c r="B372" s="18" t="s">
        <v>4316</v>
      </c>
      <c r="C372" t="s">
        <v>4317</v>
      </c>
      <c r="D372" t="s">
        <v>4318</v>
      </c>
      <c r="E372" s="1">
        <v>45092</v>
      </c>
      <c r="F372" s="1">
        <v>45092</v>
      </c>
      <c r="G372" s="1">
        <v>45254</v>
      </c>
      <c r="H372" s="3">
        <v>45254</v>
      </c>
      <c r="I372" t="s">
        <v>4319</v>
      </c>
    </row>
    <row r="373" spans="1:9" x14ac:dyDescent="0.3">
      <c r="A373" t="s">
        <v>1859</v>
      </c>
      <c r="B373" s="18" t="s">
        <v>1860</v>
      </c>
      <c r="C373" t="s">
        <v>1861</v>
      </c>
      <c r="D373" t="s">
        <v>1862</v>
      </c>
      <c r="E373" s="1">
        <v>44478</v>
      </c>
      <c r="F373" s="1">
        <v>44478</v>
      </c>
      <c r="G373" s="1">
        <v>45258</v>
      </c>
      <c r="H373" s="3">
        <v>45258</v>
      </c>
      <c r="I373" t="s">
        <v>1863</v>
      </c>
    </row>
    <row r="374" spans="1:9" x14ac:dyDescent="0.3">
      <c r="A374" t="s">
        <v>201</v>
      </c>
      <c r="B374" s="18" t="s">
        <v>202</v>
      </c>
      <c r="C374" t="s">
        <v>203</v>
      </c>
      <c r="D374" t="s">
        <v>204</v>
      </c>
      <c r="E374" s="1">
        <v>45083</v>
      </c>
      <c r="F374" s="1">
        <v>45083</v>
      </c>
      <c r="G374" s="1">
        <v>45261</v>
      </c>
      <c r="H374" s="3">
        <v>45261</v>
      </c>
      <c r="I374" t="s">
        <v>205</v>
      </c>
    </row>
    <row r="375" spans="1:9" x14ac:dyDescent="0.3">
      <c r="A375" t="s">
        <v>2141</v>
      </c>
      <c r="B375" s="18" t="s">
        <v>2142</v>
      </c>
      <c r="C375" t="s">
        <v>2143</v>
      </c>
      <c r="D375" t="s">
        <v>2144</v>
      </c>
      <c r="E375" s="1">
        <v>45044</v>
      </c>
      <c r="F375" s="1">
        <v>45044</v>
      </c>
      <c r="G375" s="1">
        <v>45261</v>
      </c>
      <c r="H375" s="3">
        <v>45261</v>
      </c>
      <c r="I375" t="s">
        <v>2145</v>
      </c>
    </row>
    <row r="376" spans="1:9" x14ac:dyDescent="0.3">
      <c r="A376" t="s">
        <v>206</v>
      </c>
      <c r="B376" s="18" t="s">
        <v>207</v>
      </c>
      <c r="C376" t="s">
        <v>208</v>
      </c>
      <c r="D376" t="s">
        <v>209</v>
      </c>
      <c r="E376" s="1">
        <v>44131</v>
      </c>
      <c r="F376" s="1">
        <v>44131</v>
      </c>
      <c r="G376" s="1">
        <v>45268</v>
      </c>
      <c r="H376" s="3">
        <v>45268</v>
      </c>
      <c r="I376" t="s">
        <v>210</v>
      </c>
    </row>
    <row r="377" spans="1:9" x14ac:dyDescent="0.3">
      <c r="A377" t="s">
        <v>1584</v>
      </c>
      <c r="B377" s="18" t="s">
        <v>1585</v>
      </c>
      <c r="C377" t="s">
        <v>1586</v>
      </c>
      <c r="D377" t="s">
        <v>1587</v>
      </c>
      <c r="E377" s="1">
        <v>45183</v>
      </c>
      <c r="F377" s="1">
        <v>45183</v>
      </c>
      <c r="G377" s="1">
        <v>45268</v>
      </c>
      <c r="H377" s="3">
        <v>45268</v>
      </c>
      <c r="I377" t="s">
        <v>1588</v>
      </c>
    </row>
    <row r="378" spans="1:9" x14ac:dyDescent="0.3">
      <c r="A378" t="s">
        <v>1795</v>
      </c>
      <c r="B378" s="18" t="s">
        <v>1796</v>
      </c>
      <c r="C378" t="s">
        <v>1797</v>
      </c>
      <c r="D378" t="s">
        <v>1798</v>
      </c>
      <c r="E378" s="1">
        <v>44144</v>
      </c>
      <c r="F378" s="1">
        <v>44144</v>
      </c>
      <c r="G378" s="1">
        <v>45268</v>
      </c>
      <c r="H378" s="3">
        <v>45268</v>
      </c>
      <c r="I378" t="s">
        <v>1799</v>
      </c>
    </row>
    <row r="379" spans="1:9" x14ac:dyDescent="0.3">
      <c r="A379" t="s">
        <v>3731</v>
      </c>
      <c r="B379" s="18" t="s">
        <v>3732</v>
      </c>
      <c r="C379" t="s">
        <v>3733</v>
      </c>
      <c r="D379" t="s">
        <v>3733</v>
      </c>
      <c r="E379" s="1">
        <v>45082</v>
      </c>
      <c r="F379" s="1">
        <v>45082</v>
      </c>
      <c r="G379" s="1">
        <v>45268</v>
      </c>
      <c r="H379" s="3">
        <v>45268</v>
      </c>
      <c r="I379" t="s">
        <v>3734</v>
      </c>
    </row>
    <row r="380" spans="1:9" x14ac:dyDescent="0.3">
      <c r="A380" t="s">
        <v>3717</v>
      </c>
      <c r="B380" s="18" t="s">
        <v>3718</v>
      </c>
      <c r="C380" t="s">
        <v>2679</v>
      </c>
      <c r="D380" t="s">
        <v>3719</v>
      </c>
      <c r="E380" s="1">
        <v>45216</v>
      </c>
      <c r="F380" s="1">
        <v>45216</v>
      </c>
      <c r="G380" s="1">
        <v>45272</v>
      </c>
      <c r="H380" s="3">
        <v>45272</v>
      </c>
      <c r="I380" t="s">
        <v>3720</v>
      </c>
    </row>
    <row r="381" spans="1:9" x14ac:dyDescent="0.3">
      <c r="A381" t="s">
        <v>4372</v>
      </c>
      <c r="B381" s="18" t="s">
        <v>4373</v>
      </c>
      <c r="C381" t="s">
        <v>4374</v>
      </c>
      <c r="D381" t="s">
        <v>4375</v>
      </c>
      <c r="E381" s="1">
        <v>44540</v>
      </c>
      <c r="F381" s="1">
        <v>44540</v>
      </c>
      <c r="G381" s="1">
        <v>45272</v>
      </c>
      <c r="H381" s="3">
        <v>45272</v>
      </c>
      <c r="I381" t="s">
        <v>4376</v>
      </c>
    </row>
    <row r="382" spans="1:9" x14ac:dyDescent="0.3">
      <c r="A382" t="s">
        <v>155</v>
      </c>
      <c r="B382" s="18" t="s">
        <v>156</v>
      </c>
      <c r="C382" t="s">
        <v>157</v>
      </c>
      <c r="D382" t="s">
        <v>158</v>
      </c>
      <c r="E382" s="1">
        <v>45207</v>
      </c>
      <c r="F382" s="1">
        <v>45207</v>
      </c>
      <c r="G382" s="1">
        <v>45279</v>
      </c>
      <c r="H382" s="3">
        <v>45279</v>
      </c>
      <c r="I382" t="s">
        <v>159</v>
      </c>
    </row>
    <row r="383" spans="1:9" x14ac:dyDescent="0.3">
      <c r="A383" t="s">
        <v>2950</v>
      </c>
      <c r="B383" s="18" t="s">
        <v>2951</v>
      </c>
      <c r="C383" t="s">
        <v>761</v>
      </c>
      <c r="D383" t="s">
        <v>762</v>
      </c>
      <c r="E383" s="1">
        <v>45113</v>
      </c>
      <c r="F383" s="1">
        <v>45113</v>
      </c>
      <c r="G383" s="1">
        <v>45279</v>
      </c>
      <c r="H383" s="3">
        <v>45279</v>
      </c>
      <c r="I383" t="s">
        <v>2952</v>
      </c>
    </row>
    <row r="384" spans="1:9" x14ac:dyDescent="0.3">
      <c r="A384" t="s">
        <v>759</v>
      </c>
      <c r="B384" s="19" t="s">
        <v>760</v>
      </c>
      <c r="C384" t="s">
        <v>761</v>
      </c>
      <c r="D384" t="s">
        <v>762</v>
      </c>
      <c r="E384" s="1">
        <v>45113</v>
      </c>
      <c r="F384" s="1">
        <v>45113</v>
      </c>
      <c r="G384" s="1">
        <v>45280</v>
      </c>
      <c r="H384" s="3">
        <v>45280</v>
      </c>
      <c r="I384" t="s">
        <v>763</v>
      </c>
    </row>
    <row r="385" spans="1:10" x14ac:dyDescent="0.3">
      <c r="A385" t="s">
        <v>2503</v>
      </c>
      <c r="B385" s="18" t="s">
        <v>2504</v>
      </c>
      <c r="C385" t="s">
        <v>2505</v>
      </c>
      <c r="D385" t="s">
        <v>2506</v>
      </c>
      <c r="E385" s="1">
        <v>45139</v>
      </c>
      <c r="F385" s="1">
        <v>45139</v>
      </c>
      <c r="G385" s="1">
        <v>45282</v>
      </c>
      <c r="H385" s="3">
        <v>45282</v>
      </c>
      <c r="I385" t="s">
        <v>2507</v>
      </c>
    </row>
    <row r="386" spans="1:10" x14ac:dyDescent="0.3">
      <c r="A386" t="s">
        <v>216</v>
      </c>
      <c r="B386" s="18" t="s">
        <v>217</v>
      </c>
      <c r="C386" t="s">
        <v>218</v>
      </c>
      <c r="D386" t="s">
        <v>219</v>
      </c>
      <c r="E386" s="1">
        <v>44347</v>
      </c>
      <c r="F386" s="1">
        <v>44347</v>
      </c>
      <c r="G386" s="1">
        <v>45286</v>
      </c>
      <c r="H386" s="3">
        <v>45286</v>
      </c>
      <c r="I386" t="s">
        <v>220</v>
      </c>
    </row>
    <row r="387" spans="1:10" x14ac:dyDescent="0.3">
      <c r="A387" t="s">
        <v>869</v>
      </c>
      <c r="B387" s="18" t="s">
        <v>870</v>
      </c>
      <c r="C387" t="s">
        <v>871</v>
      </c>
      <c r="D387" t="s">
        <v>872</v>
      </c>
      <c r="E387" s="1">
        <v>44665</v>
      </c>
      <c r="F387" s="1">
        <v>44665</v>
      </c>
      <c r="G387" s="1">
        <v>45286</v>
      </c>
      <c r="H387" s="3">
        <v>45286</v>
      </c>
      <c r="I387" t="s">
        <v>873</v>
      </c>
    </row>
    <row r="388" spans="1:10" x14ac:dyDescent="0.3">
      <c r="A388" t="s">
        <v>2351</v>
      </c>
      <c r="B388" s="18" t="s">
        <v>2352</v>
      </c>
      <c r="C388" t="s">
        <v>1574</v>
      </c>
      <c r="D388" t="s">
        <v>2353</v>
      </c>
      <c r="E388" s="1">
        <v>44333</v>
      </c>
      <c r="F388" s="1">
        <v>44333</v>
      </c>
      <c r="G388" s="1">
        <v>45286</v>
      </c>
      <c r="H388" s="3">
        <v>45286</v>
      </c>
      <c r="I388" t="s">
        <v>2354</v>
      </c>
      <c r="J388" t="s">
        <v>2355</v>
      </c>
    </row>
    <row r="389" spans="1:10" x14ac:dyDescent="0.3">
      <c r="A389" t="s">
        <v>3601</v>
      </c>
      <c r="B389" s="18" t="s">
        <v>3602</v>
      </c>
      <c r="C389" t="s">
        <v>3603</v>
      </c>
      <c r="D389" t="s">
        <v>3604</v>
      </c>
      <c r="E389" s="1">
        <v>44224</v>
      </c>
      <c r="F389" s="1">
        <v>44224</v>
      </c>
      <c r="G389" s="1">
        <v>45286</v>
      </c>
      <c r="H389" s="3">
        <v>45286</v>
      </c>
      <c r="I389" t="s">
        <v>3605</v>
      </c>
    </row>
    <row r="390" spans="1:10" x14ac:dyDescent="0.3">
      <c r="A390" t="s">
        <v>1043</v>
      </c>
      <c r="B390" s="18" t="s">
        <v>1044</v>
      </c>
      <c r="C390" t="s">
        <v>1045</v>
      </c>
      <c r="D390" t="s">
        <v>1046</v>
      </c>
      <c r="E390" s="1">
        <v>45189</v>
      </c>
      <c r="F390" s="1">
        <v>45189</v>
      </c>
      <c r="G390" s="1">
        <v>45289</v>
      </c>
      <c r="H390" s="3">
        <v>45289</v>
      </c>
      <c r="I390" t="s">
        <v>1047</v>
      </c>
    </row>
    <row r="391" spans="1:10" x14ac:dyDescent="0.3">
      <c r="A391" t="s">
        <v>903</v>
      </c>
      <c r="B391" s="17" t="s">
        <v>904</v>
      </c>
      <c r="C391" t="s">
        <v>905</v>
      </c>
      <c r="D391" t="s">
        <v>906</v>
      </c>
      <c r="E391" s="1">
        <v>45104</v>
      </c>
      <c r="F391" s="1">
        <v>45104</v>
      </c>
      <c r="G391" s="1">
        <v>45293</v>
      </c>
      <c r="H391" s="3">
        <v>45293</v>
      </c>
      <c r="I391" t="s">
        <v>907</v>
      </c>
    </row>
    <row r="392" spans="1:10" x14ac:dyDescent="0.3">
      <c r="A392" t="s">
        <v>2256</v>
      </c>
      <c r="B392" s="16" t="s">
        <v>2257</v>
      </c>
      <c r="C392" t="s">
        <v>2258</v>
      </c>
      <c r="D392" t="s">
        <v>2259</v>
      </c>
      <c r="E392" s="1">
        <v>44942</v>
      </c>
      <c r="F392" s="1">
        <v>44942</v>
      </c>
      <c r="G392" s="1">
        <v>45293</v>
      </c>
      <c r="H392" s="3">
        <v>45293</v>
      </c>
      <c r="I392" t="s">
        <v>2260</v>
      </c>
    </row>
    <row r="393" spans="1:10" x14ac:dyDescent="0.3">
      <c r="A393" t="s">
        <v>729</v>
      </c>
      <c r="B393" s="16" t="s">
        <v>730</v>
      </c>
      <c r="C393" t="s">
        <v>731</v>
      </c>
      <c r="D393" t="s">
        <v>732</v>
      </c>
      <c r="E393" s="1">
        <v>45113</v>
      </c>
      <c r="F393" s="1">
        <v>45113</v>
      </c>
      <c r="G393" s="1">
        <v>45295</v>
      </c>
      <c r="H393" s="3">
        <v>45295</v>
      </c>
      <c r="I393" t="s">
        <v>733</v>
      </c>
    </row>
    <row r="394" spans="1:10" x14ac:dyDescent="0.3">
      <c r="A394" t="s">
        <v>2958</v>
      </c>
      <c r="B394" s="16" t="s">
        <v>2959</v>
      </c>
      <c r="C394" t="s">
        <v>731</v>
      </c>
      <c r="D394" t="s">
        <v>732</v>
      </c>
      <c r="E394" s="1">
        <v>45113</v>
      </c>
      <c r="F394" s="1">
        <v>45113</v>
      </c>
      <c r="G394" s="1">
        <v>45295</v>
      </c>
      <c r="H394" s="3">
        <v>45295</v>
      </c>
      <c r="I394" t="s">
        <v>2960</v>
      </c>
    </row>
    <row r="395" spans="1:10" x14ac:dyDescent="0.3">
      <c r="A395" t="s">
        <v>1391</v>
      </c>
      <c r="B395" s="16" t="s">
        <v>1392</v>
      </c>
      <c r="C395" t="s">
        <v>1393</v>
      </c>
      <c r="D395" t="s">
        <v>1394</v>
      </c>
      <c r="E395" s="1">
        <v>44572</v>
      </c>
      <c r="F395" s="1">
        <v>44572</v>
      </c>
      <c r="G395" s="1">
        <v>45296</v>
      </c>
      <c r="H395" s="3">
        <v>45296</v>
      </c>
      <c r="I395" t="s">
        <v>1395</v>
      </c>
    </row>
    <row r="396" spans="1:10" x14ac:dyDescent="0.3">
      <c r="A396" t="s">
        <v>2961</v>
      </c>
      <c r="B396" s="17" t="s">
        <v>2962</v>
      </c>
      <c r="C396" t="s">
        <v>731</v>
      </c>
      <c r="D396" t="s">
        <v>732</v>
      </c>
      <c r="E396" s="1">
        <v>45113</v>
      </c>
      <c r="F396" s="1">
        <v>45113</v>
      </c>
      <c r="G396" s="1">
        <v>45296</v>
      </c>
      <c r="H396" s="3">
        <v>45296</v>
      </c>
      <c r="I396" t="s">
        <v>2963</v>
      </c>
    </row>
    <row r="397" spans="1:10" x14ac:dyDescent="0.3">
      <c r="A397" t="s">
        <v>4809</v>
      </c>
      <c r="B397" s="16" t="s">
        <v>4810</v>
      </c>
      <c r="C397" t="s">
        <v>4811</v>
      </c>
      <c r="D397" t="s">
        <v>4812</v>
      </c>
      <c r="E397" s="1">
        <v>45055</v>
      </c>
      <c r="F397" s="1">
        <v>45055</v>
      </c>
      <c r="G397" s="1">
        <v>45300</v>
      </c>
      <c r="H397" s="3">
        <v>45300</v>
      </c>
      <c r="I397" t="s">
        <v>4813</v>
      </c>
    </row>
    <row r="398" spans="1:10" x14ac:dyDescent="0.3">
      <c r="A398" t="s">
        <v>714</v>
      </c>
      <c r="B398" s="16" t="s">
        <v>715</v>
      </c>
      <c r="C398" t="s">
        <v>716</v>
      </c>
      <c r="D398" t="s">
        <v>717</v>
      </c>
      <c r="E398" s="1">
        <v>45226</v>
      </c>
      <c r="F398" s="1">
        <v>45226</v>
      </c>
      <c r="G398" s="1">
        <v>45303</v>
      </c>
      <c r="H398" s="3">
        <v>45303</v>
      </c>
      <c r="I398" t="s">
        <v>718</v>
      </c>
    </row>
    <row r="399" spans="1:10" x14ac:dyDescent="0.3">
      <c r="A399" t="s">
        <v>1617</v>
      </c>
      <c r="B399" s="16" t="s">
        <v>1618</v>
      </c>
      <c r="C399" t="s">
        <v>1619</v>
      </c>
      <c r="D399" t="s">
        <v>1620</v>
      </c>
      <c r="E399" s="1">
        <v>44109</v>
      </c>
      <c r="F399" s="1">
        <v>44413</v>
      </c>
      <c r="G399" s="1">
        <v>45307</v>
      </c>
      <c r="H399" s="3">
        <v>45307</v>
      </c>
      <c r="I399" t="s">
        <v>1621</v>
      </c>
      <c r="J399" t="s">
        <v>1622</v>
      </c>
    </row>
    <row r="400" spans="1:10" x14ac:dyDescent="0.3">
      <c r="A400" t="s">
        <v>4734</v>
      </c>
      <c r="B400" s="16" t="s">
        <v>4735</v>
      </c>
      <c r="C400" t="s">
        <v>4736</v>
      </c>
      <c r="D400" t="s">
        <v>4737</v>
      </c>
      <c r="E400" s="1">
        <v>44295</v>
      </c>
      <c r="F400" s="1">
        <v>44658</v>
      </c>
      <c r="G400" s="1">
        <v>45307</v>
      </c>
      <c r="H400" s="3">
        <v>45307</v>
      </c>
      <c r="I400" t="s">
        <v>4738</v>
      </c>
      <c r="J400" t="s">
        <v>4739</v>
      </c>
    </row>
    <row r="401" spans="1:9" x14ac:dyDescent="0.3">
      <c r="A401" t="s">
        <v>1532</v>
      </c>
      <c r="B401" s="16" t="s">
        <v>1533</v>
      </c>
      <c r="C401" t="s">
        <v>1534</v>
      </c>
      <c r="D401" t="s">
        <v>1535</v>
      </c>
      <c r="E401" s="1">
        <v>45125</v>
      </c>
      <c r="F401" s="1">
        <v>45125</v>
      </c>
      <c r="G401" s="1">
        <v>45314</v>
      </c>
      <c r="H401" s="3">
        <v>45314</v>
      </c>
      <c r="I401" t="s">
        <v>1536</v>
      </c>
    </row>
    <row r="402" spans="1:9" x14ac:dyDescent="0.3">
      <c r="A402" t="s">
        <v>2362</v>
      </c>
      <c r="B402" s="16" t="s">
        <v>2363</v>
      </c>
      <c r="C402" t="s">
        <v>2364</v>
      </c>
      <c r="D402" t="s">
        <v>2365</v>
      </c>
      <c r="E402" s="1">
        <v>44767</v>
      </c>
      <c r="F402" s="1">
        <v>44767</v>
      </c>
      <c r="G402" s="1">
        <v>45314</v>
      </c>
      <c r="H402" s="3">
        <v>45314</v>
      </c>
      <c r="I402" t="s">
        <v>2366</v>
      </c>
    </row>
    <row r="403" spans="1:9" x14ac:dyDescent="0.3">
      <c r="A403" t="s">
        <v>3833</v>
      </c>
      <c r="B403" s="16" t="s">
        <v>3834</v>
      </c>
      <c r="C403" t="s">
        <v>3835</v>
      </c>
      <c r="D403" t="s">
        <v>3836</v>
      </c>
      <c r="E403" s="1">
        <v>45224</v>
      </c>
      <c r="F403" s="1">
        <v>45224</v>
      </c>
      <c r="G403" s="1">
        <v>45314</v>
      </c>
      <c r="H403" s="3">
        <v>45314</v>
      </c>
      <c r="I403" t="s">
        <v>3837</v>
      </c>
    </row>
    <row r="404" spans="1:9" x14ac:dyDescent="0.3">
      <c r="A404" t="s">
        <v>76</v>
      </c>
      <c r="B404" s="16" t="s">
        <v>77</v>
      </c>
      <c r="C404" t="s">
        <v>78</v>
      </c>
      <c r="D404" t="s">
        <v>79</v>
      </c>
      <c r="E404" s="1">
        <v>45216</v>
      </c>
      <c r="F404" s="1">
        <v>45216</v>
      </c>
      <c r="G404" s="1">
        <v>45317</v>
      </c>
      <c r="H404" s="3">
        <v>45317</v>
      </c>
      <c r="I404" t="s">
        <v>80</v>
      </c>
    </row>
    <row r="405" spans="1:9" x14ac:dyDescent="0.3">
      <c r="A405" t="s">
        <v>1160</v>
      </c>
      <c r="B405" s="16" t="s">
        <v>1161</v>
      </c>
      <c r="C405" t="s">
        <v>1162</v>
      </c>
      <c r="D405" t="s">
        <v>1163</v>
      </c>
      <c r="E405" s="1">
        <v>44407</v>
      </c>
      <c r="F405" s="1">
        <v>44407</v>
      </c>
      <c r="G405" s="1">
        <v>45317</v>
      </c>
      <c r="H405" s="3">
        <v>45317</v>
      </c>
      <c r="I405" t="s">
        <v>1164</v>
      </c>
    </row>
    <row r="406" spans="1:9" x14ac:dyDescent="0.3">
      <c r="A406" t="s">
        <v>858</v>
      </c>
      <c r="B406" s="16" t="s">
        <v>859</v>
      </c>
      <c r="C406" t="s">
        <v>860</v>
      </c>
      <c r="D406" t="s">
        <v>861</v>
      </c>
      <c r="E406" s="1">
        <v>44439</v>
      </c>
      <c r="F406" s="1">
        <v>44439</v>
      </c>
      <c r="G406" s="1">
        <v>45321</v>
      </c>
      <c r="H406" s="3">
        <v>45321</v>
      </c>
      <c r="I406" t="s">
        <v>862</v>
      </c>
    </row>
    <row r="407" spans="1:9" x14ac:dyDescent="0.3">
      <c r="A407" t="s">
        <v>1165</v>
      </c>
      <c r="B407" s="16" t="s">
        <v>1166</v>
      </c>
      <c r="C407" t="s">
        <v>1167</v>
      </c>
      <c r="D407" t="s">
        <v>1168</v>
      </c>
      <c r="E407" s="1">
        <v>44504</v>
      </c>
      <c r="F407" s="1">
        <v>44504</v>
      </c>
      <c r="G407" s="1">
        <v>45322</v>
      </c>
      <c r="H407" s="3">
        <v>45322</v>
      </c>
      <c r="I407" t="s">
        <v>1169</v>
      </c>
    </row>
    <row r="408" spans="1:9" x14ac:dyDescent="0.3">
      <c r="A408" t="s">
        <v>3741</v>
      </c>
      <c r="B408" s="16" t="s">
        <v>3742</v>
      </c>
      <c r="C408" t="s">
        <v>3743</v>
      </c>
      <c r="D408" t="s">
        <v>3744</v>
      </c>
      <c r="E408" s="1">
        <v>44995</v>
      </c>
      <c r="F408" s="1">
        <v>44995</v>
      </c>
      <c r="G408" s="1">
        <v>45324</v>
      </c>
      <c r="H408" s="3">
        <v>45324</v>
      </c>
      <c r="I408" t="s">
        <v>3745</v>
      </c>
    </row>
    <row r="409" spans="1:9" x14ac:dyDescent="0.3">
      <c r="A409" t="s">
        <v>3572</v>
      </c>
      <c r="B409" s="17" t="s">
        <v>3573</v>
      </c>
      <c r="C409" t="s">
        <v>3574</v>
      </c>
      <c r="D409" t="s">
        <v>3575</v>
      </c>
      <c r="E409" s="1">
        <v>45083</v>
      </c>
      <c r="F409" s="1">
        <v>45083</v>
      </c>
      <c r="G409" s="1">
        <v>45328</v>
      </c>
      <c r="H409" s="3">
        <v>45328</v>
      </c>
      <c r="I409" t="s">
        <v>3576</v>
      </c>
    </row>
    <row r="410" spans="1:9" x14ac:dyDescent="0.3">
      <c r="A410" t="s">
        <v>4367</v>
      </c>
      <c r="B410" s="16" t="s">
        <v>4368</v>
      </c>
      <c r="C410" t="s">
        <v>4369</v>
      </c>
      <c r="D410" t="s">
        <v>4370</v>
      </c>
      <c r="E410" s="1">
        <v>45140</v>
      </c>
      <c r="F410" s="1">
        <v>45140</v>
      </c>
      <c r="G410" s="1">
        <v>45328</v>
      </c>
      <c r="H410" s="3">
        <v>45328</v>
      </c>
      <c r="I410" t="s">
        <v>4371</v>
      </c>
    </row>
    <row r="411" spans="1:9" x14ac:dyDescent="0.3">
      <c r="A411" t="s">
        <v>853</v>
      </c>
      <c r="B411" s="16" t="s">
        <v>854</v>
      </c>
      <c r="C411" t="s">
        <v>855</v>
      </c>
      <c r="D411" t="s">
        <v>856</v>
      </c>
      <c r="E411" s="1">
        <v>45076</v>
      </c>
      <c r="F411" s="1">
        <v>45076</v>
      </c>
      <c r="G411" s="1">
        <v>45335</v>
      </c>
      <c r="H411" s="3">
        <v>45335</v>
      </c>
      <c r="I411" t="s">
        <v>857</v>
      </c>
    </row>
    <row r="412" spans="1:9" x14ac:dyDescent="0.3">
      <c r="A412" t="s">
        <v>2541</v>
      </c>
      <c r="B412" s="16" t="s">
        <v>2542</v>
      </c>
      <c r="C412" t="s">
        <v>2543</v>
      </c>
      <c r="D412" t="s">
        <v>2544</v>
      </c>
      <c r="E412" s="1">
        <v>44729</v>
      </c>
      <c r="F412" s="1">
        <v>44729</v>
      </c>
      <c r="G412" s="1">
        <v>45335</v>
      </c>
      <c r="H412" s="3">
        <v>45335</v>
      </c>
      <c r="I412" t="s">
        <v>2545</v>
      </c>
    </row>
    <row r="413" spans="1:9" x14ac:dyDescent="0.3">
      <c r="A413" t="s">
        <v>4072</v>
      </c>
      <c r="B413" s="16" t="s">
        <v>4073</v>
      </c>
      <c r="C413" t="s">
        <v>4074</v>
      </c>
      <c r="D413" t="s">
        <v>4075</v>
      </c>
      <c r="E413" s="1">
        <v>44406</v>
      </c>
      <c r="F413" s="1">
        <v>44406</v>
      </c>
      <c r="G413" s="1">
        <v>45335</v>
      </c>
      <c r="H413" s="3">
        <v>45335</v>
      </c>
      <c r="I413" t="s">
        <v>4076</v>
      </c>
    </row>
    <row r="414" spans="1:9" x14ac:dyDescent="0.3">
      <c r="A414" t="s">
        <v>1674</v>
      </c>
      <c r="B414" s="16" t="s">
        <v>1675</v>
      </c>
      <c r="C414" t="s">
        <v>1676</v>
      </c>
      <c r="D414" t="s">
        <v>1677</v>
      </c>
      <c r="E414" s="1">
        <v>45161</v>
      </c>
      <c r="F414" s="1">
        <v>45161</v>
      </c>
      <c r="G414" s="1">
        <v>45342</v>
      </c>
      <c r="H414" s="3">
        <v>45342</v>
      </c>
      <c r="I414" t="s">
        <v>1678</v>
      </c>
    </row>
    <row r="415" spans="1:9" x14ac:dyDescent="0.3">
      <c r="A415" t="s">
        <v>4340</v>
      </c>
      <c r="B415" s="16" t="s">
        <v>4341</v>
      </c>
      <c r="C415" t="s">
        <v>4342</v>
      </c>
      <c r="D415" t="s">
        <v>4343</v>
      </c>
      <c r="E415" s="1">
        <v>44729</v>
      </c>
      <c r="F415" s="1">
        <v>44729</v>
      </c>
      <c r="G415" s="1">
        <v>45342</v>
      </c>
      <c r="H415" s="3">
        <v>45342</v>
      </c>
      <c r="I415" t="s">
        <v>4344</v>
      </c>
    </row>
    <row r="416" spans="1:9" x14ac:dyDescent="0.3">
      <c r="A416" t="s">
        <v>511</v>
      </c>
      <c r="B416" s="16" t="s">
        <v>512</v>
      </c>
      <c r="C416" t="s">
        <v>513</v>
      </c>
      <c r="D416" t="s">
        <v>514</v>
      </c>
      <c r="E416" s="1">
        <v>45257</v>
      </c>
      <c r="F416" s="1">
        <v>45257</v>
      </c>
      <c r="G416" s="1">
        <v>45345</v>
      </c>
      <c r="H416" s="3">
        <v>45345</v>
      </c>
      <c r="I416" t="s">
        <v>515</v>
      </c>
    </row>
    <row r="417" spans="1:10" x14ac:dyDescent="0.3">
      <c r="A417" t="s">
        <v>1006</v>
      </c>
      <c r="B417" s="16" t="s">
        <v>1007</v>
      </c>
      <c r="C417" t="s">
        <v>1008</v>
      </c>
      <c r="D417" t="s">
        <v>1009</v>
      </c>
      <c r="E417" s="1">
        <v>45141</v>
      </c>
      <c r="F417" s="1">
        <v>45141</v>
      </c>
      <c r="G417" s="1">
        <v>45345</v>
      </c>
      <c r="H417" s="3">
        <v>45345</v>
      </c>
      <c r="I417" t="s">
        <v>1010</v>
      </c>
    </row>
    <row r="418" spans="1:10" x14ac:dyDescent="0.3">
      <c r="A418" t="s">
        <v>1170</v>
      </c>
      <c r="B418" s="16" t="s">
        <v>1171</v>
      </c>
      <c r="C418" t="s">
        <v>1172</v>
      </c>
      <c r="D418" t="s">
        <v>1173</v>
      </c>
      <c r="E418" s="1">
        <v>45128</v>
      </c>
      <c r="F418" s="1">
        <v>45128</v>
      </c>
      <c r="G418" s="1">
        <v>45349</v>
      </c>
      <c r="H418" s="3">
        <v>45349</v>
      </c>
      <c r="I418" t="s">
        <v>1174</v>
      </c>
    </row>
    <row r="419" spans="1:10" x14ac:dyDescent="0.3">
      <c r="A419" t="s">
        <v>2668</v>
      </c>
      <c r="B419" s="16" t="s">
        <v>2669</v>
      </c>
      <c r="C419" t="s">
        <v>2670</v>
      </c>
      <c r="D419" t="s">
        <v>2671</v>
      </c>
      <c r="E419" s="1">
        <v>45279</v>
      </c>
      <c r="F419" s="1">
        <v>45279</v>
      </c>
      <c r="G419" s="1">
        <v>45349</v>
      </c>
      <c r="H419" s="3">
        <v>45349</v>
      </c>
      <c r="I419" t="s">
        <v>2672</v>
      </c>
    </row>
    <row r="420" spans="1:10" x14ac:dyDescent="0.3">
      <c r="A420" t="s">
        <v>4497</v>
      </c>
      <c r="B420" s="16" t="s">
        <v>4498</v>
      </c>
      <c r="C420" t="s">
        <v>4499</v>
      </c>
      <c r="D420" t="s">
        <v>4500</v>
      </c>
      <c r="E420" s="1">
        <v>44141</v>
      </c>
      <c r="F420" s="1">
        <v>44141</v>
      </c>
      <c r="G420" s="1">
        <v>45349</v>
      </c>
      <c r="H420" s="3">
        <v>45349</v>
      </c>
      <c r="I420" t="s">
        <v>4501</v>
      </c>
    </row>
    <row r="421" spans="1:10" x14ac:dyDescent="0.3">
      <c r="A421" t="s">
        <v>3122</v>
      </c>
      <c r="B421" s="17" t="s">
        <v>3123</v>
      </c>
      <c r="C421" t="s">
        <v>3124</v>
      </c>
      <c r="D421" t="s">
        <v>3125</v>
      </c>
      <c r="E421" s="1">
        <v>45267</v>
      </c>
      <c r="F421" s="1">
        <v>45267</v>
      </c>
      <c r="G421" s="1">
        <v>45350</v>
      </c>
      <c r="H421" s="3">
        <v>45350</v>
      </c>
      <c r="I421" t="s">
        <v>3126</v>
      </c>
    </row>
    <row r="422" spans="1:10" x14ac:dyDescent="0.3">
      <c r="A422" t="s">
        <v>3173</v>
      </c>
      <c r="B422" s="17" t="s">
        <v>3174</v>
      </c>
      <c r="C422" t="s">
        <v>3124</v>
      </c>
      <c r="D422" t="s">
        <v>3125</v>
      </c>
      <c r="E422" s="1">
        <v>45267</v>
      </c>
      <c r="F422" s="1">
        <v>45267</v>
      </c>
      <c r="G422" s="1">
        <v>45350</v>
      </c>
      <c r="H422" s="3">
        <v>45350</v>
      </c>
      <c r="I422" t="s">
        <v>3175</v>
      </c>
    </row>
    <row r="423" spans="1:10" x14ac:dyDescent="0.3">
      <c r="A423" t="s">
        <v>350</v>
      </c>
      <c r="B423" s="16" t="s">
        <v>351</v>
      </c>
      <c r="C423" t="s">
        <v>352</v>
      </c>
      <c r="D423" t="s">
        <v>353</v>
      </c>
      <c r="E423" s="1">
        <v>45041</v>
      </c>
      <c r="F423" s="1">
        <v>45041</v>
      </c>
      <c r="G423" s="1">
        <v>45359</v>
      </c>
      <c r="H423" s="3">
        <v>45359</v>
      </c>
      <c r="I423" t="s">
        <v>354</v>
      </c>
    </row>
    <row r="424" spans="1:10" x14ac:dyDescent="0.3">
      <c r="A424" t="s">
        <v>646</v>
      </c>
      <c r="B424" s="16" t="s">
        <v>647</v>
      </c>
      <c r="C424" t="s">
        <v>648</v>
      </c>
      <c r="D424" t="s">
        <v>649</v>
      </c>
      <c r="E424" s="1">
        <v>44424</v>
      </c>
      <c r="F424" s="1">
        <v>44424</v>
      </c>
      <c r="G424" s="1">
        <v>45359</v>
      </c>
      <c r="H424" s="3">
        <v>45359</v>
      </c>
      <c r="I424" t="s">
        <v>650</v>
      </c>
    </row>
    <row r="425" spans="1:10" x14ac:dyDescent="0.3">
      <c r="A425" t="s">
        <v>1074</v>
      </c>
      <c r="B425" s="16" t="s">
        <v>1075</v>
      </c>
      <c r="C425" t="s">
        <v>1076</v>
      </c>
      <c r="D425" t="s">
        <v>1077</v>
      </c>
      <c r="E425" s="1">
        <v>45240</v>
      </c>
      <c r="F425" s="1">
        <v>45240</v>
      </c>
      <c r="G425" s="1">
        <v>45359</v>
      </c>
      <c r="H425" s="3">
        <v>45359</v>
      </c>
      <c r="I425" t="s">
        <v>1078</v>
      </c>
    </row>
    <row r="426" spans="1:10" x14ac:dyDescent="0.3">
      <c r="A426" t="s">
        <v>1623</v>
      </c>
      <c r="B426" s="17" t="s">
        <v>1624</v>
      </c>
      <c r="C426" t="s">
        <v>1625</v>
      </c>
      <c r="D426" t="s">
        <v>1626</v>
      </c>
      <c r="E426" s="1">
        <v>45132</v>
      </c>
      <c r="F426" s="1">
        <v>45132</v>
      </c>
      <c r="G426" s="1">
        <v>45359</v>
      </c>
      <c r="H426" s="3">
        <v>45359</v>
      </c>
      <c r="I426" t="s">
        <v>1627</v>
      </c>
    </row>
    <row r="427" spans="1:10" x14ac:dyDescent="0.3">
      <c r="A427" t="s">
        <v>2482</v>
      </c>
      <c r="B427" s="16" t="s">
        <v>1764</v>
      </c>
      <c r="C427" t="s">
        <v>2483</v>
      </c>
      <c r="D427" t="s">
        <v>2484</v>
      </c>
      <c r="E427" s="1">
        <v>44575</v>
      </c>
      <c r="F427" s="1">
        <v>44575</v>
      </c>
      <c r="G427" s="1">
        <v>45359</v>
      </c>
      <c r="H427" s="3">
        <v>45359</v>
      </c>
      <c r="I427" t="s">
        <v>2485</v>
      </c>
      <c r="J427" t="s">
        <v>2486</v>
      </c>
    </row>
    <row r="428" spans="1:10" x14ac:dyDescent="0.3">
      <c r="A428" t="s">
        <v>318</v>
      </c>
      <c r="B428" s="16" t="s">
        <v>319</v>
      </c>
      <c r="C428" t="s">
        <v>320</v>
      </c>
      <c r="D428" t="s">
        <v>321</v>
      </c>
      <c r="E428" s="1">
        <v>44453</v>
      </c>
      <c r="F428" s="1">
        <v>44453</v>
      </c>
      <c r="G428" s="1">
        <v>45363</v>
      </c>
      <c r="H428" s="3">
        <v>45363</v>
      </c>
      <c r="I428" t="s">
        <v>322</v>
      </c>
    </row>
    <row r="429" spans="1:10" x14ac:dyDescent="0.3">
      <c r="A429" t="s">
        <v>2173</v>
      </c>
      <c r="B429" s="17" t="s">
        <v>2174</v>
      </c>
      <c r="C429" t="s">
        <v>1574</v>
      </c>
      <c r="D429" t="s">
        <v>2175</v>
      </c>
      <c r="E429" s="1">
        <v>44435</v>
      </c>
      <c r="F429" s="1">
        <v>44435</v>
      </c>
      <c r="G429" s="1">
        <v>45363</v>
      </c>
      <c r="H429" s="3">
        <v>45363</v>
      </c>
      <c r="I429" t="s">
        <v>2176</v>
      </c>
      <c r="J429" t="s">
        <v>2177</v>
      </c>
    </row>
    <row r="430" spans="1:10" x14ac:dyDescent="0.3">
      <c r="A430" t="s">
        <v>2953</v>
      </c>
      <c r="B430" s="16" t="s">
        <v>2954</v>
      </c>
      <c r="C430" t="s">
        <v>2955</v>
      </c>
      <c r="D430" t="s">
        <v>2956</v>
      </c>
      <c r="E430" s="1">
        <v>45118</v>
      </c>
      <c r="F430" s="1">
        <v>45118</v>
      </c>
      <c r="G430" s="1">
        <v>45363</v>
      </c>
      <c r="H430" s="3">
        <v>45363</v>
      </c>
      <c r="I430" t="s">
        <v>2957</v>
      </c>
    </row>
    <row r="431" spans="1:10" x14ac:dyDescent="0.3">
      <c r="A431" t="s">
        <v>3185</v>
      </c>
      <c r="B431" s="16" t="s">
        <v>3186</v>
      </c>
      <c r="C431" t="s">
        <v>135</v>
      </c>
      <c r="D431" t="s">
        <v>3187</v>
      </c>
      <c r="E431" s="1">
        <v>45145</v>
      </c>
      <c r="F431" s="1">
        <v>45145</v>
      </c>
      <c r="G431" s="1">
        <v>45366</v>
      </c>
      <c r="H431" s="3">
        <v>45366</v>
      </c>
      <c r="I431" t="s">
        <v>3188</v>
      </c>
    </row>
    <row r="432" spans="1:10" x14ac:dyDescent="0.3">
      <c r="A432" t="s">
        <v>101</v>
      </c>
      <c r="B432" s="16" t="s">
        <v>102</v>
      </c>
      <c r="C432" t="s">
        <v>103</v>
      </c>
      <c r="D432" t="s">
        <v>104</v>
      </c>
      <c r="E432" s="1">
        <v>44676</v>
      </c>
      <c r="F432" s="1">
        <v>44676</v>
      </c>
      <c r="G432" s="1">
        <v>45370</v>
      </c>
      <c r="H432" s="3">
        <v>45370</v>
      </c>
      <c r="I432" t="s">
        <v>105</v>
      </c>
    </row>
    <row r="433" spans="1:10" x14ac:dyDescent="0.3">
      <c r="A433" t="s">
        <v>1145</v>
      </c>
      <c r="B433" s="16" t="s">
        <v>1146</v>
      </c>
      <c r="C433" t="s">
        <v>1147</v>
      </c>
      <c r="D433" t="s">
        <v>1148</v>
      </c>
      <c r="E433" s="1">
        <v>44494</v>
      </c>
      <c r="F433" s="1">
        <v>44494</v>
      </c>
      <c r="G433" s="1">
        <v>45370</v>
      </c>
      <c r="H433" s="3">
        <v>45370</v>
      </c>
      <c r="I433" t="s">
        <v>1149</v>
      </c>
    </row>
    <row r="434" spans="1:10" x14ac:dyDescent="0.3">
      <c r="A434" t="s">
        <v>3003</v>
      </c>
      <c r="B434" s="17" t="s">
        <v>3004</v>
      </c>
      <c r="C434" t="s">
        <v>3005</v>
      </c>
      <c r="D434" t="s">
        <v>3006</v>
      </c>
      <c r="E434" s="1">
        <v>45182</v>
      </c>
      <c r="F434" s="1">
        <v>45182</v>
      </c>
      <c r="G434" s="1">
        <v>45373</v>
      </c>
      <c r="H434" s="3">
        <v>45373</v>
      </c>
      <c r="I434" t="s">
        <v>3007</v>
      </c>
    </row>
    <row r="435" spans="1:10" x14ac:dyDescent="0.3">
      <c r="A435" t="s">
        <v>4389</v>
      </c>
      <c r="B435" s="16" t="s">
        <v>4390</v>
      </c>
      <c r="C435" t="s">
        <v>4391</v>
      </c>
      <c r="D435" t="s">
        <v>4392</v>
      </c>
      <c r="E435" s="1">
        <v>45141</v>
      </c>
      <c r="F435" s="1">
        <v>45141</v>
      </c>
      <c r="G435" s="1">
        <v>45373</v>
      </c>
      <c r="H435" s="3">
        <v>45373</v>
      </c>
      <c r="I435" t="s">
        <v>4393</v>
      </c>
    </row>
    <row r="436" spans="1:10" x14ac:dyDescent="0.3">
      <c r="A436" t="s">
        <v>328</v>
      </c>
      <c r="B436" s="16" t="s">
        <v>329</v>
      </c>
      <c r="C436" t="s">
        <v>330</v>
      </c>
      <c r="D436" t="s">
        <v>331</v>
      </c>
      <c r="E436" s="1">
        <v>44270</v>
      </c>
      <c r="F436" s="1">
        <v>44270</v>
      </c>
      <c r="G436" s="1">
        <v>45377</v>
      </c>
      <c r="H436" s="3">
        <v>45377</v>
      </c>
      <c r="I436" t="s">
        <v>332</v>
      </c>
      <c r="J436" t="s">
        <v>333</v>
      </c>
    </row>
    <row r="437" spans="1:10" x14ac:dyDescent="0.3">
      <c r="A437" t="s">
        <v>370</v>
      </c>
      <c r="B437" s="17" t="s">
        <v>371</v>
      </c>
      <c r="C437" t="s">
        <v>372</v>
      </c>
      <c r="D437" t="s">
        <v>373</v>
      </c>
      <c r="E437" s="1">
        <v>44426</v>
      </c>
      <c r="F437" s="1">
        <v>44426</v>
      </c>
      <c r="G437" s="1">
        <v>45377</v>
      </c>
      <c r="H437" s="3">
        <v>45377</v>
      </c>
      <c r="I437" t="s">
        <v>374</v>
      </c>
    </row>
    <row r="438" spans="1:10" x14ac:dyDescent="0.3">
      <c r="A438" t="s">
        <v>4067</v>
      </c>
      <c r="B438" s="17" t="s">
        <v>4068</v>
      </c>
      <c r="C438" t="s">
        <v>4069</v>
      </c>
      <c r="D438" t="s">
        <v>4070</v>
      </c>
      <c r="E438" s="1">
        <v>45058</v>
      </c>
      <c r="F438" s="1">
        <v>45058</v>
      </c>
      <c r="G438" s="1">
        <v>45377</v>
      </c>
      <c r="H438" s="3">
        <v>45377</v>
      </c>
      <c r="I438" t="s">
        <v>4071</v>
      </c>
    </row>
    <row r="439" spans="1:10" x14ac:dyDescent="0.3">
      <c r="A439" t="s">
        <v>3711</v>
      </c>
      <c r="B439" s="16" t="s">
        <v>3712</v>
      </c>
      <c r="C439" t="s">
        <v>3713</v>
      </c>
      <c r="D439" t="s">
        <v>3714</v>
      </c>
      <c r="E439" s="1">
        <v>45077</v>
      </c>
      <c r="F439" s="1">
        <v>45077</v>
      </c>
      <c r="G439" s="1">
        <v>45380</v>
      </c>
      <c r="H439" s="3">
        <v>45380</v>
      </c>
      <c r="I439" t="s">
        <v>3715</v>
      </c>
      <c r="J439" t="s">
        <v>3716</v>
      </c>
    </row>
    <row r="440" spans="1:10" x14ac:dyDescent="0.3">
      <c r="A440" t="s">
        <v>1517</v>
      </c>
      <c r="B440" s="16" t="s">
        <v>1518</v>
      </c>
      <c r="C440" t="s">
        <v>1519</v>
      </c>
      <c r="D440" t="s">
        <v>1520</v>
      </c>
      <c r="E440" s="1">
        <v>44860</v>
      </c>
      <c r="F440" s="1">
        <v>45041</v>
      </c>
      <c r="G440" s="1">
        <v>45384</v>
      </c>
      <c r="H440" s="3">
        <v>45384</v>
      </c>
      <c r="I440" t="s">
        <v>1521</v>
      </c>
      <c r="J440" t="s">
        <v>1522</v>
      </c>
    </row>
    <row r="441" spans="1:10" x14ac:dyDescent="0.3">
      <c r="A441" t="s">
        <v>28</v>
      </c>
      <c r="B441" s="16" t="s">
        <v>29</v>
      </c>
      <c r="C441" t="s">
        <v>30</v>
      </c>
      <c r="D441" t="s">
        <v>31</v>
      </c>
      <c r="E441" s="1">
        <v>45181</v>
      </c>
      <c r="F441" s="1">
        <v>45181</v>
      </c>
      <c r="G441" s="1">
        <v>45387</v>
      </c>
      <c r="H441" s="3">
        <v>45387</v>
      </c>
      <c r="I441" t="s">
        <v>32</v>
      </c>
    </row>
    <row r="442" spans="1:10" x14ac:dyDescent="0.3">
      <c r="A442" t="s">
        <v>429</v>
      </c>
      <c r="B442" s="16" t="s">
        <v>430</v>
      </c>
      <c r="C442" t="s">
        <v>431</v>
      </c>
      <c r="D442" t="s">
        <v>432</v>
      </c>
      <c r="E442" s="1">
        <v>45217</v>
      </c>
      <c r="F442" s="1">
        <v>45217</v>
      </c>
      <c r="G442" s="1">
        <v>45387</v>
      </c>
      <c r="H442" s="3">
        <v>45387</v>
      </c>
      <c r="I442" t="s">
        <v>433</v>
      </c>
    </row>
    <row r="443" spans="1:10" x14ac:dyDescent="0.3">
      <c r="A443" t="s">
        <v>480</v>
      </c>
      <c r="B443" s="16" t="s">
        <v>481</v>
      </c>
      <c r="C443" t="s">
        <v>482</v>
      </c>
      <c r="D443" t="s">
        <v>483</v>
      </c>
      <c r="E443" s="1">
        <v>45309</v>
      </c>
      <c r="F443" s="1">
        <v>45309</v>
      </c>
      <c r="G443" s="1">
        <v>45387</v>
      </c>
      <c r="H443" s="3">
        <v>45387</v>
      </c>
      <c r="I443" t="s">
        <v>484</v>
      </c>
    </row>
    <row r="444" spans="1:10" x14ac:dyDescent="0.3">
      <c r="A444" t="s">
        <v>595</v>
      </c>
      <c r="B444" s="16" t="s">
        <v>596</v>
      </c>
      <c r="C444" t="s">
        <v>597</v>
      </c>
      <c r="D444" t="s">
        <v>598</v>
      </c>
      <c r="E444" s="1">
        <v>43844</v>
      </c>
      <c r="F444" s="1">
        <v>43844</v>
      </c>
      <c r="G444" s="1">
        <v>45391</v>
      </c>
      <c r="H444" s="3">
        <v>45391</v>
      </c>
      <c r="I444" t="s">
        <v>599</v>
      </c>
    </row>
    <row r="445" spans="1:10" x14ac:dyDescent="0.3">
      <c r="A445" t="s">
        <v>3930</v>
      </c>
      <c r="B445" s="16" t="s">
        <v>3931</v>
      </c>
      <c r="C445" t="s">
        <v>1215</v>
      </c>
      <c r="D445" t="s">
        <v>3932</v>
      </c>
      <c r="E445" s="1">
        <v>45351</v>
      </c>
      <c r="F445" s="1">
        <v>45351</v>
      </c>
      <c r="G445" s="1">
        <v>45391</v>
      </c>
      <c r="H445" s="3">
        <v>45391</v>
      </c>
      <c r="I445" t="s">
        <v>3933</v>
      </c>
    </row>
    <row r="446" spans="1:10" x14ac:dyDescent="0.3">
      <c r="A446" t="s">
        <v>4234</v>
      </c>
      <c r="B446" s="16" t="s">
        <v>4235</v>
      </c>
      <c r="C446" t="s">
        <v>3368</v>
      </c>
      <c r="D446" t="s">
        <v>4236</v>
      </c>
      <c r="E446" s="1">
        <v>44754</v>
      </c>
      <c r="F446" s="1">
        <v>44754</v>
      </c>
      <c r="G446" s="1">
        <v>45394</v>
      </c>
      <c r="H446" s="3">
        <v>45394</v>
      </c>
      <c r="I446" t="s">
        <v>4237</v>
      </c>
    </row>
    <row r="447" spans="1:10" x14ac:dyDescent="0.3">
      <c r="A447" t="s">
        <v>4450</v>
      </c>
      <c r="B447" s="16" t="s">
        <v>4451</v>
      </c>
      <c r="C447" t="s">
        <v>4452</v>
      </c>
      <c r="D447" t="s">
        <v>4453</v>
      </c>
      <c r="E447" s="1">
        <v>45196</v>
      </c>
      <c r="F447" s="1">
        <v>45196</v>
      </c>
      <c r="G447" s="1">
        <v>45398</v>
      </c>
      <c r="H447" s="3">
        <v>45398</v>
      </c>
      <c r="I447" t="s">
        <v>4454</v>
      </c>
    </row>
    <row r="448" spans="1:10" x14ac:dyDescent="0.3">
      <c r="A448" t="s">
        <v>635</v>
      </c>
      <c r="B448" s="16" t="s">
        <v>636</v>
      </c>
      <c r="C448" t="s">
        <v>637</v>
      </c>
      <c r="D448" t="s">
        <v>638</v>
      </c>
      <c r="E448" s="1">
        <v>45344</v>
      </c>
      <c r="F448" s="1">
        <v>45344</v>
      </c>
      <c r="G448" s="1">
        <v>45401</v>
      </c>
      <c r="H448" s="3">
        <v>45401</v>
      </c>
      <c r="I448" t="s">
        <v>639</v>
      </c>
    </row>
    <row r="449" spans="1:10" x14ac:dyDescent="0.3">
      <c r="A449" t="s">
        <v>883</v>
      </c>
      <c r="B449" s="16" t="s">
        <v>884</v>
      </c>
      <c r="C449" t="s">
        <v>35</v>
      </c>
      <c r="D449" t="s">
        <v>885</v>
      </c>
      <c r="E449" s="1">
        <v>45294</v>
      </c>
      <c r="F449" s="1">
        <v>45294</v>
      </c>
      <c r="G449" s="1">
        <v>45401</v>
      </c>
      <c r="H449" s="3">
        <v>45401</v>
      </c>
      <c r="I449" t="s">
        <v>886</v>
      </c>
    </row>
    <row r="450" spans="1:10" x14ac:dyDescent="0.3">
      <c r="A450" t="s">
        <v>3773</v>
      </c>
      <c r="B450" s="16" t="s">
        <v>3774</v>
      </c>
      <c r="C450" t="s">
        <v>3775</v>
      </c>
      <c r="D450" t="s">
        <v>3776</v>
      </c>
      <c r="E450" s="1">
        <v>45187</v>
      </c>
      <c r="F450" s="1">
        <v>45187</v>
      </c>
      <c r="G450" s="1">
        <v>45405</v>
      </c>
      <c r="H450" s="3">
        <v>45405</v>
      </c>
      <c r="I450" t="s">
        <v>3777</v>
      </c>
    </row>
    <row r="451" spans="1:10" x14ac:dyDescent="0.3">
      <c r="A451" t="s">
        <v>2225</v>
      </c>
      <c r="B451" s="16" t="s">
        <v>2226</v>
      </c>
      <c r="C451" t="s">
        <v>190</v>
      </c>
      <c r="D451" t="s">
        <v>2227</v>
      </c>
      <c r="E451" s="1">
        <v>45056</v>
      </c>
      <c r="F451" s="1">
        <v>45056</v>
      </c>
      <c r="G451" s="1">
        <v>45408</v>
      </c>
      <c r="H451" s="3">
        <v>45408</v>
      </c>
      <c r="I451" t="s">
        <v>2228</v>
      </c>
    </row>
    <row r="452" spans="1:10" x14ac:dyDescent="0.3">
      <c r="A452" t="s">
        <v>4274</v>
      </c>
      <c r="B452" s="16" t="s">
        <v>4275</v>
      </c>
      <c r="C452" t="s">
        <v>4276</v>
      </c>
      <c r="D452" t="s">
        <v>4277</v>
      </c>
      <c r="E452" s="1">
        <v>44490</v>
      </c>
      <c r="F452" s="1">
        <v>44490</v>
      </c>
      <c r="G452" s="1">
        <v>45412</v>
      </c>
      <c r="H452" s="3">
        <v>45412</v>
      </c>
      <c r="I452" t="s">
        <v>4278</v>
      </c>
      <c r="J452" t="s">
        <v>4279</v>
      </c>
    </row>
    <row r="453" spans="1:10" x14ac:dyDescent="0.3">
      <c r="A453" t="s">
        <v>1048</v>
      </c>
      <c r="B453" s="16" t="s">
        <v>1049</v>
      </c>
      <c r="C453" t="s">
        <v>1050</v>
      </c>
      <c r="D453" t="s">
        <v>1051</v>
      </c>
      <c r="E453" s="1">
        <v>45211</v>
      </c>
      <c r="F453" s="1">
        <v>45211</v>
      </c>
      <c r="G453" s="1">
        <v>45415</v>
      </c>
      <c r="H453" s="3">
        <v>45415</v>
      </c>
      <c r="I453" t="s">
        <v>1052</v>
      </c>
    </row>
    <row r="454" spans="1:10" x14ac:dyDescent="0.3">
      <c r="A454" t="s">
        <v>1925</v>
      </c>
      <c r="B454" s="16" t="s">
        <v>1926</v>
      </c>
      <c r="C454" t="s">
        <v>1927</v>
      </c>
      <c r="D454" t="s">
        <v>1928</v>
      </c>
      <c r="E454" s="1">
        <v>45343</v>
      </c>
      <c r="F454" s="1">
        <v>45343</v>
      </c>
      <c r="G454" s="1">
        <v>45415</v>
      </c>
      <c r="H454" s="3">
        <v>45415</v>
      </c>
      <c r="I454" t="s">
        <v>1929</v>
      </c>
    </row>
    <row r="455" spans="1:10" x14ac:dyDescent="0.3">
      <c r="A455" t="s">
        <v>3321</v>
      </c>
      <c r="B455" s="16" t="s">
        <v>3322</v>
      </c>
      <c r="C455" t="s">
        <v>3323</v>
      </c>
      <c r="D455" t="s">
        <v>3324</v>
      </c>
      <c r="E455" s="1">
        <v>44428</v>
      </c>
      <c r="F455" s="1">
        <v>44428</v>
      </c>
      <c r="G455" s="1">
        <v>45415</v>
      </c>
      <c r="H455" s="3">
        <v>45415</v>
      </c>
      <c r="I455" t="s">
        <v>3325</v>
      </c>
    </row>
    <row r="456" spans="1:10" x14ac:dyDescent="0.3">
      <c r="A456" t="s">
        <v>2567</v>
      </c>
      <c r="B456" s="16" t="s">
        <v>2568</v>
      </c>
      <c r="C456" t="s">
        <v>2569</v>
      </c>
      <c r="D456" t="s">
        <v>2570</v>
      </c>
      <c r="E456" s="1">
        <v>44424</v>
      </c>
      <c r="F456" s="1">
        <v>44424</v>
      </c>
      <c r="G456" s="1">
        <v>45419</v>
      </c>
      <c r="H456" s="3">
        <v>45419</v>
      </c>
      <c r="I456" t="s">
        <v>2571</v>
      </c>
    </row>
    <row r="457" spans="1:10" x14ac:dyDescent="0.3">
      <c r="A457" t="s">
        <v>193</v>
      </c>
      <c r="B457" s="16" t="s">
        <v>194</v>
      </c>
      <c r="C457" t="s">
        <v>195</v>
      </c>
      <c r="D457" t="s">
        <v>196</v>
      </c>
      <c r="E457" s="1">
        <v>45251</v>
      </c>
      <c r="F457" s="1">
        <v>45251</v>
      </c>
      <c r="G457" s="1">
        <v>45422</v>
      </c>
      <c r="H457" s="3">
        <v>45422</v>
      </c>
      <c r="I457" t="s">
        <v>197</v>
      </c>
    </row>
    <row r="458" spans="1:10" x14ac:dyDescent="0.3">
      <c r="A458" t="s">
        <v>770</v>
      </c>
      <c r="B458" s="16" t="s">
        <v>771</v>
      </c>
      <c r="C458" t="s">
        <v>772</v>
      </c>
      <c r="D458" t="s">
        <v>773</v>
      </c>
      <c r="E458" s="1">
        <v>45329</v>
      </c>
      <c r="F458" s="1">
        <v>45329</v>
      </c>
      <c r="G458" s="1">
        <v>45422</v>
      </c>
      <c r="H458" s="3">
        <v>45422</v>
      </c>
      <c r="I458" t="s">
        <v>774</v>
      </c>
    </row>
    <row r="459" spans="1:10" x14ac:dyDescent="0.3">
      <c r="A459" t="s">
        <v>1523</v>
      </c>
      <c r="B459" s="16" t="s">
        <v>1524</v>
      </c>
      <c r="C459" t="s">
        <v>1525</v>
      </c>
      <c r="D459" t="s">
        <v>1526</v>
      </c>
      <c r="E459" s="1">
        <v>44119</v>
      </c>
      <c r="F459" s="1">
        <v>44307</v>
      </c>
      <c r="G459" s="1">
        <v>45422</v>
      </c>
      <c r="H459" s="3">
        <v>45422</v>
      </c>
      <c r="I459" t="s">
        <v>1527</v>
      </c>
    </row>
    <row r="460" spans="1:10" x14ac:dyDescent="0.3">
      <c r="A460" t="s">
        <v>1612</v>
      </c>
      <c r="B460" s="16" t="s">
        <v>1613</v>
      </c>
      <c r="C460" t="s">
        <v>1614</v>
      </c>
      <c r="D460" t="s">
        <v>1615</v>
      </c>
      <c r="E460" s="1">
        <v>45194</v>
      </c>
      <c r="F460" s="1">
        <v>45194</v>
      </c>
      <c r="G460" s="1">
        <v>45422</v>
      </c>
      <c r="H460" s="3">
        <v>45422</v>
      </c>
      <c r="I460" t="s">
        <v>1616</v>
      </c>
    </row>
    <row r="461" spans="1:10" x14ac:dyDescent="0.3">
      <c r="A461" t="s">
        <v>3617</v>
      </c>
      <c r="B461" s="16" t="s">
        <v>3618</v>
      </c>
      <c r="C461" t="s">
        <v>3619</v>
      </c>
      <c r="D461" t="s">
        <v>3620</v>
      </c>
      <c r="E461" s="1">
        <v>45216</v>
      </c>
      <c r="F461" s="1">
        <v>45216</v>
      </c>
      <c r="G461" s="1">
        <v>45422</v>
      </c>
      <c r="H461" s="3">
        <v>45422</v>
      </c>
      <c r="I461" t="s">
        <v>3621</v>
      </c>
    </row>
    <row r="462" spans="1:10" x14ac:dyDescent="0.3">
      <c r="A462" t="s">
        <v>4049</v>
      </c>
      <c r="B462" s="16" t="s">
        <v>4050</v>
      </c>
      <c r="C462" t="s">
        <v>4051</v>
      </c>
      <c r="D462" t="s">
        <v>4051</v>
      </c>
      <c r="E462" s="1">
        <v>45238</v>
      </c>
      <c r="F462" s="1">
        <v>45238</v>
      </c>
      <c r="G462" s="1">
        <v>45422</v>
      </c>
      <c r="H462" s="3">
        <v>45422</v>
      </c>
      <c r="I462" t="s">
        <v>4052</v>
      </c>
    </row>
    <row r="463" spans="1:10" x14ac:dyDescent="0.3">
      <c r="A463" t="s">
        <v>2792</v>
      </c>
      <c r="B463" s="16" t="s">
        <v>2793</v>
      </c>
      <c r="C463" t="s">
        <v>2794</v>
      </c>
      <c r="D463" t="s">
        <v>2795</v>
      </c>
      <c r="E463" s="1">
        <v>45076</v>
      </c>
      <c r="F463" s="1">
        <v>45076</v>
      </c>
      <c r="G463" s="1">
        <v>45426</v>
      </c>
      <c r="H463" s="3">
        <v>45426</v>
      </c>
      <c r="I463" t="s">
        <v>2796</v>
      </c>
      <c r="J463" t="s">
        <v>2797</v>
      </c>
    </row>
    <row r="464" spans="1:10" x14ac:dyDescent="0.3">
      <c r="A464" t="s">
        <v>2240</v>
      </c>
      <c r="B464" s="16" t="s">
        <v>2241</v>
      </c>
      <c r="C464" t="s">
        <v>2242</v>
      </c>
      <c r="D464" t="s">
        <v>2243</v>
      </c>
      <c r="E464" s="1">
        <v>44617</v>
      </c>
      <c r="F464" s="1">
        <v>44617</v>
      </c>
      <c r="G464" s="1">
        <v>45429</v>
      </c>
      <c r="H464" s="3">
        <v>45429</v>
      </c>
      <c r="I464" t="s">
        <v>2244</v>
      </c>
    </row>
    <row r="465" spans="1:10" x14ac:dyDescent="0.3">
      <c r="A465" t="s">
        <v>464</v>
      </c>
      <c r="B465" s="16" t="s">
        <v>465</v>
      </c>
      <c r="C465" t="s">
        <v>466</v>
      </c>
      <c r="D465" t="s">
        <v>467</v>
      </c>
      <c r="E465" s="1">
        <v>44987</v>
      </c>
      <c r="F465" s="1">
        <v>44987</v>
      </c>
      <c r="G465" s="1">
        <v>45436</v>
      </c>
      <c r="H465" s="3">
        <v>45436</v>
      </c>
      <c r="I465" t="s">
        <v>468</v>
      </c>
    </row>
    <row r="466" spans="1:10" x14ac:dyDescent="0.3">
      <c r="A466" t="s">
        <v>4038</v>
      </c>
      <c r="B466" s="16" t="s">
        <v>4039</v>
      </c>
      <c r="C466" t="s">
        <v>4040</v>
      </c>
      <c r="D466" t="s">
        <v>4041</v>
      </c>
      <c r="E466" s="1">
        <v>45068</v>
      </c>
      <c r="F466" s="1">
        <v>45068</v>
      </c>
      <c r="G466" s="1">
        <v>45436</v>
      </c>
      <c r="H466" s="3">
        <v>45436</v>
      </c>
      <c r="I466" t="s">
        <v>4042</v>
      </c>
    </row>
    <row r="467" spans="1:10" x14ac:dyDescent="0.3">
      <c r="A467" t="s">
        <v>630</v>
      </c>
      <c r="B467" s="16" t="s">
        <v>631</v>
      </c>
      <c r="C467" t="s">
        <v>632</v>
      </c>
      <c r="D467" t="s">
        <v>633</v>
      </c>
      <c r="E467" s="1">
        <v>45169</v>
      </c>
      <c r="F467" s="1">
        <v>45169</v>
      </c>
      <c r="G467" s="1">
        <v>45440</v>
      </c>
      <c r="H467" s="3">
        <v>45440</v>
      </c>
      <c r="I467" t="s">
        <v>634</v>
      </c>
    </row>
    <row r="468" spans="1:10" x14ac:dyDescent="0.3">
      <c r="A468" t="s">
        <v>791</v>
      </c>
      <c r="B468" s="16" t="s">
        <v>792</v>
      </c>
      <c r="C468" t="s">
        <v>793</v>
      </c>
      <c r="D468" t="s">
        <v>794</v>
      </c>
      <c r="E468" s="1">
        <v>44991</v>
      </c>
      <c r="F468" s="1">
        <v>44991</v>
      </c>
      <c r="G468" s="1">
        <v>45440</v>
      </c>
      <c r="H468" s="3">
        <v>45440</v>
      </c>
      <c r="I468" t="s">
        <v>795</v>
      </c>
    </row>
    <row r="469" spans="1:10" x14ac:dyDescent="0.3">
      <c r="A469" t="s">
        <v>1278</v>
      </c>
      <c r="B469" s="16" t="s">
        <v>1279</v>
      </c>
      <c r="C469" t="s">
        <v>1280</v>
      </c>
      <c r="D469" t="s">
        <v>1281</v>
      </c>
      <c r="E469" s="1">
        <v>45208</v>
      </c>
      <c r="F469" s="1">
        <v>45208</v>
      </c>
      <c r="G469" s="1">
        <v>45440</v>
      </c>
      <c r="H469" s="3">
        <v>45440</v>
      </c>
      <c r="I469" t="s">
        <v>1282</v>
      </c>
    </row>
    <row r="470" spans="1:10" x14ac:dyDescent="0.3">
      <c r="A470" t="s">
        <v>1444</v>
      </c>
      <c r="B470" s="16" t="s">
        <v>1445</v>
      </c>
      <c r="C470" t="s">
        <v>1446</v>
      </c>
      <c r="D470" t="s">
        <v>1447</v>
      </c>
      <c r="E470" s="1">
        <v>44379</v>
      </c>
      <c r="F470" s="1">
        <v>44379</v>
      </c>
      <c r="G470" s="1">
        <v>45440</v>
      </c>
      <c r="H470" s="3">
        <v>45440</v>
      </c>
      <c r="I470" t="s">
        <v>1448</v>
      </c>
    </row>
    <row r="471" spans="1:10" x14ac:dyDescent="0.3">
      <c r="A471" t="s">
        <v>1945</v>
      </c>
      <c r="B471" s="16" t="s">
        <v>1946</v>
      </c>
      <c r="C471" t="s">
        <v>1947</v>
      </c>
      <c r="D471" t="s">
        <v>1948</v>
      </c>
      <c r="E471" s="1">
        <v>44560</v>
      </c>
      <c r="F471" s="1">
        <v>44560</v>
      </c>
      <c r="G471" s="1">
        <v>45440</v>
      </c>
      <c r="H471" s="3">
        <v>45440</v>
      </c>
      <c r="I471" t="s">
        <v>1949</v>
      </c>
    </row>
    <row r="472" spans="1:10" x14ac:dyDescent="0.3">
      <c r="A472" t="s">
        <v>2210</v>
      </c>
      <c r="B472" s="16" t="s">
        <v>2211</v>
      </c>
      <c r="C472" t="s">
        <v>2212</v>
      </c>
      <c r="D472" t="s">
        <v>2213</v>
      </c>
      <c r="E472" s="1">
        <v>44491</v>
      </c>
      <c r="F472" s="1">
        <v>44491</v>
      </c>
      <c r="G472" s="1">
        <v>45440</v>
      </c>
      <c r="H472" s="3">
        <v>45440</v>
      </c>
      <c r="I472" t="s">
        <v>2214</v>
      </c>
    </row>
    <row r="473" spans="1:10" x14ac:dyDescent="0.3">
      <c r="A473" t="s">
        <v>2312</v>
      </c>
      <c r="B473" s="16" t="s">
        <v>2313</v>
      </c>
      <c r="C473" t="s">
        <v>2314</v>
      </c>
      <c r="D473" t="s">
        <v>2315</v>
      </c>
      <c r="E473" s="1">
        <v>45230</v>
      </c>
      <c r="F473" s="1">
        <v>45230</v>
      </c>
      <c r="G473" s="1">
        <v>45443</v>
      </c>
      <c r="H473" s="3">
        <v>45443</v>
      </c>
      <c r="I473" t="s">
        <v>2316</v>
      </c>
    </row>
    <row r="474" spans="1:10" x14ac:dyDescent="0.3">
      <c r="A474" t="s">
        <v>2367</v>
      </c>
      <c r="B474" s="16" t="s">
        <v>2368</v>
      </c>
      <c r="C474" t="s">
        <v>2369</v>
      </c>
      <c r="D474" t="s">
        <v>2370</v>
      </c>
      <c r="E474" s="1">
        <v>45210</v>
      </c>
      <c r="F474" s="1">
        <v>45210</v>
      </c>
      <c r="G474" s="1">
        <v>45447</v>
      </c>
      <c r="H474" s="3">
        <v>45447</v>
      </c>
      <c r="I474" t="s">
        <v>2371</v>
      </c>
    </row>
    <row r="475" spans="1:10" x14ac:dyDescent="0.3">
      <c r="A475" t="s">
        <v>298</v>
      </c>
      <c r="B475" s="16" t="s">
        <v>299</v>
      </c>
      <c r="C475" t="s">
        <v>300</v>
      </c>
      <c r="D475" t="s">
        <v>301</v>
      </c>
      <c r="E475" s="1">
        <v>45370</v>
      </c>
      <c r="F475" s="1">
        <v>45370</v>
      </c>
      <c r="G475" s="1">
        <v>45450</v>
      </c>
      <c r="H475" s="3">
        <v>45450</v>
      </c>
      <c r="I475" t="s">
        <v>302</v>
      </c>
    </row>
    <row r="476" spans="1:10" x14ac:dyDescent="0.3">
      <c r="A476" t="s">
        <v>2784</v>
      </c>
      <c r="B476" s="16" t="s">
        <v>2785</v>
      </c>
      <c r="C476" t="s">
        <v>1827</v>
      </c>
      <c r="D476" t="s">
        <v>2786</v>
      </c>
      <c r="E476" s="1">
        <v>43949</v>
      </c>
      <c r="F476" s="1">
        <v>43949</v>
      </c>
      <c r="G476" s="1">
        <v>45450</v>
      </c>
      <c r="H476" s="3">
        <v>45450</v>
      </c>
      <c r="I476" t="s">
        <v>2787</v>
      </c>
    </row>
    <row r="477" spans="1:10" x14ac:dyDescent="0.3">
      <c r="A477" t="s">
        <v>71</v>
      </c>
      <c r="B477" s="16" t="s">
        <v>72</v>
      </c>
      <c r="C477" t="s">
        <v>73</v>
      </c>
      <c r="D477" t="s">
        <v>74</v>
      </c>
      <c r="E477" s="1">
        <v>44650</v>
      </c>
      <c r="F477" s="1">
        <v>44650</v>
      </c>
      <c r="G477" s="1">
        <v>45454</v>
      </c>
      <c r="H477" s="3">
        <v>45454</v>
      </c>
      <c r="I477" t="s">
        <v>75</v>
      </c>
    </row>
    <row r="478" spans="1:10" x14ac:dyDescent="0.3">
      <c r="A478" t="s">
        <v>827</v>
      </c>
      <c r="B478" s="16" t="s">
        <v>828</v>
      </c>
      <c r="C478" t="s">
        <v>829</v>
      </c>
      <c r="D478" t="s">
        <v>830</v>
      </c>
      <c r="E478" s="1">
        <v>43966</v>
      </c>
      <c r="F478" s="1">
        <v>44034</v>
      </c>
      <c r="G478" s="1">
        <v>45454</v>
      </c>
      <c r="H478" s="3">
        <v>45454</v>
      </c>
      <c r="I478" t="s">
        <v>831</v>
      </c>
      <c r="J478" t="s">
        <v>832</v>
      </c>
    </row>
    <row r="479" spans="1:10" x14ac:dyDescent="0.3">
      <c r="A479" t="s">
        <v>1099</v>
      </c>
      <c r="B479" s="16" t="s">
        <v>1100</v>
      </c>
      <c r="C479" t="s">
        <v>1101</v>
      </c>
      <c r="D479" t="s">
        <v>1102</v>
      </c>
      <c r="E479" s="1">
        <v>45363</v>
      </c>
      <c r="F479" s="1">
        <v>45363</v>
      </c>
      <c r="G479" s="1">
        <v>45457</v>
      </c>
      <c r="H479" s="3">
        <v>45457</v>
      </c>
      <c r="I479" t="s">
        <v>1103</v>
      </c>
    </row>
    <row r="480" spans="1:10" x14ac:dyDescent="0.3">
      <c r="A480" t="s">
        <v>1790</v>
      </c>
      <c r="B480" s="16" t="s">
        <v>1791</v>
      </c>
      <c r="C480" t="s">
        <v>1792</v>
      </c>
      <c r="D480" t="s">
        <v>1793</v>
      </c>
      <c r="E480" s="1">
        <v>45385</v>
      </c>
      <c r="F480" s="1">
        <v>45385</v>
      </c>
      <c r="G480" s="1">
        <v>45457</v>
      </c>
      <c r="H480" s="3">
        <v>45457</v>
      </c>
      <c r="I480" t="s">
        <v>1794</v>
      </c>
    </row>
    <row r="481" spans="1:10" x14ac:dyDescent="0.3">
      <c r="A481" t="s">
        <v>1130</v>
      </c>
      <c r="B481" s="16" t="s">
        <v>1131</v>
      </c>
      <c r="C481" t="s">
        <v>1132</v>
      </c>
      <c r="D481" t="s">
        <v>1133</v>
      </c>
      <c r="E481" s="1">
        <v>45389</v>
      </c>
      <c r="F481" s="1">
        <v>45389</v>
      </c>
      <c r="G481" s="1">
        <v>45461</v>
      </c>
      <c r="H481" s="3">
        <v>45461</v>
      </c>
      <c r="I481" t="s">
        <v>1134</v>
      </c>
    </row>
    <row r="482" spans="1:10" x14ac:dyDescent="0.3">
      <c r="A482" t="s">
        <v>3906</v>
      </c>
      <c r="B482" s="16" t="s">
        <v>3907</v>
      </c>
      <c r="C482" t="s">
        <v>3908</v>
      </c>
      <c r="D482" t="s">
        <v>3909</v>
      </c>
      <c r="E482" s="1">
        <v>45363</v>
      </c>
      <c r="F482" s="1">
        <v>45363</v>
      </c>
      <c r="G482" s="1">
        <v>45461</v>
      </c>
      <c r="H482" s="3">
        <v>45461</v>
      </c>
      <c r="I482" t="s">
        <v>3910</v>
      </c>
    </row>
    <row r="483" spans="1:10" x14ac:dyDescent="0.3">
      <c r="A483" t="s">
        <v>4698</v>
      </c>
      <c r="B483" s="16" t="s">
        <v>4699</v>
      </c>
      <c r="C483" t="s">
        <v>4700</v>
      </c>
      <c r="D483" t="s">
        <v>4701</v>
      </c>
      <c r="E483" s="1">
        <v>45190</v>
      </c>
      <c r="F483" s="1">
        <v>45190</v>
      </c>
      <c r="G483" s="1">
        <v>45461</v>
      </c>
      <c r="H483" s="3">
        <v>45461</v>
      </c>
      <c r="I483" t="s">
        <v>4702</v>
      </c>
    </row>
    <row r="484" spans="1:10" x14ac:dyDescent="0.3">
      <c r="A484" t="s">
        <v>3647</v>
      </c>
      <c r="B484" s="16" t="s">
        <v>3648</v>
      </c>
      <c r="C484" t="s">
        <v>3649</v>
      </c>
      <c r="D484" t="s">
        <v>3650</v>
      </c>
      <c r="E484" s="1">
        <v>45226</v>
      </c>
      <c r="F484" s="1">
        <v>45226</v>
      </c>
      <c r="G484" s="1">
        <v>45464</v>
      </c>
      <c r="H484" s="3">
        <v>45464</v>
      </c>
      <c r="I484" t="s">
        <v>3651</v>
      </c>
    </row>
    <row r="485" spans="1:10" x14ac:dyDescent="0.3">
      <c r="A485" t="s">
        <v>3915</v>
      </c>
      <c r="B485" s="16" t="s">
        <v>3916</v>
      </c>
      <c r="C485" t="s">
        <v>3917</v>
      </c>
      <c r="D485" t="s">
        <v>3918</v>
      </c>
      <c r="E485" s="1">
        <v>45252</v>
      </c>
      <c r="F485" s="1">
        <v>45252</v>
      </c>
      <c r="G485" s="1">
        <v>45464</v>
      </c>
      <c r="H485" s="3">
        <v>45464</v>
      </c>
      <c r="I485" t="s">
        <v>3919</v>
      </c>
    </row>
    <row r="486" spans="1:10" x14ac:dyDescent="0.3">
      <c r="A486" t="s">
        <v>1425</v>
      </c>
      <c r="B486" s="16" t="s">
        <v>1426</v>
      </c>
      <c r="C486" t="s">
        <v>1427</v>
      </c>
      <c r="D486" t="s">
        <v>1428</v>
      </c>
      <c r="E486" s="1">
        <v>45326</v>
      </c>
      <c r="F486" s="1">
        <v>45326</v>
      </c>
      <c r="G486" s="1">
        <v>45468</v>
      </c>
      <c r="H486" s="3">
        <v>45468</v>
      </c>
      <c r="I486" t="s">
        <v>1429</v>
      </c>
    </row>
    <row r="487" spans="1:10" x14ac:dyDescent="0.3">
      <c r="A487" t="s">
        <v>4213</v>
      </c>
      <c r="B487" s="16" t="s">
        <v>3712</v>
      </c>
      <c r="C487" t="s">
        <v>4214</v>
      </c>
      <c r="D487" t="s">
        <v>4214</v>
      </c>
      <c r="E487" s="1">
        <v>44753</v>
      </c>
      <c r="F487" s="1">
        <v>44753</v>
      </c>
      <c r="G487" s="1">
        <v>45469</v>
      </c>
      <c r="H487" s="3">
        <v>45469</v>
      </c>
      <c r="I487" t="s">
        <v>4215</v>
      </c>
      <c r="J487" t="s">
        <v>4216</v>
      </c>
    </row>
    <row r="488" spans="1:10" x14ac:dyDescent="0.3">
      <c r="A488" t="s">
        <v>111</v>
      </c>
      <c r="B488" s="17" t="s">
        <v>112</v>
      </c>
      <c r="C488" t="s">
        <v>113</v>
      </c>
      <c r="D488" t="s">
        <v>114</v>
      </c>
      <c r="E488" s="1">
        <v>45364</v>
      </c>
      <c r="F488" s="1">
        <v>45364</v>
      </c>
      <c r="G488" s="1">
        <v>45475</v>
      </c>
      <c r="H488" s="3">
        <v>45475</v>
      </c>
      <c r="I488" t="s">
        <v>115</v>
      </c>
    </row>
    <row r="489" spans="1:10" x14ac:dyDescent="0.3">
      <c r="A489" t="s">
        <v>211</v>
      </c>
      <c r="B489" s="16" t="s">
        <v>212</v>
      </c>
      <c r="C489" t="s">
        <v>213</v>
      </c>
      <c r="D489" t="s">
        <v>214</v>
      </c>
      <c r="E489" s="1">
        <v>44529</v>
      </c>
      <c r="F489" s="1">
        <v>44529</v>
      </c>
      <c r="G489" s="1">
        <v>45475</v>
      </c>
      <c r="H489" s="3">
        <v>45475</v>
      </c>
      <c r="I489" t="s">
        <v>215</v>
      </c>
    </row>
    <row r="490" spans="1:10" x14ac:dyDescent="0.3">
      <c r="A490" t="s">
        <v>4124</v>
      </c>
      <c r="B490" s="16" t="s">
        <v>4125</v>
      </c>
      <c r="C490" t="s">
        <v>4126</v>
      </c>
      <c r="D490" t="s">
        <v>4127</v>
      </c>
      <c r="E490" s="1">
        <v>45303</v>
      </c>
      <c r="F490" s="1">
        <v>45303</v>
      </c>
      <c r="G490" s="1">
        <v>45475</v>
      </c>
      <c r="H490" s="3">
        <v>45475</v>
      </c>
      <c r="I490" t="s">
        <v>4128</v>
      </c>
    </row>
    <row r="491" spans="1:10" x14ac:dyDescent="0.3">
      <c r="A491" t="s">
        <v>2443</v>
      </c>
      <c r="B491" s="16" t="s">
        <v>2444</v>
      </c>
      <c r="C491" t="s">
        <v>2445</v>
      </c>
      <c r="D491" t="s">
        <v>2446</v>
      </c>
      <c r="E491" s="1">
        <v>45260</v>
      </c>
      <c r="F491" s="1">
        <v>45260</v>
      </c>
      <c r="G491" s="1">
        <v>45478</v>
      </c>
      <c r="H491" s="3">
        <v>45478</v>
      </c>
      <c r="I491" t="s">
        <v>2447</v>
      </c>
    </row>
    <row r="492" spans="1:10" x14ac:dyDescent="0.3">
      <c r="A492" t="s">
        <v>1589</v>
      </c>
      <c r="B492" s="16" t="s">
        <v>1590</v>
      </c>
      <c r="C492" t="s">
        <v>1591</v>
      </c>
      <c r="D492" t="s">
        <v>1592</v>
      </c>
      <c r="E492" s="1">
        <v>45380</v>
      </c>
      <c r="F492" s="1">
        <v>45380</v>
      </c>
      <c r="G492" s="1">
        <v>45482</v>
      </c>
      <c r="H492" s="3">
        <v>45482</v>
      </c>
      <c r="I492" t="s">
        <v>1593</v>
      </c>
    </row>
    <row r="493" spans="1:10" x14ac:dyDescent="0.3">
      <c r="A493" t="s">
        <v>4350</v>
      </c>
      <c r="B493" s="16" t="s">
        <v>4351</v>
      </c>
      <c r="C493" t="s">
        <v>4352</v>
      </c>
      <c r="D493" t="s">
        <v>4353</v>
      </c>
      <c r="E493" s="1">
        <v>45216</v>
      </c>
      <c r="F493" s="1">
        <v>45216</v>
      </c>
      <c r="G493" s="1">
        <v>45482</v>
      </c>
      <c r="H493" s="3">
        <v>45482</v>
      </c>
      <c r="I493" t="s">
        <v>4354</v>
      </c>
    </row>
    <row r="494" spans="1:10" x14ac:dyDescent="0.3">
      <c r="A494" t="s">
        <v>4502</v>
      </c>
      <c r="B494" s="16" t="s">
        <v>4503</v>
      </c>
      <c r="C494" t="s">
        <v>4504</v>
      </c>
      <c r="D494" t="s">
        <v>4505</v>
      </c>
      <c r="E494" s="1">
        <v>45267</v>
      </c>
      <c r="F494" s="1">
        <v>45267</v>
      </c>
      <c r="G494" s="1">
        <v>45482</v>
      </c>
      <c r="H494" s="3">
        <v>45482</v>
      </c>
      <c r="I494" t="s">
        <v>4506</v>
      </c>
    </row>
    <row r="495" spans="1:10" x14ac:dyDescent="0.3">
      <c r="A495" t="s">
        <v>1110</v>
      </c>
      <c r="B495" s="17" t="s">
        <v>1111</v>
      </c>
      <c r="C495" t="s">
        <v>1112</v>
      </c>
      <c r="D495" t="s">
        <v>1113</v>
      </c>
      <c r="E495" s="1">
        <v>45407</v>
      </c>
      <c r="F495" s="1">
        <v>45407</v>
      </c>
      <c r="G495" s="1">
        <v>45489</v>
      </c>
      <c r="H495" s="3">
        <v>45489</v>
      </c>
      <c r="I495" t="s">
        <v>1114</v>
      </c>
    </row>
    <row r="496" spans="1:10" x14ac:dyDescent="0.3">
      <c r="A496" t="s">
        <v>1644</v>
      </c>
      <c r="B496" s="16" t="s">
        <v>1645</v>
      </c>
      <c r="C496" t="s">
        <v>1646</v>
      </c>
      <c r="D496" t="s">
        <v>1647</v>
      </c>
      <c r="E496" s="1">
        <v>45348</v>
      </c>
      <c r="F496" s="1">
        <v>45348</v>
      </c>
      <c r="G496" s="1">
        <v>45489</v>
      </c>
      <c r="H496" s="3">
        <v>45489</v>
      </c>
      <c r="I496" t="s">
        <v>1648</v>
      </c>
    </row>
    <row r="497" spans="1:10" x14ac:dyDescent="0.3">
      <c r="A497" t="s">
        <v>3195</v>
      </c>
      <c r="B497" s="16" t="s">
        <v>3196</v>
      </c>
      <c r="C497" t="s">
        <v>3197</v>
      </c>
      <c r="D497" t="s">
        <v>3198</v>
      </c>
      <c r="E497" s="1">
        <v>45264</v>
      </c>
      <c r="F497" s="1">
        <v>45264</v>
      </c>
      <c r="G497" s="1">
        <v>45489</v>
      </c>
      <c r="H497" s="3">
        <v>45489</v>
      </c>
      <c r="I497" t="s">
        <v>3199</v>
      </c>
    </row>
    <row r="498" spans="1:10" x14ac:dyDescent="0.3">
      <c r="A498" t="s">
        <v>3491</v>
      </c>
      <c r="B498" s="16" t="s">
        <v>3492</v>
      </c>
      <c r="C498" t="s">
        <v>1905</v>
      </c>
      <c r="D498" t="s">
        <v>3493</v>
      </c>
      <c r="E498" s="1">
        <v>45404</v>
      </c>
      <c r="F498" s="1">
        <v>45404</v>
      </c>
      <c r="G498" s="1">
        <v>45489</v>
      </c>
      <c r="H498" s="3">
        <v>45489</v>
      </c>
      <c r="I498" t="s">
        <v>3494</v>
      </c>
    </row>
    <row r="499" spans="1:10" x14ac:dyDescent="0.3">
      <c r="A499" t="s">
        <v>4003</v>
      </c>
      <c r="B499" s="16" t="s">
        <v>4004</v>
      </c>
      <c r="C499" t="s">
        <v>4005</v>
      </c>
      <c r="D499" t="s">
        <v>4006</v>
      </c>
      <c r="E499" s="1">
        <v>44834</v>
      </c>
      <c r="F499" s="1">
        <v>45200</v>
      </c>
      <c r="G499" s="1">
        <v>45489</v>
      </c>
      <c r="H499" s="3">
        <v>45489</v>
      </c>
      <c r="I499" t="s">
        <v>4007</v>
      </c>
      <c r="J499" t="s">
        <v>4008</v>
      </c>
    </row>
    <row r="500" spans="1:10" x14ac:dyDescent="0.3">
      <c r="A500" t="s">
        <v>4820</v>
      </c>
      <c r="B500" s="16" t="s">
        <v>4821</v>
      </c>
      <c r="C500" t="s">
        <v>4822</v>
      </c>
      <c r="D500" t="s">
        <v>4823</v>
      </c>
      <c r="E500" s="1">
        <v>45231</v>
      </c>
      <c r="F500" s="1">
        <v>45231</v>
      </c>
      <c r="G500" s="1">
        <v>45489</v>
      </c>
      <c r="H500" s="3">
        <v>45489</v>
      </c>
      <c r="I500" t="s">
        <v>4824</v>
      </c>
    </row>
    <row r="501" spans="1:10" x14ac:dyDescent="0.3">
      <c r="A501" t="s">
        <v>1822</v>
      </c>
      <c r="B501" s="16" t="s">
        <v>1823</v>
      </c>
      <c r="C501" t="s">
        <v>1084</v>
      </c>
      <c r="D501" t="s">
        <v>1456</v>
      </c>
      <c r="E501" s="1">
        <v>43895</v>
      </c>
      <c r="F501" s="1">
        <v>43895</v>
      </c>
      <c r="G501" s="1">
        <v>45496</v>
      </c>
      <c r="H501" s="3">
        <v>45496</v>
      </c>
      <c r="I501" t="s">
        <v>1824</v>
      </c>
    </row>
    <row r="502" spans="1:10" x14ac:dyDescent="0.3">
      <c r="A502" t="s">
        <v>3411</v>
      </c>
      <c r="B502" s="16" t="s">
        <v>3412</v>
      </c>
      <c r="C502" t="s">
        <v>3413</v>
      </c>
      <c r="D502" t="s">
        <v>3414</v>
      </c>
      <c r="E502" s="1">
        <v>45251</v>
      </c>
      <c r="F502" s="1">
        <v>45251</v>
      </c>
      <c r="G502" s="1">
        <v>45496</v>
      </c>
      <c r="H502" s="3">
        <v>45496</v>
      </c>
      <c r="I502" t="s">
        <v>3415</v>
      </c>
    </row>
    <row r="503" spans="1:10" x14ac:dyDescent="0.3">
      <c r="A503" t="s">
        <v>625</v>
      </c>
      <c r="B503" s="16" t="s">
        <v>626</v>
      </c>
      <c r="C503" t="s">
        <v>627</v>
      </c>
      <c r="D503" t="s">
        <v>628</v>
      </c>
      <c r="E503" s="1">
        <v>45216</v>
      </c>
      <c r="F503" s="1">
        <v>45216</v>
      </c>
      <c r="G503" s="1">
        <v>45499</v>
      </c>
      <c r="H503" s="3">
        <v>45499</v>
      </c>
      <c r="I503" t="s">
        <v>629</v>
      </c>
    </row>
    <row r="504" spans="1:10" x14ac:dyDescent="0.3">
      <c r="A504" t="s">
        <v>1416</v>
      </c>
      <c r="B504" s="16" t="s">
        <v>1417</v>
      </c>
      <c r="C504" t="s">
        <v>1418</v>
      </c>
      <c r="D504" t="s">
        <v>1419</v>
      </c>
      <c r="E504" s="1">
        <v>44099</v>
      </c>
      <c r="F504" s="1">
        <v>44099</v>
      </c>
      <c r="G504" s="1">
        <v>45499</v>
      </c>
      <c r="H504" s="3">
        <v>45499</v>
      </c>
      <c r="I504" t="s">
        <v>1420</v>
      </c>
    </row>
    <row r="505" spans="1:10" x14ac:dyDescent="0.3">
      <c r="A505" t="s">
        <v>2125</v>
      </c>
      <c r="B505" s="16" t="s">
        <v>2126</v>
      </c>
      <c r="C505" t="s">
        <v>2127</v>
      </c>
      <c r="D505" t="s">
        <v>2128</v>
      </c>
      <c r="E505" s="1">
        <v>44632</v>
      </c>
      <c r="F505" s="1">
        <v>44632</v>
      </c>
      <c r="G505" s="1">
        <v>45499</v>
      </c>
      <c r="H505" s="3">
        <v>45499</v>
      </c>
      <c r="I505" t="s">
        <v>2129</v>
      </c>
    </row>
    <row r="506" spans="1:10" x14ac:dyDescent="0.3">
      <c r="A506" t="s">
        <v>269</v>
      </c>
      <c r="B506" s="16" t="s">
        <v>270</v>
      </c>
      <c r="C506" t="s">
        <v>271</v>
      </c>
      <c r="D506" t="s">
        <v>272</v>
      </c>
      <c r="E506" s="1">
        <v>44307</v>
      </c>
      <c r="F506" s="1">
        <v>44669</v>
      </c>
      <c r="G506" s="1">
        <v>45503</v>
      </c>
      <c r="H506" s="3">
        <v>45503</v>
      </c>
      <c r="I506" t="s">
        <v>273</v>
      </c>
      <c r="J506" t="s">
        <v>274</v>
      </c>
    </row>
    <row r="507" spans="1:10" x14ac:dyDescent="0.3">
      <c r="A507" t="s">
        <v>1191</v>
      </c>
      <c r="B507" s="16" t="s">
        <v>1192</v>
      </c>
      <c r="C507" t="s">
        <v>1193</v>
      </c>
      <c r="D507" t="s">
        <v>1194</v>
      </c>
      <c r="E507" s="1">
        <v>45273</v>
      </c>
      <c r="F507" s="1">
        <v>45273</v>
      </c>
      <c r="G507" s="1">
        <v>45503</v>
      </c>
      <c r="H507" s="3">
        <v>45503</v>
      </c>
      <c r="I507" t="s">
        <v>1195</v>
      </c>
    </row>
    <row r="508" spans="1:10" x14ac:dyDescent="0.3">
      <c r="A508" t="s">
        <v>1670</v>
      </c>
      <c r="B508" s="16" t="s">
        <v>1671</v>
      </c>
      <c r="C508" t="s">
        <v>300</v>
      </c>
      <c r="D508" t="s">
        <v>1672</v>
      </c>
      <c r="E508" s="1">
        <v>45371</v>
      </c>
      <c r="F508" s="1">
        <v>45371</v>
      </c>
      <c r="G508" s="1">
        <v>45513</v>
      </c>
      <c r="H508" s="3">
        <v>45513</v>
      </c>
      <c r="I508" t="s">
        <v>1673</v>
      </c>
    </row>
    <row r="509" spans="1:10" x14ac:dyDescent="0.3">
      <c r="A509" t="s">
        <v>4244</v>
      </c>
      <c r="B509" s="16" t="s">
        <v>4245</v>
      </c>
      <c r="C509" t="s">
        <v>4246</v>
      </c>
      <c r="D509" t="s">
        <v>4247</v>
      </c>
      <c r="E509" s="1">
        <v>45261</v>
      </c>
      <c r="F509" s="1">
        <v>45261</v>
      </c>
      <c r="G509" s="1">
        <v>45513</v>
      </c>
      <c r="H509" s="3">
        <v>45513</v>
      </c>
      <c r="I509" t="s">
        <v>4248</v>
      </c>
    </row>
    <row r="510" spans="1:10" x14ac:dyDescent="0.3">
      <c r="A510" t="s">
        <v>4576</v>
      </c>
      <c r="B510" s="16" t="s">
        <v>4577</v>
      </c>
      <c r="C510" t="s">
        <v>4578</v>
      </c>
      <c r="D510" t="s">
        <v>4579</v>
      </c>
      <c r="E510" s="1">
        <v>45226</v>
      </c>
      <c r="F510" s="1">
        <v>45226</v>
      </c>
      <c r="G510" s="1">
        <v>45517</v>
      </c>
      <c r="H510" s="3">
        <v>45517</v>
      </c>
      <c r="I510" t="s">
        <v>4580</v>
      </c>
    </row>
    <row r="511" spans="1:10" x14ac:dyDescent="0.3">
      <c r="A511" t="s">
        <v>2557</v>
      </c>
      <c r="B511" s="16" t="s">
        <v>2558</v>
      </c>
      <c r="C511" t="s">
        <v>2559</v>
      </c>
      <c r="D511" t="s">
        <v>2560</v>
      </c>
      <c r="E511" s="1">
        <v>44091</v>
      </c>
      <c r="F511" s="1">
        <v>44091</v>
      </c>
      <c r="G511" s="1">
        <v>45520</v>
      </c>
      <c r="H511" s="3">
        <v>45520</v>
      </c>
      <c r="I511" t="s">
        <v>2561</v>
      </c>
    </row>
    <row r="512" spans="1:10" x14ac:dyDescent="0.3">
      <c r="A512" t="s">
        <v>3954</v>
      </c>
      <c r="B512" s="16" t="s">
        <v>3955</v>
      </c>
      <c r="C512" t="s">
        <v>3956</v>
      </c>
      <c r="D512" t="s">
        <v>3957</v>
      </c>
      <c r="E512" s="1">
        <v>45369</v>
      </c>
      <c r="F512" s="1">
        <v>45369</v>
      </c>
      <c r="G512" s="1">
        <v>45524</v>
      </c>
      <c r="H512" s="3">
        <v>45524</v>
      </c>
      <c r="I512" t="s">
        <v>3958</v>
      </c>
    </row>
    <row r="513" spans="1:9" x14ac:dyDescent="0.3">
      <c r="A513" t="s">
        <v>4740</v>
      </c>
      <c r="B513" s="16" t="s">
        <v>4741</v>
      </c>
      <c r="C513" t="s">
        <v>2741</v>
      </c>
      <c r="D513" t="s">
        <v>2742</v>
      </c>
      <c r="E513" s="1">
        <v>44466</v>
      </c>
      <c r="F513" s="1">
        <v>44466</v>
      </c>
      <c r="G513" s="1">
        <v>45527</v>
      </c>
      <c r="H513" s="3">
        <v>45527</v>
      </c>
      <c r="I513" t="s">
        <v>4742</v>
      </c>
    </row>
    <row r="514" spans="1:9" x14ac:dyDescent="0.3">
      <c r="A514" t="s">
        <v>526</v>
      </c>
      <c r="B514" s="16" t="s">
        <v>527</v>
      </c>
      <c r="C514" t="s">
        <v>528</v>
      </c>
      <c r="D514" t="s">
        <v>529</v>
      </c>
      <c r="E514" s="1">
        <v>45463</v>
      </c>
      <c r="F514" s="1">
        <v>45463</v>
      </c>
      <c r="G514" s="1">
        <v>45534</v>
      </c>
      <c r="H514" s="3">
        <v>45534</v>
      </c>
      <c r="I514" t="s">
        <v>530</v>
      </c>
    </row>
    <row r="515" spans="1:9" x14ac:dyDescent="0.3">
      <c r="A515" t="s">
        <v>3637</v>
      </c>
      <c r="B515" s="16" t="s">
        <v>3638</v>
      </c>
      <c r="C515" t="s">
        <v>3639</v>
      </c>
      <c r="D515" t="s">
        <v>3640</v>
      </c>
      <c r="E515" s="1">
        <v>45287</v>
      </c>
      <c r="F515" s="1">
        <v>45287</v>
      </c>
      <c r="G515" s="1">
        <v>45534</v>
      </c>
      <c r="H515" s="3">
        <v>45534</v>
      </c>
      <c r="I515" t="s">
        <v>3641</v>
      </c>
    </row>
    <row r="516" spans="1:9" x14ac:dyDescent="0.3">
      <c r="A516" t="s">
        <v>1115</v>
      </c>
      <c r="B516" s="16" t="s">
        <v>1116</v>
      </c>
      <c r="C516" t="s">
        <v>1117</v>
      </c>
      <c r="D516" t="s">
        <v>1118</v>
      </c>
      <c r="E516" s="1">
        <v>45483</v>
      </c>
      <c r="F516" s="1">
        <v>45483</v>
      </c>
      <c r="G516" s="1">
        <v>45538</v>
      </c>
      <c r="H516" s="3">
        <v>45538</v>
      </c>
      <c r="I516" t="s">
        <v>1119</v>
      </c>
    </row>
    <row r="517" spans="1:9" x14ac:dyDescent="0.3">
      <c r="A517" t="s">
        <v>928</v>
      </c>
      <c r="B517" s="16" t="s">
        <v>929</v>
      </c>
      <c r="C517" t="s">
        <v>930</v>
      </c>
      <c r="D517" t="s">
        <v>931</v>
      </c>
      <c r="E517" s="1">
        <v>44925</v>
      </c>
      <c r="F517" s="1">
        <v>44925</v>
      </c>
      <c r="G517" s="1">
        <v>45541</v>
      </c>
      <c r="H517" s="3">
        <v>45541</v>
      </c>
      <c r="I517" t="s">
        <v>932</v>
      </c>
    </row>
    <row r="518" spans="1:9" x14ac:dyDescent="0.3">
      <c r="A518" t="s">
        <v>1655</v>
      </c>
      <c r="B518" s="16" t="s">
        <v>1656</v>
      </c>
      <c r="C518" t="s">
        <v>1215</v>
      </c>
      <c r="D518" t="s">
        <v>1657</v>
      </c>
      <c r="E518" s="1">
        <v>45316</v>
      </c>
      <c r="F518" s="1">
        <v>45316</v>
      </c>
      <c r="G518" s="1">
        <v>45545</v>
      </c>
      <c r="H518" s="3">
        <v>45545</v>
      </c>
      <c r="I518" t="s">
        <v>1658</v>
      </c>
    </row>
    <row r="519" spans="1:9" x14ac:dyDescent="0.3">
      <c r="A519" t="s">
        <v>2215</v>
      </c>
      <c r="B519" s="16" t="s">
        <v>2216</v>
      </c>
      <c r="C519" t="s">
        <v>2217</v>
      </c>
      <c r="D519" t="s">
        <v>2218</v>
      </c>
      <c r="E519" s="1">
        <v>45467</v>
      </c>
      <c r="F519" s="1">
        <v>45467</v>
      </c>
      <c r="G519" s="1">
        <v>45548</v>
      </c>
      <c r="H519" s="3">
        <v>45548</v>
      </c>
      <c r="I519" t="s">
        <v>2219</v>
      </c>
    </row>
    <row r="520" spans="1:9" x14ac:dyDescent="0.3">
      <c r="A520" t="s">
        <v>4559</v>
      </c>
      <c r="B520" s="16" t="s">
        <v>4560</v>
      </c>
      <c r="C520" t="s">
        <v>4561</v>
      </c>
      <c r="D520" t="s">
        <v>4562</v>
      </c>
      <c r="E520" s="1">
        <v>45323</v>
      </c>
      <c r="F520" s="1">
        <v>45323</v>
      </c>
      <c r="G520" s="1">
        <v>45548</v>
      </c>
      <c r="H520" s="3">
        <v>45548</v>
      </c>
      <c r="I520" t="s">
        <v>4563</v>
      </c>
    </row>
    <row r="521" spans="1:9" x14ac:dyDescent="0.3">
      <c r="A521" t="s">
        <v>3262</v>
      </c>
      <c r="B521" s="17" t="s">
        <v>3263</v>
      </c>
      <c r="C521" t="s">
        <v>3264</v>
      </c>
      <c r="D521" t="s">
        <v>3265</v>
      </c>
      <c r="E521" s="1">
        <v>45370</v>
      </c>
      <c r="F521" s="1">
        <v>45370</v>
      </c>
      <c r="G521" s="1">
        <v>45559</v>
      </c>
      <c r="H521" s="3">
        <v>45559</v>
      </c>
      <c r="I521" t="s">
        <v>3266</v>
      </c>
    </row>
    <row r="522" spans="1:9" x14ac:dyDescent="0.3">
      <c r="A522" t="s">
        <v>1876</v>
      </c>
      <c r="B522" s="16" t="s">
        <v>1877</v>
      </c>
      <c r="C522" t="s">
        <v>1878</v>
      </c>
      <c r="D522" t="s">
        <v>1879</v>
      </c>
      <c r="E522" s="1">
        <v>45271</v>
      </c>
      <c r="F522" s="1">
        <v>45271</v>
      </c>
      <c r="G522" s="1">
        <v>45566</v>
      </c>
      <c r="H522" s="3">
        <v>45566</v>
      </c>
      <c r="I522" t="s">
        <v>1880</v>
      </c>
    </row>
    <row r="523" spans="1:9" x14ac:dyDescent="0.3">
      <c r="A523" t="s">
        <v>3726</v>
      </c>
      <c r="B523" s="16" t="s">
        <v>3727</v>
      </c>
      <c r="C523" t="s">
        <v>3728</v>
      </c>
      <c r="D523" t="s">
        <v>3729</v>
      </c>
      <c r="E523" s="1">
        <v>45274</v>
      </c>
      <c r="F523" s="1">
        <v>45274</v>
      </c>
      <c r="G523" s="1">
        <v>45572</v>
      </c>
      <c r="H523" s="3">
        <v>45572</v>
      </c>
      <c r="I523" t="s">
        <v>3730</v>
      </c>
    </row>
    <row r="524" spans="1:9" x14ac:dyDescent="0.3">
      <c r="A524" t="s">
        <v>391</v>
      </c>
      <c r="B524" s="16" t="s">
        <v>392</v>
      </c>
      <c r="C524" t="s">
        <v>393</v>
      </c>
      <c r="D524" t="s">
        <v>394</v>
      </c>
      <c r="E524" s="1">
        <v>45491</v>
      </c>
      <c r="F524" s="1">
        <v>45491</v>
      </c>
      <c r="G524" s="1">
        <v>45576</v>
      </c>
      <c r="H524" s="3">
        <v>45576</v>
      </c>
      <c r="I524" t="s">
        <v>395</v>
      </c>
    </row>
    <row r="525" spans="1:9" x14ac:dyDescent="0.3">
      <c r="A525" t="s">
        <v>848</v>
      </c>
      <c r="B525" s="16" t="s">
        <v>849</v>
      </c>
      <c r="C525" t="s">
        <v>850</v>
      </c>
      <c r="D525" t="s">
        <v>851</v>
      </c>
      <c r="E525" s="1">
        <v>44511</v>
      </c>
      <c r="F525" s="1">
        <v>44511</v>
      </c>
      <c r="G525" s="1">
        <v>45580</v>
      </c>
      <c r="H525" s="3">
        <v>45580</v>
      </c>
      <c r="I525" t="s">
        <v>852</v>
      </c>
    </row>
    <row r="526" spans="1:9" x14ac:dyDescent="0.3">
      <c r="A526" t="s">
        <v>1319</v>
      </c>
      <c r="B526" s="16" t="s">
        <v>1320</v>
      </c>
      <c r="C526" t="s">
        <v>1321</v>
      </c>
      <c r="D526" t="s">
        <v>1322</v>
      </c>
      <c r="E526" s="1">
        <v>45506</v>
      </c>
      <c r="F526" s="1">
        <v>45506</v>
      </c>
      <c r="G526" s="1">
        <v>45580</v>
      </c>
      <c r="H526" s="3">
        <v>45580</v>
      </c>
      <c r="I526" t="s">
        <v>1323</v>
      </c>
    </row>
    <row r="527" spans="1:9" x14ac:dyDescent="0.3">
      <c r="A527" t="s">
        <v>221</v>
      </c>
      <c r="B527" s="16" t="s">
        <v>222</v>
      </c>
      <c r="C527" t="s">
        <v>223</v>
      </c>
      <c r="D527" t="s">
        <v>224</v>
      </c>
      <c r="E527" s="1">
        <v>45490</v>
      </c>
      <c r="F527" s="1">
        <v>45490</v>
      </c>
      <c r="G527" s="1">
        <v>45583</v>
      </c>
      <c r="H527" s="3">
        <v>45583</v>
      </c>
      <c r="I527" t="s">
        <v>225</v>
      </c>
    </row>
    <row r="528" spans="1:9" x14ac:dyDescent="0.3">
      <c r="A528" t="s">
        <v>1125</v>
      </c>
      <c r="B528" s="16" t="s">
        <v>1126</v>
      </c>
      <c r="C528" t="s">
        <v>1127</v>
      </c>
      <c r="D528" t="s">
        <v>1128</v>
      </c>
      <c r="E528" s="1">
        <v>45510</v>
      </c>
      <c r="F528" s="1">
        <v>45510</v>
      </c>
      <c r="G528" s="1">
        <v>45583</v>
      </c>
      <c r="H528" s="3">
        <v>45583</v>
      </c>
      <c r="I528" t="s">
        <v>1129</v>
      </c>
    </row>
    <row r="529" spans="1:10" x14ac:dyDescent="0.3">
      <c r="A529" t="s">
        <v>750</v>
      </c>
      <c r="B529" s="16" t="s">
        <v>751</v>
      </c>
      <c r="C529" t="s">
        <v>361</v>
      </c>
      <c r="D529" t="s">
        <v>362</v>
      </c>
      <c r="E529" s="1">
        <v>43846</v>
      </c>
      <c r="F529" s="1">
        <v>43846</v>
      </c>
      <c r="G529" s="1">
        <v>45587</v>
      </c>
      <c r="H529" s="3">
        <v>45587</v>
      </c>
      <c r="I529" t="s">
        <v>752</v>
      </c>
      <c r="J529" t="s">
        <v>753</v>
      </c>
    </row>
    <row r="530" spans="1:10" x14ac:dyDescent="0.3">
      <c r="A530" t="s">
        <v>1027</v>
      </c>
      <c r="B530" s="16" t="s">
        <v>1028</v>
      </c>
      <c r="C530" t="s">
        <v>1029</v>
      </c>
      <c r="D530" t="s">
        <v>1029</v>
      </c>
      <c r="E530" s="1">
        <v>44433</v>
      </c>
      <c r="F530" s="1">
        <v>44433</v>
      </c>
      <c r="G530" s="1">
        <v>45587</v>
      </c>
      <c r="H530" s="3">
        <v>45587</v>
      </c>
      <c r="I530" t="s">
        <v>1030</v>
      </c>
      <c r="J530" t="s">
        <v>1031</v>
      </c>
    </row>
    <row r="531" spans="1:10" x14ac:dyDescent="0.3">
      <c r="A531" t="s">
        <v>1492</v>
      </c>
      <c r="B531" s="16" t="s">
        <v>1493</v>
      </c>
      <c r="C531" t="s">
        <v>1494</v>
      </c>
      <c r="D531" t="s">
        <v>1495</v>
      </c>
      <c r="E531" s="1">
        <v>45527</v>
      </c>
      <c r="F531" s="1">
        <v>45527</v>
      </c>
      <c r="G531" s="1">
        <v>45587</v>
      </c>
      <c r="H531" s="3">
        <v>45587</v>
      </c>
      <c r="I531" t="s">
        <v>1496</v>
      </c>
    </row>
    <row r="532" spans="1:10" x14ac:dyDescent="0.3">
      <c r="A532" t="s">
        <v>4285</v>
      </c>
      <c r="B532" s="16" t="s">
        <v>4286</v>
      </c>
      <c r="C532" t="s">
        <v>4287</v>
      </c>
      <c r="D532" t="s">
        <v>4288</v>
      </c>
      <c r="E532" s="1">
        <v>45504</v>
      </c>
      <c r="F532" s="1">
        <v>45504</v>
      </c>
      <c r="G532" s="1">
        <v>45587</v>
      </c>
      <c r="H532" s="3">
        <v>45587</v>
      </c>
      <c r="I532" t="s">
        <v>4289</v>
      </c>
    </row>
    <row r="533" spans="1:10" x14ac:dyDescent="0.3">
      <c r="A533" t="s">
        <v>838</v>
      </c>
      <c r="B533" s="16" t="s">
        <v>839</v>
      </c>
      <c r="C533" t="s">
        <v>840</v>
      </c>
      <c r="D533" t="s">
        <v>841</v>
      </c>
      <c r="E533" s="1">
        <v>45467</v>
      </c>
      <c r="F533" s="1">
        <v>45467</v>
      </c>
      <c r="G533" s="1">
        <v>45590</v>
      </c>
      <c r="H533" s="3">
        <v>45590</v>
      </c>
      <c r="I533" t="s">
        <v>842</v>
      </c>
    </row>
    <row r="534" spans="1:10" x14ac:dyDescent="0.3">
      <c r="A534" t="s">
        <v>3044</v>
      </c>
      <c r="B534" s="16" t="s">
        <v>3045</v>
      </c>
      <c r="C534" t="s">
        <v>3046</v>
      </c>
      <c r="D534" t="s">
        <v>3047</v>
      </c>
      <c r="E534" s="1">
        <v>45399</v>
      </c>
      <c r="F534" s="1">
        <v>45399</v>
      </c>
      <c r="G534" s="1">
        <v>45590</v>
      </c>
      <c r="H534" s="3">
        <v>45590</v>
      </c>
      <c r="I534" t="s">
        <v>3048</v>
      </c>
    </row>
    <row r="535" spans="1:10" x14ac:dyDescent="0.3">
      <c r="A535" t="s">
        <v>3406</v>
      </c>
      <c r="B535" s="16" t="s">
        <v>3407</v>
      </c>
      <c r="C535" t="s">
        <v>3408</v>
      </c>
      <c r="D535" t="s">
        <v>3409</v>
      </c>
      <c r="E535" s="1">
        <v>45328</v>
      </c>
      <c r="F535" s="1">
        <v>45328</v>
      </c>
      <c r="G535" s="1">
        <v>45590</v>
      </c>
      <c r="H535" s="3">
        <v>45590</v>
      </c>
      <c r="I535" t="s">
        <v>3410</v>
      </c>
    </row>
    <row r="536" spans="1:10" x14ac:dyDescent="0.3">
      <c r="A536" t="s">
        <v>3437</v>
      </c>
      <c r="B536" s="16" t="s">
        <v>3438</v>
      </c>
      <c r="C536" t="s">
        <v>3439</v>
      </c>
      <c r="D536" t="s">
        <v>3440</v>
      </c>
      <c r="E536" s="1">
        <v>45276</v>
      </c>
      <c r="F536" s="1">
        <v>45276</v>
      </c>
      <c r="G536" s="1">
        <v>45590</v>
      </c>
      <c r="H536" s="3">
        <v>45590</v>
      </c>
      <c r="I536" t="s">
        <v>3441</v>
      </c>
    </row>
    <row r="537" spans="1:10" x14ac:dyDescent="0.3">
      <c r="A537" t="s">
        <v>86</v>
      </c>
      <c r="B537" s="16" t="s">
        <v>87</v>
      </c>
      <c r="C537" t="s">
        <v>88</v>
      </c>
      <c r="D537" t="s">
        <v>89</v>
      </c>
      <c r="E537" s="1">
        <v>45520</v>
      </c>
      <c r="F537" s="1">
        <v>45520</v>
      </c>
      <c r="G537" s="1">
        <v>45594</v>
      </c>
      <c r="H537" s="3">
        <v>45594</v>
      </c>
      <c r="I537" t="s">
        <v>90</v>
      </c>
    </row>
    <row r="538" spans="1:10" x14ac:dyDescent="0.3">
      <c r="A538" t="s">
        <v>1411</v>
      </c>
      <c r="B538" s="16" t="s">
        <v>1412</v>
      </c>
      <c r="C538" t="s">
        <v>1413</v>
      </c>
      <c r="D538" t="s">
        <v>1414</v>
      </c>
      <c r="E538" s="1">
        <v>45523</v>
      </c>
      <c r="F538" s="1">
        <v>45523</v>
      </c>
      <c r="G538" s="1">
        <v>45601</v>
      </c>
      <c r="H538" s="3">
        <v>45601</v>
      </c>
      <c r="I538" t="s">
        <v>1415</v>
      </c>
    </row>
    <row r="539" spans="1:10" x14ac:dyDescent="0.3">
      <c r="A539" t="s">
        <v>2335</v>
      </c>
      <c r="B539" s="17" t="s">
        <v>2336</v>
      </c>
      <c r="C539" t="s">
        <v>2242</v>
      </c>
      <c r="D539" t="s">
        <v>2337</v>
      </c>
      <c r="E539" s="1">
        <v>44620</v>
      </c>
      <c r="F539" s="1">
        <v>44620</v>
      </c>
      <c r="G539" s="1">
        <v>45608</v>
      </c>
      <c r="H539" s="3">
        <v>45608</v>
      </c>
      <c r="I539" t="s">
        <v>2338</v>
      </c>
    </row>
    <row r="540" spans="1:10" x14ac:dyDescent="0.3">
      <c r="A540" t="s">
        <v>4644</v>
      </c>
      <c r="B540" s="17" t="s">
        <v>4645</v>
      </c>
      <c r="C540" t="s">
        <v>4646</v>
      </c>
      <c r="D540" t="s">
        <v>4647</v>
      </c>
      <c r="E540" s="1">
        <v>45392</v>
      </c>
      <c r="F540" s="1">
        <v>45392</v>
      </c>
      <c r="G540" s="1">
        <v>45611</v>
      </c>
      <c r="H540" s="3">
        <v>45611</v>
      </c>
      <c r="I540" t="s">
        <v>4648</v>
      </c>
    </row>
    <row r="541" spans="1:10" x14ac:dyDescent="0.3">
      <c r="A541" t="s">
        <v>3076</v>
      </c>
      <c r="B541" s="17" t="s">
        <v>3077</v>
      </c>
      <c r="C541" t="s">
        <v>3078</v>
      </c>
      <c r="D541" t="s">
        <v>3079</v>
      </c>
      <c r="E541" s="1">
        <v>45390</v>
      </c>
      <c r="F541" s="1">
        <v>45390</v>
      </c>
      <c r="G541" s="1">
        <v>45615</v>
      </c>
      <c r="H541" s="3">
        <v>45615</v>
      </c>
      <c r="I541" t="s">
        <v>3080</v>
      </c>
    </row>
    <row r="542" spans="1:10" x14ac:dyDescent="0.3">
      <c r="A542" t="s">
        <v>133</v>
      </c>
      <c r="B542" s="17" t="s">
        <v>134</v>
      </c>
      <c r="C542" t="s">
        <v>135</v>
      </c>
      <c r="D542" t="s">
        <v>136</v>
      </c>
      <c r="E542" s="1">
        <v>44768</v>
      </c>
      <c r="F542" s="1">
        <v>44768</v>
      </c>
      <c r="G542" s="1">
        <v>45618</v>
      </c>
      <c r="H542" s="3">
        <v>45618</v>
      </c>
      <c r="I542" t="s">
        <v>137</v>
      </c>
    </row>
    <row r="543" spans="1:10" x14ac:dyDescent="0.3">
      <c r="A543" t="s">
        <v>1349</v>
      </c>
      <c r="B543" s="16" t="s">
        <v>1350</v>
      </c>
      <c r="C543" t="s">
        <v>218</v>
      </c>
      <c r="D543" t="s">
        <v>1351</v>
      </c>
      <c r="E543" s="1">
        <v>45554</v>
      </c>
      <c r="F543" s="1">
        <v>45554</v>
      </c>
      <c r="G543" s="1">
        <v>45618</v>
      </c>
      <c r="H543" s="3">
        <v>45618</v>
      </c>
      <c r="I543" t="s">
        <v>1352</v>
      </c>
    </row>
    <row r="544" spans="1:10" x14ac:dyDescent="0.3">
      <c r="A544" t="s">
        <v>1903</v>
      </c>
      <c r="B544" s="16" t="s">
        <v>1904</v>
      </c>
      <c r="C544" t="s">
        <v>1905</v>
      </c>
      <c r="D544" t="s">
        <v>1906</v>
      </c>
      <c r="E544" s="1">
        <v>45516</v>
      </c>
      <c r="F544" s="1">
        <v>45516</v>
      </c>
      <c r="G544" s="1">
        <v>45618</v>
      </c>
      <c r="H544" s="3">
        <v>45618</v>
      </c>
      <c r="I544" t="s">
        <v>1907</v>
      </c>
    </row>
    <row r="545" spans="1:10" x14ac:dyDescent="0.3">
      <c r="A545" t="s">
        <v>2945</v>
      </c>
      <c r="B545" s="16" t="s">
        <v>2946</v>
      </c>
      <c r="C545" t="s">
        <v>2947</v>
      </c>
      <c r="D545" t="s">
        <v>2948</v>
      </c>
      <c r="E545" s="1">
        <v>44907</v>
      </c>
      <c r="F545" s="1">
        <v>44907</v>
      </c>
      <c r="G545" s="1">
        <v>45618</v>
      </c>
      <c r="H545" s="3">
        <v>45618</v>
      </c>
      <c r="I545" t="s">
        <v>2949</v>
      </c>
    </row>
    <row r="546" spans="1:10" x14ac:dyDescent="0.3">
      <c r="A546" t="s">
        <v>4684</v>
      </c>
      <c r="B546" s="16" t="s">
        <v>4685</v>
      </c>
      <c r="C546" t="s">
        <v>1045</v>
      </c>
      <c r="D546" t="s">
        <v>4686</v>
      </c>
      <c r="E546" s="1">
        <v>45519</v>
      </c>
      <c r="F546" s="1">
        <v>45519</v>
      </c>
      <c r="G546" s="1">
        <v>45618</v>
      </c>
      <c r="H546" s="3">
        <v>45618</v>
      </c>
      <c r="I546" t="s">
        <v>4687</v>
      </c>
    </row>
    <row r="547" spans="1:10" x14ac:dyDescent="0.3">
      <c r="A547" t="s">
        <v>231</v>
      </c>
      <c r="B547" s="16" t="s">
        <v>232</v>
      </c>
      <c r="C547" t="s">
        <v>233</v>
      </c>
      <c r="D547" t="s">
        <v>234</v>
      </c>
      <c r="E547" s="1">
        <v>45343</v>
      </c>
      <c r="F547" s="1">
        <v>45343</v>
      </c>
      <c r="G547" s="1">
        <v>45622</v>
      </c>
      <c r="H547" s="3">
        <v>45622</v>
      </c>
      <c r="I547" t="s">
        <v>235</v>
      </c>
    </row>
    <row r="548" spans="1:10" x14ac:dyDescent="0.3">
      <c r="A548" t="s">
        <v>1104</v>
      </c>
      <c r="B548" s="16" t="s">
        <v>1105</v>
      </c>
      <c r="C548" t="s">
        <v>1106</v>
      </c>
      <c r="D548" t="s">
        <v>1107</v>
      </c>
      <c r="E548" s="1">
        <v>45061</v>
      </c>
      <c r="F548" s="1">
        <v>45359</v>
      </c>
      <c r="G548" s="1">
        <v>45622</v>
      </c>
      <c r="H548" s="3">
        <v>45622</v>
      </c>
      <c r="I548" t="s">
        <v>1108</v>
      </c>
      <c r="J548" t="s">
        <v>1109</v>
      </c>
    </row>
    <row r="549" spans="1:10" x14ac:dyDescent="0.3">
      <c r="A549" t="s">
        <v>4180</v>
      </c>
      <c r="B549" s="16" t="s">
        <v>4181</v>
      </c>
      <c r="C549" t="s">
        <v>4182</v>
      </c>
      <c r="D549" t="s">
        <v>4183</v>
      </c>
      <c r="E549" s="1">
        <v>45322</v>
      </c>
      <c r="F549" s="1">
        <v>45322</v>
      </c>
      <c r="G549" s="1">
        <v>45622</v>
      </c>
      <c r="H549" s="3">
        <v>45622</v>
      </c>
      <c r="I549" t="s">
        <v>4184</v>
      </c>
    </row>
    <row r="550" spans="1:10" x14ac:dyDescent="0.3">
      <c r="A550" t="s">
        <v>1017</v>
      </c>
      <c r="B550" s="17" t="s">
        <v>1018</v>
      </c>
      <c r="C550" t="s">
        <v>1019</v>
      </c>
      <c r="D550" t="s">
        <v>1020</v>
      </c>
      <c r="E550" s="1">
        <v>44798</v>
      </c>
      <c r="F550" s="1">
        <v>44798</v>
      </c>
      <c r="G550" s="1">
        <v>45625</v>
      </c>
      <c r="H550" s="3">
        <v>45625</v>
      </c>
      <c r="I550" t="s">
        <v>1021</v>
      </c>
    </row>
    <row r="551" spans="1:10" x14ac:dyDescent="0.3">
      <c r="A551" t="s">
        <v>2745</v>
      </c>
      <c r="B551" s="16" t="s">
        <v>2746</v>
      </c>
      <c r="C551" t="s">
        <v>2747</v>
      </c>
      <c r="D551" t="s">
        <v>2748</v>
      </c>
      <c r="E551" s="1">
        <v>45446</v>
      </c>
      <c r="F551" s="1">
        <v>45446</v>
      </c>
      <c r="G551" s="1">
        <v>45625</v>
      </c>
      <c r="H551" s="3">
        <v>45625</v>
      </c>
      <c r="I551" t="s">
        <v>2749</v>
      </c>
    </row>
    <row r="552" spans="1:10" x14ac:dyDescent="0.3">
      <c r="A552" t="s">
        <v>620</v>
      </c>
      <c r="B552" s="16" t="s">
        <v>621</v>
      </c>
      <c r="C552" t="s">
        <v>622</v>
      </c>
      <c r="D552" t="s">
        <v>623</v>
      </c>
      <c r="E552" s="1">
        <v>45516</v>
      </c>
      <c r="F552" s="1">
        <v>45516</v>
      </c>
      <c r="G552" s="1">
        <v>45629</v>
      </c>
      <c r="H552" s="3">
        <v>45629</v>
      </c>
      <c r="I552" t="s">
        <v>624</v>
      </c>
    </row>
    <row r="553" spans="1:10" x14ac:dyDescent="0.3">
      <c r="A553" t="s">
        <v>1690</v>
      </c>
      <c r="B553" s="16" t="s">
        <v>1691</v>
      </c>
      <c r="C553" t="s">
        <v>1692</v>
      </c>
      <c r="D553" t="s">
        <v>1693</v>
      </c>
      <c r="E553" s="1">
        <v>45540</v>
      </c>
      <c r="F553" s="1">
        <v>45540</v>
      </c>
      <c r="G553" s="1">
        <v>45629</v>
      </c>
      <c r="H553" s="3">
        <v>45629</v>
      </c>
      <c r="I553" t="s">
        <v>1694</v>
      </c>
    </row>
    <row r="554" spans="1:10" x14ac:dyDescent="0.3">
      <c r="A554" t="s">
        <v>2106</v>
      </c>
      <c r="B554" s="16" t="s">
        <v>2107</v>
      </c>
      <c r="C554" t="s">
        <v>2108</v>
      </c>
      <c r="D554" t="s">
        <v>2109</v>
      </c>
      <c r="E554" s="1">
        <v>45558</v>
      </c>
      <c r="F554" s="1">
        <v>45558</v>
      </c>
      <c r="G554" s="1">
        <v>45629</v>
      </c>
      <c r="H554" s="3">
        <v>45629</v>
      </c>
      <c r="I554" t="s">
        <v>2110</v>
      </c>
    </row>
    <row r="555" spans="1:10" x14ac:dyDescent="0.3">
      <c r="A555" t="s">
        <v>375</v>
      </c>
      <c r="B555" s="16" t="s">
        <v>376</v>
      </c>
      <c r="C555" t="s">
        <v>377</v>
      </c>
      <c r="D555" t="s">
        <v>378</v>
      </c>
      <c r="E555" s="1">
        <v>44446</v>
      </c>
      <c r="F555" s="1">
        <v>44446</v>
      </c>
      <c r="G555" s="1">
        <v>45632</v>
      </c>
      <c r="H555" s="3">
        <v>45632</v>
      </c>
      <c r="I555" t="s">
        <v>379</v>
      </c>
    </row>
    <row r="556" spans="1:10" x14ac:dyDescent="0.3">
      <c r="A556" t="s">
        <v>3416</v>
      </c>
      <c r="B556" s="16" t="s">
        <v>3417</v>
      </c>
      <c r="C556" t="s">
        <v>3418</v>
      </c>
      <c r="D556" t="s">
        <v>3419</v>
      </c>
      <c r="E556" s="1">
        <v>45540</v>
      </c>
      <c r="F556" s="1">
        <v>45540</v>
      </c>
      <c r="G556" s="1">
        <v>45632</v>
      </c>
      <c r="H556" s="3">
        <v>45632</v>
      </c>
      <c r="I556" t="s">
        <v>3420</v>
      </c>
    </row>
    <row r="557" spans="1:10" x14ac:dyDescent="0.3">
      <c r="A557" t="s">
        <v>1726</v>
      </c>
      <c r="B557" s="16" t="s">
        <v>1727</v>
      </c>
      <c r="C557" t="s">
        <v>1728</v>
      </c>
      <c r="D557" t="s">
        <v>1729</v>
      </c>
      <c r="E557" s="1">
        <v>45579</v>
      </c>
      <c r="F557" s="1">
        <v>45579</v>
      </c>
      <c r="G557" s="1">
        <v>45639</v>
      </c>
      <c r="H557" s="3">
        <v>45639</v>
      </c>
      <c r="I557" t="s">
        <v>1730</v>
      </c>
    </row>
    <row r="558" spans="1:10" x14ac:dyDescent="0.3">
      <c r="A558" t="s">
        <v>1186</v>
      </c>
      <c r="B558" s="16" t="s">
        <v>1187</v>
      </c>
      <c r="C558" t="s">
        <v>1188</v>
      </c>
      <c r="D558" t="s">
        <v>1189</v>
      </c>
      <c r="E558" s="1">
        <v>45581</v>
      </c>
      <c r="F558" s="1">
        <v>45581</v>
      </c>
      <c r="G558" s="1">
        <v>45643</v>
      </c>
      <c r="H558" s="3">
        <v>45643</v>
      </c>
      <c r="I558" t="s">
        <v>1190</v>
      </c>
    </row>
    <row r="559" spans="1:10" x14ac:dyDescent="0.3">
      <c r="A559" t="s">
        <v>2643</v>
      </c>
      <c r="B559" s="16" t="s">
        <v>2644</v>
      </c>
      <c r="C559" t="s">
        <v>2645</v>
      </c>
      <c r="D559" t="s">
        <v>2646</v>
      </c>
      <c r="E559" s="1">
        <v>44316</v>
      </c>
      <c r="F559" s="1">
        <v>44316</v>
      </c>
      <c r="G559" s="1">
        <v>45643</v>
      </c>
      <c r="H559" s="3">
        <v>45643</v>
      </c>
      <c r="I559" t="s">
        <v>2647</v>
      </c>
    </row>
    <row r="560" spans="1:10" x14ac:dyDescent="0.3">
      <c r="A560" t="s">
        <v>3401</v>
      </c>
      <c r="B560" s="16" t="s">
        <v>3402</v>
      </c>
      <c r="C560" t="s">
        <v>3403</v>
      </c>
      <c r="D560" t="s">
        <v>3404</v>
      </c>
      <c r="E560" s="1">
        <v>45364</v>
      </c>
      <c r="F560" s="1">
        <v>45364</v>
      </c>
      <c r="G560" s="1">
        <v>45646</v>
      </c>
      <c r="H560" s="3">
        <v>45646</v>
      </c>
      <c r="I560" t="s">
        <v>3405</v>
      </c>
    </row>
    <row r="561" spans="1:10" x14ac:dyDescent="0.3">
      <c r="A561" t="s">
        <v>678</v>
      </c>
      <c r="B561" s="16" t="s">
        <v>679</v>
      </c>
      <c r="C561" t="s">
        <v>680</v>
      </c>
      <c r="D561" t="s">
        <v>681</v>
      </c>
      <c r="E561" s="1">
        <v>44827</v>
      </c>
      <c r="F561" s="1">
        <v>45246</v>
      </c>
      <c r="G561" s="1">
        <v>45650</v>
      </c>
      <c r="H561" s="3">
        <v>45650</v>
      </c>
      <c r="I561" t="s">
        <v>682</v>
      </c>
    </row>
    <row r="562" spans="1:10" x14ac:dyDescent="0.3">
      <c r="A562" t="s">
        <v>4545</v>
      </c>
      <c r="B562" s="16" t="s">
        <v>4546</v>
      </c>
      <c r="C562" t="s">
        <v>4547</v>
      </c>
      <c r="D562" t="s">
        <v>4548</v>
      </c>
      <c r="E562" s="1">
        <v>45421</v>
      </c>
      <c r="F562" s="1">
        <v>45421</v>
      </c>
      <c r="G562" s="1">
        <v>45650</v>
      </c>
      <c r="H562" s="3">
        <v>45650</v>
      </c>
      <c r="I562" t="s">
        <v>4549</v>
      </c>
    </row>
    <row r="563" spans="1:10" x14ac:dyDescent="0.3">
      <c r="A563" t="s">
        <v>469</v>
      </c>
      <c r="B563" s="17" t="s">
        <v>470</v>
      </c>
      <c r="C563" t="s">
        <v>471</v>
      </c>
      <c r="D563" t="s">
        <v>472</v>
      </c>
      <c r="E563" s="1">
        <v>44768</v>
      </c>
      <c r="F563" s="1">
        <v>44768</v>
      </c>
      <c r="G563" s="1">
        <v>45653</v>
      </c>
      <c r="H563" s="3">
        <v>45653</v>
      </c>
      <c r="I563" t="s">
        <v>473</v>
      </c>
    </row>
    <row r="564" spans="1:10" x14ac:dyDescent="0.3">
      <c r="A564" t="s">
        <v>3539</v>
      </c>
      <c r="B564" s="16" t="s">
        <v>3540</v>
      </c>
      <c r="C564" t="s">
        <v>3541</v>
      </c>
      <c r="D564" t="s">
        <v>3542</v>
      </c>
      <c r="E564" s="1">
        <v>45422</v>
      </c>
      <c r="F564" s="1">
        <v>45422</v>
      </c>
      <c r="G564" s="1">
        <v>45653</v>
      </c>
      <c r="H564" s="3">
        <v>45653</v>
      </c>
      <c r="I564" t="s">
        <v>3543</v>
      </c>
    </row>
    <row r="565" spans="1:10" x14ac:dyDescent="0.3">
      <c r="A565" t="s">
        <v>439</v>
      </c>
      <c r="B565" s="16" t="s">
        <v>440</v>
      </c>
      <c r="C565" t="s">
        <v>441</v>
      </c>
      <c r="D565" t="s">
        <v>442</v>
      </c>
      <c r="E565" s="1">
        <v>44392</v>
      </c>
      <c r="F565" s="1">
        <v>44755</v>
      </c>
      <c r="G565" s="1">
        <v>45657</v>
      </c>
      <c r="H565" s="3">
        <v>45657</v>
      </c>
      <c r="I565" t="s">
        <v>443</v>
      </c>
      <c r="J565" t="s">
        <v>444</v>
      </c>
    </row>
    <row r="566" spans="1:10" x14ac:dyDescent="0.3">
      <c r="A566" t="s">
        <v>1971</v>
      </c>
      <c r="B566" s="16" t="s">
        <v>1972</v>
      </c>
      <c r="C566" t="s">
        <v>1973</v>
      </c>
      <c r="D566" t="s">
        <v>1974</v>
      </c>
      <c r="E566" s="1">
        <v>44726</v>
      </c>
      <c r="F566" s="1">
        <v>44726</v>
      </c>
      <c r="G566" s="1">
        <v>45657</v>
      </c>
      <c r="H566" s="3">
        <v>45657</v>
      </c>
      <c r="I566" t="s">
        <v>1975</v>
      </c>
      <c r="J566" t="s">
        <v>1976</v>
      </c>
    </row>
    <row r="567" spans="1:10" x14ac:dyDescent="0.3">
      <c r="A567" t="s">
        <v>2610</v>
      </c>
      <c r="B567" s="17" t="s">
        <v>2611</v>
      </c>
      <c r="C567" t="s">
        <v>2612</v>
      </c>
      <c r="D567" t="s">
        <v>2613</v>
      </c>
      <c r="E567" s="1">
        <v>44559</v>
      </c>
      <c r="F567" s="1">
        <v>44559</v>
      </c>
      <c r="G567" s="1">
        <v>45657</v>
      </c>
      <c r="H567" s="3">
        <v>45657</v>
      </c>
      <c r="I567" t="s">
        <v>2614</v>
      </c>
    </row>
    <row r="568" spans="1:10" x14ac:dyDescent="0.3">
      <c r="A568" t="s">
        <v>4649</v>
      </c>
      <c r="B568" s="14" t="s">
        <v>4650</v>
      </c>
      <c r="C568" t="s">
        <v>4651</v>
      </c>
      <c r="D568" t="s">
        <v>4652</v>
      </c>
      <c r="E568" s="1">
        <v>45597</v>
      </c>
      <c r="F568" s="1">
        <v>45597</v>
      </c>
      <c r="G568" s="1">
        <v>45660</v>
      </c>
      <c r="H568" s="3">
        <v>45660</v>
      </c>
      <c r="I568" t="s">
        <v>4653</v>
      </c>
    </row>
    <row r="569" spans="1:10" x14ac:dyDescent="0.3">
      <c r="A569" t="s">
        <v>536</v>
      </c>
      <c r="B569" s="14" t="s">
        <v>537</v>
      </c>
      <c r="C569" t="s">
        <v>538</v>
      </c>
      <c r="D569" t="s">
        <v>539</v>
      </c>
      <c r="E569" s="1">
        <v>45547</v>
      </c>
      <c r="F569" s="1">
        <v>45547</v>
      </c>
      <c r="G569" s="1">
        <v>45664</v>
      </c>
      <c r="H569" s="3">
        <v>45664</v>
      </c>
      <c r="I569" t="s">
        <v>540</v>
      </c>
    </row>
    <row r="570" spans="1:10" x14ac:dyDescent="0.3">
      <c r="A570" t="s">
        <v>1930</v>
      </c>
      <c r="B570" s="14" t="s">
        <v>1931</v>
      </c>
      <c r="C570" t="s">
        <v>1932</v>
      </c>
      <c r="D570" t="s">
        <v>1933</v>
      </c>
      <c r="E570" s="1">
        <v>44386</v>
      </c>
      <c r="F570" s="1">
        <v>44750</v>
      </c>
      <c r="G570" s="1">
        <v>45664</v>
      </c>
      <c r="H570" s="3">
        <v>45664</v>
      </c>
      <c r="I570" t="s">
        <v>1934</v>
      </c>
    </row>
    <row r="571" spans="1:10" x14ac:dyDescent="0.3">
      <c r="A571" t="s">
        <v>2006</v>
      </c>
      <c r="B571" s="14" t="s">
        <v>2007</v>
      </c>
      <c r="C571" t="s">
        <v>2008</v>
      </c>
      <c r="D571" t="s">
        <v>2009</v>
      </c>
      <c r="E571" s="1">
        <v>45545</v>
      </c>
      <c r="F571" s="1">
        <v>45545</v>
      </c>
      <c r="G571" s="1">
        <v>45664</v>
      </c>
      <c r="H571" s="3">
        <v>45664</v>
      </c>
      <c r="I571" t="s">
        <v>2010</v>
      </c>
    </row>
    <row r="572" spans="1:10" x14ac:dyDescent="0.3">
      <c r="A572" t="s">
        <v>4749</v>
      </c>
      <c r="B572" s="15" t="s">
        <v>4750</v>
      </c>
      <c r="C572" t="s">
        <v>4751</v>
      </c>
      <c r="D572" t="s">
        <v>4752</v>
      </c>
      <c r="E572" s="1">
        <v>45443</v>
      </c>
      <c r="F572" s="1">
        <v>45443</v>
      </c>
      <c r="G572" s="1">
        <v>45664</v>
      </c>
      <c r="H572" s="3">
        <v>45664</v>
      </c>
      <c r="I572" t="s">
        <v>4753</v>
      </c>
    </row>
    <row r="573" spans="1:10" x14ac:dyDescent="0.3">
      <c r="A573" t="s">
        <v>4793</v>
      </c>
      <c r="B573" s="14" t="s">
        <v>4794</v>
      </c>
      <c r="C573" t="s">
        <v>361</v>
      </c>
      <c r="D573" t="s">
        <v>4795</v>
      </c>
      <c r="E573" s="1">
        <v>45147</v>
      </c>
      <c r="F573" s="1">
        <v>45147</v>
      </c>
      <c r="G573" s="1">
        <v>45664</v>
      </c>
      <c r="H573" s="3">
        <v>45664</v>
      </c>
      <c r="I573" t="s">
        <v>4796</v>
      </c>
      <c r="J573" t="s">
        <v>4797</v>
      </c>
    </row>
    <row r="574" spans="1:10" x14ac:dyDescent="0.3">
      <c r="A574" t="s">
        <v>4597</v>
      </c>
      <c r="B574" s="14" t="s">
        <v>4598</v>
      </c>
      <c r="C574" t="s">
        <v>4599</v>
      </c>
      <c r="D574" t="s">
        <v>4600</v>
      </c>
      <c r="E574" s="1">
        <v>45390</v>
      </c>
      <c r="F574" s="1">
        <v>45390</v>
      </c>
      <c r="G574" s="1">
        <v>45667</v>
      </c>
      <c r="H574" s="3">
        <v>45667</v>
      </c>
      <c r="I574" t="s">
        <v>4601</v>
      </c>
    </row>
    <row r="575" spans="1:10" x14ac:dyDescent="0.3">
      <c r="A575" t="s">
        <v>241</v>
      </c>
      <c r="B575" s="14" t="s">
        <v>242</v>
      </c>
      <c r="C575" t="s">
        <v>243</v>
      </c>
      <c r="D575" t="s">
        <v>243</v>
      </c>
      <c r="E575" s="1">
        <v>44332</v>
      </c>
      <c r="F575" s="1">
        <v>44696</v>
      </c>
      <c r="G575" s="1">
        <v>45671</v>
      </c>
      <c r="H575" s="3">
        <v>45671</v>
      </c>
      <c r="I575" t="s">
        <v>244</v>
      </c>
      <c r="J575" t="s">
        <v>245</v>
      </c>
    </row>
    <row r="576" spans="1:10" x14ac:dyDescent="0.3">
      <c r="A576" t="s">
        <v>969</v>
      </c>
      <c r="B576" s="14" t="s">
        <v>970</v>
      </c>
      <c r="C576" t="s">
        <v>259</v>
      </c>
      <c r="D576" t="s">
        <v>971</v>
      </c>
      <c r="E576" s="1">
        <v>44459</v>
      </c>
      <c r="F576" s="1">
        <v>44819</v>
      </c>
      <c r="G576" s="1">
        <v>45671</v>
      </c>
      <c r="H576" s="3">
        <v>45671</v>
      </c>
      <c r="I576" t="s">
        <v>972</v>
      </c>
      <c r="J576" t="s">
        <v>973</v>
      </c>
    </row>
    <row r="577" spans="1:10" x14ac:dyDescent="0.3">
      <c r="A577" t="s">
        <v>2876</v>
      </c>
      <c r="B577" s="14" t="s">
        <v>2877</v>
      </c>
      <c r="C577" t="s">
        <v>2878</v>
      </c>
      <c r="D577" t="s">
        <v>2879</v>
      </c>
      <c r="E577" s="1">
        <v>45432</v>
      </c>
      <c r="F577" s="1">
        <v>45432</v>
      </c>
      <c r="G577" s="1">
        <v>45671</v>
      </c>
      <c r="H577" s="3">
        <v>45671</v>
      </c>
      <c r="I577" t="s">
        <v>2880</v>
      </c>
    </row>
    <row r="578" spans="1:10" x14ac:dyDescent="0.3">
      <c r="A578" t="s">
        <v>3925</v>
      </c>
      <c r="B578" s="14" t="s">
        <v>3926</v>
      </c>
      <c r="C578" t="s">
        <v>3927</v>
      </c>
      <c r="D578" t="s">
        <v>3928</v>
      </c>
      <c r="E578" s="1">
        <v>45441</v>
      </c>
      <c r="F578" s="1">
        <v>45441</v>
      </c>
      <c r="G578" s="1">
        <v>45671</v>
      </c>
      <c r="H578" s="3">
        <v>45671</v>
      </c>
      <c r="I578" t="s">
        <v>3929</v>
      </c>
    </row>
    <row r="579" spans="1:10" x14ac:dyDescent="0.3">
      <c r="A579" t="s">
        <v>4015</v>
      </c>
      <c r="B579" s="14" t="s">
        <v>4016</v>
      </c>
      <c r="C579" t="s">
        <v>4017</v>
      </c>
      <c r="D579" t="s">
        <v>4018</v>
      </c>
      <c r="E579" s="1">
        <v>45586</v>
      </c>
      <c r="F579" s="1">
        <v>45586</v>
      </c>
      <c r="G579" s="1">
        <v>45671</v>
      </c>
      <c r="H579" s="3">
        <v>45671</v>
      </c>
      <c r="I579" t="s">
        <v>4019</v>
      </c>
    </row>
    <row r="580" spans="1:10" x14ac:dyDescent="0.3">
      <c r="A580" t="s">
        <v>908</v>
      </c>
      <c r="B580" s="14" t="s">
        <v>909</v>
      </c>
      <c r="C580" t="s">
        <v>910</v>
      </c>
      <c r="D580" t="s">
        <v>911</v>
      </c>
      <c r="E580" s="1">
        <v>44282</v>
      </c>
      <c r="F580" s="1">
        <v>44282</v>
      </c>
      <c r="G580" s="1">
        <v>45678</v>
      </c>
      <c r="H580" s="3">
        <v>45678</v>
      </c>
      <c r="I580" t="s">
        <v>912</v>
      </c>
    </row>
    <row r="581" spans="1:10" x14ac:dyDescent="0.3">
      <c r="A581" t="s">
        <v>4602</v>
      </c>
      <c r="B581" s="14" t="s">
        <v>4603</v>
      </c>
      <c r="C581" t="s">
        <v>4604</v>
      </c>
      <c r="D581" t="s">
        <v>4605</v>
      </c>
      <c r="E581" s="1">
        <v>45581</v>
      </c>
      <c r="F581" s="1">
        <v>45581</v>
      </c>
      <c r="G581" s="1">
        <v>45678</v>
      </c>
      <c r="H581" s="3">
        <v>45678</v>
      </c>
      <c r="I581" t="s">
        <v>4606</v>
      </c>
    </row>
    <row r="582" spans="1:10" x14ac:dyDescent="0.3">
      <c r="A582" t="s">
        <v>3656</v>
      </c>
      <c r="B582" s="14" t="s">
        <v>3657</v>
      </c>
      <c r="C582" t="s">
        <v>741</v>
      </c>
      <c r="D582" t="s">
        <v>3658</v>
      </c>
      <c r="E582" s="1">
        <v>45611</v>
      </c>
      <c r="F582" s="1">
        <v>45611</v>
      </c>
      <c r="G582" s="1">
        <v>45681</v>
      </c>
      <c r="H582" s="3">
        <v>45681</v>
      </c>
      <c r="I582" t="s">
        <v>3659</v>
      </c>
    </row>
    <row r="583" spans="1:10" x14ac:dyDescent="0.3">
      <c r="A583" t="s">
        <v>424</v>
      </c>
      <c r="B583" s="14" t="s">
        <v>425</v>
      </c>
      <c r="C583" t="s">
        <v>426</v>
      </c>
      <c r="D583" t="s">
        <v>427</v>
      </c>
      <c r="E583" s="1">
        <v>45588</v>
      </c>
      <c r="F583" s="1">
        <v>45588</v>
      </c>
      <c r="G583" s="1">
        <v>45695</v>
      </c>
      <c r="H583" s="3">
        <v>45695</v>
      </c>
      <c r="I583" t="s">
        <v>428</v>
      </c>
    </row>
    <row r="584" spans="1:10" x14ac:dyDescent="0.3">
      <c r="A584" t="s">
        <v>1223</v>
      </c>
      <c r="B584" s="14" t="s">
        <v>1224</v>
      </c>
      <c r="C584" t="s">
        <v>1225</v>
      </c>
      <c r="D584" t="s">
        <v>1226</v>
      </c>
      <c r="E584" s="1">
        <v>45541</v>
      </c>
      <c r="F584" s="1">
        <v>45541</v>
      </c>
      <c r="G584" s="1">
        <v>45695</v>
      </c>
      <c r="H584" s="3">
        <v>45695</v>
      </c>
      <c r="I584" t="s">
        <v>1227</v>
      </c>
    </row>
    <row r="585" spans="1:10" x14ac:dyDescent="0.3">
      <c r="A585" t="s">
        <v>1940</v>
      </c>
      <c r="B585" s="14" t="s">
        <v>1941</v>
      </c>
      <c r="C585" t="s">
        <v>1942</v>
      </c>
      <c r="D585" t="s">
        <v>1943</v>
      </c>
      <c r="E585" s="1">
        <v>45595</v>
      </c>
      <c r="F585" s="1">
        <v>45595</v>
      </c>
      <c r="G585" s="1">
        <v>45695</v>
      </c>
      <c r="H585" s="3">
        <v>45695</v>
      </c>
      <c r="I585" t="s">
        <v>1944</v>
      </c>
    </row>
    <row r="586" spans="1:10" x14ac:dyDescent="0.3">
      <c r="A586" t="s">
        <v>4202</v>
      </c>
      <c r="B586" s="14" t="s">
        <v>4203</v>
      </c>
      <c r="C586" t="s">
        <v>4204</v>
      </c>
      <c r="D586" t="s">
        <v>4205</v>
      </c>
      <c r="E586" s="1">
        <v>45597</v>
      </c>
      <c r="F586" s="1">
        <v>45597</v>
      </c>
      <c r="G586" s="1">
        <v>45695</v>
      </c>
      <c r="H586" s="3">
        <v>45695</v>
      </c>
      <c r="I586" t="s">
        <v>4206</v>
      </c>
    </row>
    <row r="587" spans="1:10" x14ac:dyDescent="0.3">
      <c r="A587" t="s">
        <v>226</v>
      </c>
      <c r="B587" s="14" t="s">
        <v>227</v>
      </c>
      <c r="C587" t="s">
        <v>228</v>
      </c>
      <c r="D587" t="s">
        <v>229</v>
      </c>
      <c r="E587" s="1">
        <v>45604</v>
      </c>
      <c r="F587" s="1">
        <v>45604</v>
      </c>
      <c r="G587" s="1">
        <v>45699</v>
      </c>
      <c r="H587" s="3">
        <v>45699</v>
      </c>
      <c r="I587" t="s">
        <v>230</v>
      </c>
    </row>
    <row r="588" spans="1:10" x14ac:dyDescent="0.3">
      <c r="A588" t="s">
        <v>521</v>
      </c>
      <c r="B588" s="14" t="s">
        <v>522</v>
      </c>
      <c r="C588" t="s">
        <v>523</v>
      </c>
      <c r="D588" t="s">
        <v>524</v>
      </c>
      <c r="E588" s="1">
        <v>45623</v>
      </c>
      <c r="F588" s="1">
        <v>45623</v>
      </c>
      <c r="G588" s="1">
        <v>45699</v>
      </c>
      <c r="H588" s="3">
        <v>45699</v>
      </c>
      <c r="I588" t="s">
        <v>525</v>
      </c>
    </row>
    <row r="589" spans="1:10" x14ac:dyDescent="0.3">
      <c r="A589" t="s">
        <v>1659</v>
      </c>
      <c r="B589" s="14" t="s">
        <v>1660</v>
      </c>
      <c r="C589" t="s">
        <v>1661</v>
      </c>
      <c r="D589" t="s">
        <v>1662</v>
      </c>
      <c r="E589" s="1">
        <v>44688</v>
      </c>
      <c r="F589" s="1">
        <v>44688</v>
      </c>
      <c r="G589" s="1">
        <v>45699</v>
      </c>
      <c r="H589" s="3">
        <v>45699</v>
      </c>
      <c r="I589" t="s">
        <v>1663</v>
      </c>
    </row>
    <row r="590" spans="1:10" x14ac:dyDescent="0.3">
      <c r="A590" t="s">
        <v>3301</v>
      </c>
      <c r="B590" s="14" t="s">
        <v>3302</v>
      </c>
      <c r="C590" t="s">
        <v>3303</v>
      </c>
      <c r="D590" t="s">
        <v>3304</v>
      </c>
      <c r="E590" s="1">
        <v>45560</v>
      </c>
      <c r="F590" s="1">
        <v>45560</v>
      </c>
      <c r="G590" s="1">
        <v>45699</v>
      </c>
      <c r="H590" s="3">
        <v>45699</v>
      </c>
      <c r="I590" t="s">
        <v>3305</v>
      </c>
    </row>
    <row r="591" spans="1:10" x14ac:dyDescent="0.3">
      <c r="A591" t="s">
        <v>2069</v>
      </c>
      <c r="B591" s="14" t="s">
        <v>2070</v>
      </c>
      <c r="C591" t="s">
        <v>2071</v>
      </c>
      <c r="D591" t="s">
        <v>2072</v>
      </c>
      <c r="E591" s="1">
        <v>44448</v>
      </c>
      <c r="F591" s="1">
        <v>44813</v>
      </c>
      <c r="G591" s="1">
        <v>45700</v>
      </c>
      <c r="H591" s="3">
        <v>45700</v>
      </c>
      <c r="I591" t="s">
        <v>2073</v>
      </c>
      <c r="J591" t="s">
        <v>2074</v>
      </c>
    </row>
    <row r="592" spans="1:10" x14ac:dyDescent="0.3">
      <c r="A592" t="s">
        <v>833</v>
      </c>
      <c r="B592" s="15" t="s">
        <v>834</v>
      </c>
      <c r="C592" t="s">
        <v>835</v>
      </c>
      <c r="D592" t="s">
        <v>836</v>
      </c>
      <c r="E592" s="1">
        <v>45490</v>
      </c>
      <c r="F592" s="1">
        <v>45490</v>
      </c>
      <c r="G592" s="1">
        <v>45702</v>
      </c>
      <c r="H592" s="3">
        <v>45702</v>
      </c>
      <c r="I592" t="s">
        <v>837</v>
      </c>
    </row>
    <row r="593" spans="1:10" x14ac:dyDescent="0.3">
      <c r="A593" t="s">
        <v>334</v>
      </c>
      <c r="B593" s="15" t="s">
        <v>335</v>
      </c>
      <c r="C593" t="s">
        <v>336</v>
      </c>
      <c r="D593" t="s">
        <v>337</v>
      </c>
      <c r="E593" s="1">
        <v>44732</v>
      </c>
      <c r="F593" s="1">
        <v>44732</v>
      </c>
      <c r="G593" s="1">
        <v>45706</v>
      </c>
      <c r="H593" s="3">
        <v>45706</v>
      </c>
      <c r="I593" t="s">
        <v>338</v>
      </c>
    </row>
    <row r="594" spans="1:10" x14ac:dyDescent="0.3">
      <c r="A594" t="s">
        <v>1825</v>
      </c>
      <c r="B594" s="14" t="s">
        <v>1826</v>
      </c>
      <c r="C594" t="s">
        <v>1827</v>
      </c>
      <c r="D594" t="s">
        <v>1828</v>
      </c>
      <c r="E594" s="1">
        <v>44659</v>
      </c>
      <c r="F594" s="1">
        <v>44659</v>
      </c>
      <c r="G594" s="1">
        <v>45706</v>
      </c>
      <c r="H594" s="3">
        <v>45706</v>
      </c>
      <c r="I594" t="s">
        <v>1829</v>
      </c>
    </row>
    <row r="595" spans="1:10" x14ac:dyDescent="0.3">
      <c r="A595" t="s">
        <v>3504</v>
      </c>
      <c r="B595" s="14" t="s">
        <v>3505</v>
      </c>
      <c r="C595" t="s">
        <v>3506</v>
      </c>
      <c r="D595" t="s">
        <v>3507</v>
      </c>
      <c r="E595" s="1">
        <v>45593</v>
      </c>
      <c r="F595" s="1">
        <v>45593</v>
      </c>
      <c r="G595" s="1">
        <v>45706</v>
      </c>
      <c r="H595" s="3">
        <v>45706</v>
      </c>
      <c r="I595" t="s">
        <v>3508</v>
      </c>
    </row>
    <row r="596" spans="1:10" x14ac:dyDescent="0.3">
      <c r="A596" t="s">
        <v>3751</v>
      </c>
      <c r="B596" s="14" t="s">
        <v>3752</v>
      </c>
      <c r="C596" t="s">
        <v>3753</v>
      </c>
      <c r="D596" t="s">
        <v>3754</v>
      </c>
      <c r="E596" s="1">
        <v>45139</v>
      </c>
      <c r="F596" s="1">
        <v>45139</v>
      </c>
      <c r="G596" s="1">
        <v>45712</v>
      </c>
      <c r="H596" s="3">
        <v>45712</v>
      </c>
      <c r="I596" t="s">
        <v>3755</v>
      </c>
      <c r="J596" t="s">
        <v>3756</v>
      </c>
    </row>
    <row r="597" spans="1:10" x14ac:dyDescent="0.3">
      <c r="A597" t="s">
        <v>610</v>
      </c>
      <c r="B597" s="15" t="s">
        <v>611</v>
      </c>
      <c r="C597" t="s">
        <v>612</v>
      </c>
      <c r="D597" t="s">
        <v>613</v>
      </c>
      <c r="E597" s="1">
        <v>45401</v>
      </c>
      <c r="F597" s="1">
        <v>45401</v>
      </c>
      <c r="G597" s="1">
        <v>45713</v>
      </c>
      <c r="H597" s="3">
        <v>45713</v>
      </c>
      <c r="I597" t="s">
        <v>614</v>
      </c>
    </row>
    <row r="598" spans="1:10" x14ac:dyDescent="0.3">
      <c r="A598" t="s">
        <v>4607</v>
      </c>
      <c r="B598" s="14" t="s">
        <v>4608</v>
      </c>
      <c r="C598" t="s">
        <v>4609</v>
      </c>
      <c r="D598" t="s">
        <v>4610</v>
      </c>
      <c r="E598" s="1">
        <v>45516</v>
      </c>
      <c r="F598" s="1">
        <v>45516</v>
      </c>
      <c r="G598" s="1">
        <v>45713</v>
      </c>
      <c r="H598" s="3">
        <v>45713</v>
      </c>
      <c r="I598" t="s">
        <v>4611</v>
      </c>
    </row>
    <row r="599" spans="1:10" x14ac:dyDescent="0.3">
      <c r="A599" t="s">
        <v>1196</v>
      </c>
      <c r="B599" s="14" t="s">
        <v>1197</v>
      </c>
      <c r="C599" t="s">
        <v>1198</v>
      </c>
      <c r="D599" t="s">
        <v>1199</v>
      </c>
      <c r="E599" s="1">
        <v>45544</v>
      </c>
      <c r="F599" s="1">
        <v>45544</v>
      </c>
      <c r="G599" s="1">
        <v>45716</v>
      </c>
      <c r="H599" s="3">
        <v>45716</v>
      </c>
      <c r="I599" t="s">
        <v>1200</v>
      </c>
    </row>
    <row r="600" spans="1:10" x14ac:dyDescent="0.3">
      <c r="A600" t="s">
        <v>1854</v>
      </c>
      <c r="B600" s="14" t="s">
        <v>1855</v>
      </c>
      <c r="C600" t="s">
        <v>1856</v>
      </c>
      <c r="D600" t="s">
        <v>1857</v>
      </c>
      <c r="E600" s="1">
        <v>45583</v>
      </c>
      <c r="F600" s="1">
        <v>45583</v>
      </c>
      <c r="G600" s="1">
        <v>45716</v>
      </c>
      <c r="H600" s="3">
        <v>45716</v>
      </c>
      <c r="I600" t="s">
        <v>1858</v>
      </c>
    </row>
    <row r="601" spans="1:10" x14ac:dyDescent="0.3">
      <c r="A601" t="s">
        <v>455</v>
      </c>
      <c r="B601" s="14" t="s">
        <v>456</v>
      </c>
      <c r="C601" t="s">
        <v>195</v>
      </c>
      <c r="D601" t="s">
        <v>457</v>
      </c>
      <c r="E601" s="1">
        <v>45267</v>
      </c>
      <c r="F601" s="1">
        <v>45267</v>
      </c>
      <c r="G601" s="1">
        <v>45720</v>
      </c>
      <c r="H601" s="3">
        <v>45720</v>
      </c>
      <c r="I601" t="s">
        <v>458</v>
      </c>
    </row>
    <row r="602" spans="1:10" x14ac:dyDescent="0.3">
      <c r="A602" t="s">
        <v>4254</v>
      </c>
      <c r="B602" s="14" t="s">
        <v>4255</v>
      </c>
      <c r="C602" t="s">
        <v>4256</v>
      </c>
      <c r="D602" t="s">
        <v>4256</v>
      </c>
      <c r="E602" s="1">
        <v>45055</v>
      </c>
      <c r="F602" s="1">
        <v>45055</v>
      </c>
      <c r="G602" s="1">
        <v>45721</v>
      </c>
      <c r="H602" s="3">
        <v>45721</v>
      </c>
      <c r="I602" t="s">
        <v>4257</v>
      </c>
    </row>
    <row r="603" spans="1:10" x14ac:dyDescent="0.3">
      <c r="A603" t="s">
        <v>1156</v>
      </c>
      <c r="B603" s="15" t="s">
        <v>1157</v>
      </c>
      <c r="C603" t="s">
        <v>1158</v>
      </c>
      <c r="D603" t="s">
        <v>1158</v>
      </c>
      <c r="E603" s="1">
        <v>45450</v>
      </c>
      <c r="F603" s="1">
        <v>45450</v>
      </c>
      <c r="G603" s="1">
        <v>45722</v>
      </c>
      <c r="H603" s="3">
        <v>45722</v>
      </c>
      <c r="I603" t="s">
        <v>1159</v>
      </c>
    </row>
    <row r="604" spans="1:10" x14ac:dyDescent="0.3">
      <c r="A604" t="s">
        <v>3513</v>
      </c>
      <c r="B604" s="15" t="s">
        <v>3514</v>
      </c>
      <c r="C604" t="s">
        <v>3515</v>
      </c>
      <c r="D604" t="s">
        <v>3516</v>
      </c>
      <c r="E604" s="1">
        <v>45496</v>
      </c>
      <c r="F604" s="1">
        <v>45496</v>
      </c>
      <c r="G604" s="1">
        <v>45727</v>
      </c>
      <c r="H604" s="3">
        <v>45727</v>
      </c>
      <c r="I604" t="s">
        <v>3517</v>
      </c>
    </row>
    <row r="605" spans="1:10" x14ac:dyDescent="0.3">
      <c r="A605" t="s">
        <v>4119</v>
      </c>
      <c r="B605" s="14" t="s">
        <v>4120</v>
      </c>
      <c r="C605" t="s">
        <v>4121</v>
      </c>
      <c r="D605" t="s">
        <v>4122</v>
      </c>
      <c r="E605" s="1">
        <v>45110</v>
      </c>
      <c r="F605" s="1">
        <v>45110</v>
      </c>
      <c r="G605" s="1">
        <v>45727</v>
      </c>
      <c r="H605" s="3">
        <v>45727</v>
      </c>
      <c r="I605" t="s">
        <v>4123</v>
      </c>
    </row>
    <row r="606" spans="1:10" x14ac:dyDescent="0.3">
      <c r="A606" t="s">
        <v>1421</v>
      </c>
      <c r="B606" s="14" t="s">
        <v>1422</v>
      </c>
      <c r="C606" t="s">
        <v>602</v>
      </c>
      <c r="D606" t="s">
        <v>1423</v>
      </c>
      <c r="E606" s="1">
        <v>45471</v>
      </c>
      <c r="F606" s="1">
        <v>45471</v>
      </c>
      <c r="G606" s="1">
        <v>45730</v>
      </c>
      <c r="H606" s="3">
        <v>45730</v>
      </c>
      <c r="I606" t="s">
        <v>1424</v>
      </c>
    </row>
    <row r="607" spans="1:10" x14ac:dyDescent="0.3">
      <c r="A607" t="s">
        <v>1537</v>
      </c>
      <c r="B607" s="14" t="s">
        <v>1538</v>
      </c>
      <c r="C607" t="s">
        <v>1539</v>
      </c>
      <c r="D607" t="s">
        <v>1540</v>
      </c>
      <c r="E607" s="1">
        <v>45597</v>
      </c>
      <c r="F607" s="1">
        <v>45597</v>
      </c>
      <c r="G607" s="1">
        <v>45730</v>
      </c>
      <c r="H607" s="3">
        <v>45730</v>
      </c>
      <c r="I607" t="s">
        <v>1541</v>
      </c>
    </row>
    <row r="608" spans="1:10" x14ac:dyDescent="0.3">
      <c r="A608" t="s">
        <v>1721</v>
      </c>
      <c r="B608" s="14" t="s">
        <v>1722</v>
      </c>
      <c r="C608" t="s">
        <v>1723</v>
      </c>
      <c r="D608" t="s">
        <v>1724</v>
      </c>
      <c r="E608" s="1">
        <v>45488</v>
      </c>
      <c r="F608" s="1">
        <v>45488</v>
      </c>
      <c r="G608" s="1">
        <v>45734</v>
      </c>
      <c r="H608" s="3">
        <v>45734</v>
      </c>
      <c r="I608" t="s">
        <v>1725</v>
      </c>
    </row>
    <row r="609" spans="1:9" x14ac:dyDescent="0.3">
      <c r="A609" t="s">
        <v>2978</v>
      </c>
      <c r="B609" s="15" t="s">
        <v>2979</v>
      </c>
      <c r="C609" t="s">
        <v>2980</v>
      </c>
      <c r="D609" t="s">
        <v>2981</v>
      </c>
      <c r="E609" s="1">
        <v>45355</v>
      </c>
      <c r="F609" s="1">
        <v>45355</v>
      </c>
      <c r="G609" s="1">
        <v>45734</v>
      </c>
      <c r="H609" s="3">
        <v>45734</v>
      </c>
      <c r="I609" t="s">
        <v>2982</v>
      </c>
    </row>
    <row r="610" spans="1:9" x14ac:dyDescent="0.3">
      <c r="A610" t="s">
        <v>181</v>
      </c>
      <c r="B610" s="14" t="s">
        <v>182</v>
      </c>
      <c r="C610" t="s">
        <v>167</v>
      </c>
      <c r="D610" t="s">
        <v>168</v>
      </c>
      <c r="E610" s="1">
        <v>44620</v>
      </c>
      <c r="F610" s="1">
        <v>44858</v>
      </c>
      <c r="G610" s="1">
        <v>45743</v>
      </c>
      <c r="H610" s="3">
        <v>45743</v>
      </c>
      <c r="I610" t="s">
        <v>183</v>
      </c>
    </row>
    <row r="611" spans="1:9" x14ac:dyDescent="0.3">
      <c r="A611" t="s">
        <v>817</v>
      </c>
      <c r="B611" s="14" t="s">
        <v>818</v>
      </c>
      <c r="C611" t="s">
        <v>819</v>
      </c>
      <c r="D611" t="s">
        <v>820</v>
      </c>
      <c r="E611" s="1">
        <v>45629</v>
      </c>
      <c r="F611" s="1">
        <v>45629</v>
      </c>
      <c r="G611" s="1">
        <v>45744</v>
      </c>
      <c r="H611" s="3">
        <v>45744</v>
      </c>
      <c r="I611" t="s">
        <v>821</v>
      </c>
    </row>
    <row r="612" spans="1:9" x14ac:dyDescent="0.3">
      <c r="A612" t="s">
        <v>688</v>
      </c>
      <c r="B612" s="14" t="s">
        <v>689</v>
      </c>
      <c r="C612" t="s">
        <v>690</v>
      </c>
      <c r="D612" t="s">
        <v>691</v>
      </c>
      <c r="E612" s="1">
        <v>45436</v>
      </c>
      <c r="F612" s="1">
        <v>45436</v>
      </c>
      <c r="G612" s="1">
        <v>45748</v>
      </c>
      <c r="H612" s="3">
        <v>45748</v>
      </c>
      <c r="I612" t="s">
        <v>692</v>
      </c>
    </row>
    <row r="613" spans="1:9" x14ac:dyDescent="0.3">
      <c r="A613" t="s">
        <v>843</v>
      </c>
      <c r="B613" s="14" t="s">
        <v>844</v>
      </c>
      <c r="C613" t="s">
        <v>845</v>
      </c>
      <c r="D613" t="s">
        <v>846</v>
      </c>
      <c r="E613" s="1">
        <v>45489</v>
      </c>
      <c r="F613" s="1">
        <v>45489</v>
      </c>
      <c r="G613" s="1">
        <v>45748</v>
      </c>
      <c r="H613" s="3">
        <v>45748</v>
      </c>
      <c r="I613" t="s">
        <v>847</v>
      </c>
    </row>
    <row r="614" spans="1:9" x14ac:dyDescent="0.3">
      <c r="A614" t="s">
        <v>1369</v>
      </c>
      <c r="B614" s="14" t="s">
        <v>1370</v>
      </c>
      <c r="C614" t="s">
        <v>1371</v>
      </c>
      <c r="D614" t="s">
        <v>1372</v>
      </c>
      <c r="E614" s="1">
        <v>45602</v>
      </c>
      <c r="F614" s="1">
        <v>45602</v>
      </c>
      <c r="G614" s="1">
        <v>45748</v>
      </c>
      <c r="H614" s="3">
        <v>45748</v>
      </c>
      <c r="I614" t="s">
        <v>1373</v>
      </c>
    </row>
    <row r="615" spans="1:9" x14ac:dyDescent="0.3">
      <c r="A615" t="s">
        <v>919</v>
      </c>
      <c r="B615" s="15" t="s">
        <v>920</v>
      </c>
      <c r="C615" t="s">
        <v>921</v>
      </c>
      <c r="D615" t="s">
        <v>921</v>
      </c>
      <c r="E615" s="1">
        <v>44539</v>
      </c>
      <c r="F615" s="1">
        <v>44796</v>
      </c>
      <c r="G615" s="1">
        <v>45750</v>
      </c>
      <c r="H615" s="3">
        <v>45750</v>
      </c>
      <c r="I615" t="s">
        <v>922</v>
      </c>
    </row>
    <row r="616" spans="1:9" x14ac:dyDescent="0.3">
      <c r="A616" t="s">
        <v>531</v>
      </c>
      <c r="B616" s="14" t="s">
        <v>532</v>
      </c>
      <c r="C616" t="s">
        <v>533</v>
      </c>
      <c r="D616" t="s">
        <v>534</v>
      </c>
      <c r="E616" s="1">
        <v>45644</v>
      </c>
      <c r="F616" s="1">
        <v>45644</v>
      </c>
      <c r="G616" s="1">
        <v>45751</v>
      </c>
      <c r="H616" s="3">
        <v>45751</v>
      </c>
      <c r="I616" t="s">
        <v>535</v>
      </c>
    </row>
    <row r="617" spans="1:9" x14ac:dyDescent="0.3">
      <c r="A617" t="s">
        <v>2934</v>
      </c>
      <c r="B617" s="15" t="s">
        <v>2935</v>
      </c>
      <c r="C617" t="s">
        <v>2936</v>
      </c>
      <c r="D617" t="s">
        <v>2937</v>
      </c>
      <c r="E617" s="1">
        <v>45519</v>
      </c>
      <c r="F617" s="1">
        <v>45519</v>
      </c>
      <c r="G617" s="1">
        <v>45751</v>
      </c>
      <c r="H617" s="3">
        <v>45751</v>
      </c>
      <c r="I617" t="s">
        <v>2938</v>
      </c>
    </row>
    <row r="618" spans="1:9" x14ac:dyDescent="0.3">
      <c r="A618" t="s">
        <v>4461</v>
      </c>
      <c r="B618" s="14" t="s">
        <v>4462</v>
      </c>
      <c r="C618" t="s">
        <v>4463</v>
      </c>
      <c r="D618" t="s">
        <v>4464</v>
      </c>
      <c r="E618" s="1">
        <v>45076</v>
      </c>
      <c r="F618" s="1">
        <v>45076</v>
      </c>
      <c r="G618" s="1">
        <v>45751</v>
      </c>
      <c r="H618" s="3">
        <v>45751</v>
      </c>
      <c r="I618" t="s">
        <v>4465</v>
      </c>
    </row>
    <row r="619" spans="1:9" x14ac:dyDescent="0.3">
      <c r="A619" t="s">
        <v>4777</v>
      </c>
      <c r="B619" s="14" t="s">
        <v>4778</v>
      </c>
      <c r="C619" t="s">
        <v>4779</v>
      </c>
      <c r="D619" t="s">
        <v>4780</v>
      </c>
      <c r="E619" s="1">
        <v>45454</v>
      </c>
      <c r="F619" s="1">
        <v>45454</v>
      </c>
      <c r="G619" s="1">
        <v>45751</v>
      </c>
      <c r="H619" s="3">
        <v>45751</v>
      </c>
      <c r="I619" t="s">
        <v>4781</v>
      </c>
    </row>
    <row r="620" spans="1:9" x14ac:dyDescent="0.3">
      <c r="A620" t="s">
        <v>3778</v>
      </c>
      <c r="B620" s="14" t="s">
        <v>3779</v>
      </c>
      <c r="C620" t="s">
        <v>3780</v>
      </c>
      <c r="D620" t="s">
        <v>3781</v>
      </c>
      <c r="E620" s="1">
        <v>45218</v>
      </c>
      <c r="F620" s="1">
        <v>45461</v>
      </c>
      <c r="G620" s="1">
        <v>45755</v>
      </c>
      <c r="H620" s="3">
        <v>45755</v>
      </c>
      <c r="I620" t="s">
        <v>3782</v>
      </c>
    </row>
    <row r="621" spans="1:9" x14ac:dyDescent="0.3">
      <c r="A621" t="s">
        <v>4099</v>
      </c>
      <c r="B621" s="14" t="s">
        <v>4100</v>
      </c>
      <c r="C621" t="s">
        <v>4101</v>
      </c>
      <c r="D621" t="s">
        <v>4102</v>
      </c>
      <c r="E621" s="1">
        <v>45594</v>
      </c>
      <c r="F621" s="1">
        <v>45594</v>
      </c>
      <c r="G621" s="1">
        <v>45755</v>
      </c>
      <c r="H621" s="3">
        <v>45755</v>
      </c>
      <c r="I621" t="s">
        <v>4103</v>
      </c>
    </row>
    <row r="622" spans="1:9" x14ac:dyDescent="0.3">
      <c r="A622" t="s">
        <v>699</v>
      </c>
      <c r="B622" s="15" t="s">
        <v>700</v>
      </c>
      <c r="C622" t="s">
        <v>701</v>
      </c>
      <c r="D622" t="s">
        <v>702</v>
      </c>
      <c r="E622" s="1">
        <v>45608</v>
      </c>
      <c r="F622" s="1">
        <v>45608</v>
      </c>
      <c r="G622" s="1">
        <v>45762</v>
      </c>
      <c r="H622" s="3">
        <v>45762</v>
      </c>
      <c r="I622" t="s">
        <v>703</v>
      </c>
    </row>
    <row r="623" spans="1:9" x14ac:dyDescent="0.3">
      <c r="A623" t="s">
        <v>3432</v>
      </c>
      <c r="B623" s="15" t="s">
        <v>3433</v>
      </c>
      <c r="C623" t="s">
        <v>3434</v>
      </c>
      <c r="D623" t="s">
        <v>3435</v>
      </c>
      <c r="E623" s="1">
        <v>45148</v>
      </c>
      <c r="F623" s="1">
        <v>45148</v>
      </c>
      <c r="G623" s="1">
        <v>45762</v>
      </c>
      <c r="H623" s="3">
        <v>45762</v>
      </c>
      <c r="I623" t="s">
        <v>3436</v>
      </c>
    </row>
    <row r="624" spans="1:9" x14ac:dyDescent="0.3">
      <c r="A624" t="s">
        <v>3465</v>
      </c>
      <c r="B624" s="15" t="s">
        <v>3466</v>
      </c>
      <c r="C624" t="s">
        <v>3467</v>
      </c>
      <c r="D624" t="s">
        <v>3468</v>
      </c>
      <c r="E624" s="1">
        <v>45707</v>
      </c>
      <c r="F624" s="1">
        <v>45707</v>
      </c>
      <c r="G624" s="1">
        <v>45762</v>
      </c>
      <c r="H624" s="3">
        <v>45762</v>
      </c>
      <c r="I624" t="s">
        <v>3469</v>
      </c>
    </row>
    <row r="625" spans="1:10" x14ac:dyDescent="0.3">
      <c r="A625" t="s">
        <v>339</v>
      </c>
      <c r="B625" s="14" t="s">
        <v>340</v>
      </c>
      <c r="C625" t="s">
        <v>341</v>
      </c>
      <c r="D625" t="s">
        <v>342</v>
      </c>
      <c r="E625" s="1">
        <v>44552</v>
      </c>
      <c r="F625" s="1">
        <v>44552</v>
      </c>
      <c r="G625" s="1">
        <v>45765</v>
      </c>
      <c r="H625" s="3">
        <v>45765</v>
      </c>
      <c r="I625" t="s">
        <v>343</v>
      </c>
      <c r="J625" t="s">
        <v>344</v>
      </c>
    </row>
    <row r="626" spans="1:10" x14ac:dyDescent="0.3">
      <c r="A626" t="s">
        <v>673</v>
      </c>
      <c r="B626" s="14" t="s">
        <v>674</v>
      </c>
      <c r="C626" t="s">
        <v>675</v>
      </c>
      <c r="D626" t="s">
        <v>676</v>
      </c>
      <c r="E626" s="1">
        <v>45246</v>
      </c>
      <c r="F626" s="1">
        <v>45246</v>
      </c>
      <c r="G626" s="1">
        <v>45765</v>
      </c>
      <c r="H626" s="3">
        <v>45765</v>
      </c>
      <c r="I626" t="s">
        <v>677</v>
      </c>
    </row>
    <row r="627" spans="1:10" x14ac:dyDescent="0.3">
      <c r="A627" t="s">
        <v>188</v>
      </c>
      <c r="B627" s="15" t="s">
        <v>189</v>
      </c>
      <c r="C627" t="s">
        <v>190</v>
      </c>
      <c r="D627" t="s">
        <v>191</v>
      </c>
      <c r="E627" s="1">
        <v>44550</v>
      </c>
      <c r="F627" s="1">
        <v>44550</v>
      </c>
      <c r="G627" s="1">
        <v>45769</v>
      </c>
      <c r="H627" s="3">
        <v>45769</v>
      </c>
      <c r="I627" t="s">
        <v>192</v>
      </c>
    </row>
    <row r="628" spans="1:10" x14ac:dyDescent="0.3">
      <c r="A628" t="s">
        <v>236</v>
      </c>
      <c r="B628" s="14" t="s">
        <v>237</v>
      </c>
      <c r="C628" t="s">
        <v>238</v>
      </c>
      <c r="D628" t="s">
        <v>239</v>
      </c>
      <c r="E628" s="1">
        <v>45577</v>
      </c>
      <c r="F628" s="1">
        <v>45577</v>
      </c>
      <c r="G628" s="1">
        <v>45769</v>
      </c>
      <c r="H628" s="3">
        <v>45769</v>
      </c>
      <c r="I628" t="s">
        <v>240</v>
      </c>
    </row>
    <row r="629" spans="1:10" x14ac:dyDescent="0.3">
      <c r="A629" t="s">
        <v>913</v>
      </c>
      <c r="B629" s="14" t="s">
        <v>914</v>
      </c>
      <c r="C629" t="s">
        <v>915</v>
      </c>
      <c r="D629" t="s">
        <v>916</v>
      </c>
      <c r="E629" s="1">
        <v>45103</v>
      </c>
      <c r="F629" s="1">
        <v>45267</v>
      </c>
      <c r="G629" s="1">
        <v>45771</v>
      </c>
      <c r="H629" s="3">
        <v>45771</v>
      </c>
      <c r="I629" t="s">
        <v>917</v>
      </c>
      <c r="J629" t="s">
        <v>918</v>
      </c>
    </row>
    <row r="630" spans="1:10" x14ac:dyDescent="0.3">
      <c r="A630" t="s">
        <v>1329</v>
      </c>
      <c r="B630" s="14" t="s">
        <v>1330</v>
      </c>
      <c r="C630" t="s">
        <v>1331</v>
      </c>
      <c r="D630" t="s">
        <v>1332</v>
      </c>
      <c r="E630" s="1">
        <v>44363</v>
      </c>
      <c r="F630" s="1">
        <v>44363</v>
      </c>
      <c r="G630" s="1">
        <v>45772</v>
      </c>
      <c r="H630" s="3">
        <v>45772</v>
      </c>
      <c r="I630" t="s">
        <v>1333</v>
      </c>
    </row>
    <row r="631" spans="1:10" x14ac:dyDescent="0.3">
      <c r="A631" t="s">
        <v>17</v>
      </c>
      <c r="B631" s="14" t="s">
        <v>18</v>
      </c>
      <c r="C631" t="s">
        <v>19</v>
      </c>
      <c r="D631" t="s">
        <v>20</v>
      </c>
      <c r="E631" s="1">
        <v>45426</v>
      </c>
      <c r="F631" s="1">
        <v>45426</v>
      </c>
      <c r="G631" s="1">
        <v>45779</v>
      </c>
      <c r="H631" s="3">
        <v>45779</v>
      </c>
      <c r="I631" t="s">
        <v>21</v>
      </c>
    </row>
    <row r="632" spans="1:10" x14ac:dyDescent="0.3">
      <c r="A632" t="s">
        <v>4280</v>
      </c>
      <c r="B632" s="14" t="s">
        <v>4281</v>
      </c>
      <c r="C632" t="s">
        <v>4282</v>
      </c>
      <c r="D632" t="s">
        <v>4283</v>
      </c>
      <c r="E632" s="1">
        <v>45489</v>
      </c>
      <c r="F632" s="1">
        <v>45489</v>
      </c>
      <c r="G632" s="1">
        <v>45779</v>
      </c>
      <c r="H632" s="3">
        <v>45779</v>
      </c>
      <c r="I632" t="s">
        <v>4284</v>
      </c>
    </row>
    <row r="633" spans="1:10" x14ac:dyDescent="0.3">
      <c r="A633" t="s">
        <v>4688</v>
      </c>
      <c r="B633" s="14" t="s">
        <v>4689</v>
      </c>
      <c r="C633" t="s">
        <v>4690</v>
      </c>
      <c r="D633" t="s">
        <v>4691</v>
      </c>
      <c r="E633" s="1">
        <v>45496</v>
      </c>
      <c r="F633" s="1">
        <v>45496</v>
      </c>
      <c r="G633" s="1">
        <v>45779</v>
      </c>
      <c r="H633" s="3">
        <v>45779</v>
      </c>
      <c r="I633" t="s">
        <v>4692</v>
      </c>
    </row>
    <row r="634" spans="1:10" x14ac:dyDescent="0.3">
      <c r="A634" t="s">
        <v>2855</v>
      </c>
      <c r="B634" s="14" t="s">
        <v>2856</v>
      </c>
      <c r="C634" t="s">
        <v>2857</v>
      </c>
      <c r="D634" t="s">
        <v>2858</v>
      </c>
      <c r="E634" s="1">
        <v>45722</v>
      </c>
      <c r="F634" s="1">
        <v>45722</v>
      </c>
      <c r="G634" s="1">
        <v>45786</v>
      </c>
      <c r="H634" s="3">
        <v>45786</v>
      </c>
      <c r="I634" t="s">
        <v>2859</v>
      </c>
    </row>
    <row r="635" spans="1:10" x14ac:dyDescent="0.3">
      <c r="A635" t="s">
        <v>4249</v>
      </c>
      <c r="B635" s="14" t="s">
        <v>4250</v>
      </c>
      <c r="C635" t="s">
        <v>4251</v>
      </c>
      <c r="D635" t="s">
        <v>4252</v>
      </c>
      <c r="E635" s="1">
        <v>45510</v>
      </c>
      <c r="F635" s="1">
        <v>45510</v>
      </c>
      <c r="G635" s="1">
        <v>45786</v>
      </c>
      <c r="H635" s="3">
        <v>45786</v>
      </c>
      <c r="I635" t="s">
        <v>4253</v>
      </c>
    </row>
    <row r="636" spans="1:10" x14ac:dyDescent="0.3">
      <c r="A636" t="s">
        <v>802</v>
      </c>
      <c r="B636" s="14" t="s">
        <v>803</v>
      </c>
      <c r="C636" t="s">
        <v>804</v>
      </c>
      <c r="D636" t="s">
        <v>805</v>
      </c>
      <c r="E636" s="1">
        <v>45541</v>
      </c>
      <c r="F636" s="1">
        <v>45541</v>
      </c>
      <c r="G636" s="1">
        <v>45790</v>
      </c>
      <c r="H636" s="3">
        <v>45790</v>
      </c>
      <c r="I636" t="s">
        <v>806</v>
      </c>
    </row>
    <row r="637" spans="1:10" x14ac:dyDescent="0.3">
      <c r="A637" t="s">
        <v>1935</v>
      </c>
      <c r="B637" s="14" t="s">
        <v>1936</v>
      </c>
      <c r="C637" t="s">
        <v>1937</v>
      </c>
      <c r="D637" t="s">
        <v>1938</v>
      </c>
      <c r="E637" s="1">
        <v>45722</v>
      </c>
      <c r="F637" s="1">
        <v>45722</v>
      </c>
      <c r="G637" s="1">
        <v>45790</v>
      </c>
      <c r="H637" s="3">
        <v>45790</v>
      </c>
      <c r="I637" t="s">
        <v>1939</v>
      </c>
    </row>
    <row r="638" spans="1:10" x14ac:dyDescent="0.3">
      <c r="A638" t="s">
        <v>3939</v>
      </c>
      <c r="B638" s="14" t="s">
        <v>3940</v>
      </c>
      <c r="C638" t="s">
        <v>3941</v>
      </c>
      <c r="D638" t="s">
        <v>3942</v>
      </c>
      <c r="E638" s="1">
        <v>45286</v>
      </c>
      <c r="F638" s="1">
        <v>45286</v>
      </c>
      <c r="G638" s="1">
        <v>45790</v>
      </c>
      <c r="H638" s="3">
        <v>45790</v>
      </c>
      <c r="I638" t="s">
        <v>3943</v>
      </c>
    </row>
    <row r="639" spans="1:10" x14ac:dyDescent="0.3">
      <c r="A639" t="s">
        <v>1213</v>
      </c>
      <c r="B639" s="15" t="s">
        <v>1214</v>
      </c>
      <c r="C639" t="s">
        <v>1215</v>
      </c>
      <c r="D639" t="s">
        <v>1216</v>
      </c>
      <c r="E639" s="1">
        <v>45755</v>
      </c>
      <c r="F639" s="1">
        <v>45755</v>
      </c>
      <c r="G639" s="1">
        <v>45793</v>
      </c>
      <c r="H639" s="3">
        <v>45793</v>
      </c>
      <c r="I639" t="s">
        <v>1217</v>
      </c>
    </row>
    <row r="640" spans="1:10" x14ac:dyDescent="0.3">
      <c r="A640" t="s">
        <v>590</v>
      </c>
      <c r="B640" s="15" t="s">
        <v>591</v>
      </c>
      <c r="C640" t="s">
        <v>592</v>
      </c>
      <c r="D640" t="s">
        <v>593</v>
      </c>
      <c r="E640" s="1">
        <v>45671</v>
      </c>
      <c r="F640" s="1">
        <v>45671</v>
      </c>
      <c r="G640" s="1">
        <v>45797</v>
      </c>
      <c r="H640" s="3">
        <v>45797</v>
      </c>
      <c r="I640" t="s">
        <v>594</v>
      </c>
    </row>
    <row r="641" spans="1:10" x14ac:dyDescent="0.3">
      <c r="A641" t="s">
        <v>1561</v>
      </c>
      <c r="B641" s="15" t="s">
        <v>1562</v>
      </c>
      <c r="C641" t="s">
        <v>1563</v>
      </c>
      <c r="D641" t="s">
        <v>1564</v>
      </c>
      <c r="E641" s="1">
        <v>45559</v>
      </c>
      <c r="F641" s="1">
        <v>45559</v>
      </c>
      <c r="G641" s="1">
        <v>45800</v>
      </c>
      <c r="H641" s="3">
        <v>45800</v>
      </c>
      <c r="I641" t="s">
        <v>1565</v>
      </c>
    </row>
    <row r="642" spans="1:10" x14ac:dyDescent="0.3">
      <c r="A642" t="s">
        <v>1679</v>
      </c>
      <c r="B642" s="14" t="s">
        <v>1680</v>
      </c>
      <c r="C642" t="s">
        <v>1681</v>
      </c>
      <c r="D642" t="s">
        <v>1682</v>
      </c>
      <c r="E642" s="1">
        <v>45743</v>
      </c>
      <c r="F642" s="1">
        <v>45743</v>
      </c>
      <c r="G642" s="1">
        <v>45800</v>
      </c>
      <c r="H642" s="3">
        <v>45800</v>
      </c>
      <c r="I642" t="s">
        <v>1683</v>
      </c>
    </row>
    <row r="643" spans="1:10" x14ac:dyDescent="0.3">
      <c r="A643" t="s">
        <v>2101</v>
      </c>
      <c r="B643" s="14" t="s">
        <v>2102</v>
      </c>
      <c r="C643" t="s">
        <v>2103</v>
      </c>
      <c r="D643" t="s">
        <v>2104</v>
      </c>
      <c r="E643" s="1">
        <v>45741</v>
      </c>
      <c r="F643" s="1">
        <v>45741</v>
      </c>
      <c r="G643" s="1">
        <v>45814</v>
      </c>
      <c r="H643" s="3">
        <v>45814</v>
      </c>
      <c r="I643" t="s">
        <v>2105</v>
      </c>
    </row>
    <row r="644" spans="1:10" x14ac:dyDescent="0.3">
      <c r="A644" t="s">
        <v>3642</v>
      </c>
      <c r="B644" s="14" t="s">
        <v>3643</v>
      </c>
      <c r="C644" t="s">
        <v>3644</v>
      </c>
      <c r="D644" t="s">
        <v>3645</v>
      </c>
      <c r="E644" s="1">
        <v>45708</v>
      </c>
      <c r="F644" s="1">
        <v>45708</v>
      </c>
      <c r="G644" s="1">
        <v>45814</v>
      </c>
      <c r="H644" s="3">
        <v>45814</v>
      </c>
      <c r="I644" t="s">
        <v>3646</v>
      </c>
    </row>
    <row r="645" spans="1:10" x14ac:dyDescent="0.3">
      <c r="A645" t="s">
        <v>4330</v>
      </c>
      <c r="B645" s="14" t="s">
        <v>4331</v>
      </c>
      <c r="C645" t="s">
        <v>4332</v>
      </c>
      <c r="D645" t="s">
        <v>4333</v>
      </c>
      <c r="E645" s="1">
        <v>45744</v>
      </c>
      <c r="F645" s="1">
        <v>45744</v>
      </c>
      <c r="G645" s="1">
        <v>45814</v>
      </c>
      <c r="H645" s="3">
        <v>45814</v>
      </c>
      <c r="I645" t="s">
        <v>4334</v>
      </c>
    </row>
    <row r="646" spans="1:10" x14ac:dyDescent="0.3">
      <c r="A646" t="s">
        <v>459</v>
      </c>
      <c r="B646" s="15" t="s">
        <v>460</v>
      </c>
      <c r="C646" t="s">
        <v>461</v>
      </c>
      <c r="D646" t="s">
        <v>462</v>
      </c>
      <c r="E646" s="1">
        <v>45736</v>
      </c>
      <c r="F646" s="1">
        <v>45736</v>
      </c>
      <c r="G646" s="1">
        <v>45818</v>
      </c>
      <c r="H646" s="3">
        <v>45818</v>
      </c>
      <c r="I646" t="s">
        <v>463</v>
      </c>
    </row>
    <row r="647" spans="1:10" x14ac:dyDescent="0.3">
      <c r="A647" t="s">
        <v>3534</v>
      </c>
      <c r="B647" s="14" t="s">
        <v>3535</v>
      </c>
      <c r="C647" t="s">
        <v>3536</v>
      </c>
      <c r="D647" t="s">
        <v>3537</v>
      </c>
      <c r="E647" s="1">
        <v>45756</v>
      </c>
      <c r="F647" s="1">
        <v>45756</v>
      </c>
      <c r="G647" s="1">
        <v>45818</v>
      </c>
      <c r="H647" s="3">
        <v>45818</v>
      </c>
      <c r="I647" t="s">
        <v>3538</v>
      </c>
    </row>
    <row r="648" spans="1:10" x14ac:dyDescent="0.3">
      <c r="A648" t="s">
        <v>3949</v>
      </c>
      <c r="B648" s="14" t="s">
        <v>3950</v>
      </c>
      <c r="C648" t="s">
        <v>3951</v>
      </c>
      <c r="D648" t="s">
        <v>3952</v>
      </c>
      <c r="E648" s="1">
        <v>45544</v>
      </c>
      <c r="F648" s="1">
        <v>45544</v>
      </c>
      <c r="G648" s="1">
        <v>45818</v>
      </c>
      <c r="H648" s="3">
        <v>45818</v>
      </c>
      <c r="I648" t="s">
        <v>3953</v>
      </c>
    </row>
    <row r="649" spans="1:10" x14ac:dyDescent="0.3">
      <c r="A649" t="s">
        <v>754</v>
      </c>
      <c r="B649" s="14" t="s">
        <v>755</v>
      </c>
      <c r="C649" t="s">
        <v>756</v>
      </c>
      <c r="D649" t="s">
        <v>757</v>
      </c>
      <c r="E649" s="1">
        <v>45762</v>
      </c>
      <c r="F649" s="1">
        <v>45762</v>
      </c>
      <c r="G649" s="1">
        <v>45821</v>
      </c>
      <c r="H649" s="3">
        <v>45821</v>
      </c>
      <c r="I649" t="s">
        <v>758</v>
      </c>
    </row>
    <row r="650" spans="1:10" x14ac:dyDescent="0.3">
      <c r="A650" t="s">
        <v>2844</v>
      </c>
      <c r="B650" s="14" t="s">
        <v>2845</v>
      </c>
      <c r="C650" t="s">
        <v>2846</v>
      </c>
      <c r="D650" t="s">
        <v>2847</v>
      </c>
      <c r="E650" s="1">
        <v>45477</v>
      </c>
      <c r="F650" s="1">
        <v>45477</v>
      </c>
      <c r="G650" s="1">
        <v>45821</v>
      </c>
      <c r="H650" s="3">
        <v>45821</v>
      </c>
      <c r="I650" t="s">
        <v>2848</v>
      </c>
    </row>
    <row r="651" spans="1:10" x14ac:dyDescent="0.3">
      <c r="A651" t="s">
        <v>1299</v>
      </c>
      <c r="B651" s="14" t="s">
        <v>1300</v>
      </c>
      <c r="C651" t="s">
        <v>1301</v>
      </c>
      <c r="D651" t="s">
        <v>1302</v>
      </c>
      <c r="E651" s="1">
        <v>45671</v>
      </c>
      <c r="F651" s="1">
        <v>45671</v>
      </c>
      <c r="G651" s="1">
        <v>45825</v>
      </c>
      <c r="H651" s="3">
        <v>45825</v>
      </c>
      <c r="I651" t="s">
        <v>1303</v>
      </c>
    </row>
    <row r="652" spans="1:10" x14ac:dyDescent="0.3">
      <c r="A652" t="s">
        <v>3256</v>
      </c>
      <c r="B652" s="14" t="s">
        <v>3257</v>
      </c>
      <c r="C652" t="s">
        <v>3258</v>
      </c>
      <c r="D652" t="s">
        <v>3259</v>
      </c>
      <c r="E652" s="1">
        <v>45561</v>
      </c>
      <c r="F652" s="1">
        <v>45561</v>
      </c>
      <c r="G652" s="1">
        <v>45825</v>
      </c>
      <c r="H652" s="3">
        <v>45825</v>
      </c>
      <c r="I652" t="s">
        <v>3260</v>
      </c>
      <c r="J652" t="s">
        <v>3261</v>
      </c>
    </row>
    <row r="653" spans="1:10" x14ac:dyDescent="0.3">
      <c r="A653" t="s">
        <v>557</v>
      </c>
      <c r="B653" s="14" t="s">
        <v>558</v>
      </c>
      <c r="C653" t="s">
        <v>559</v>
      </c>
      <c r="D653" t="s">
        <v>560</v>
      </c>
      <c r="E653" s="1">
        <v>45345</v>
      </c>
      <c r="F653" s="1">
        <v>45638</v>
      </c>
      <c r="G653" s="1">
        <v>45827</v>
      </c>
      <c r="H653" s="3">
        <v>45827</v>
      </c>
      <c r="I653" t="s">
        <v>561</v>
      </c>
    </row>
    <row r="654" spans="1:10" x14ac:dyDescent="0.3">
      <c r="A654" t="s">
        <v>345</v>
      </c>
      <c r="B654" s="14" t="s">
        <v>346</v>
      </c>
      <c r="C654" t="s">
        <v>347</v>
      </c>
      <c r="D654" t="s">
        <v>348</v>
      </c>
      <c r="E654" s="1">
        <v>45593</v>
      </c>
      <c r="F654" s="1">
        <v>45593</v>
      </c>
      <c r="G654" s="1">
        <v>45828</v>
      </c>
      <c r="H654" s="3">
        <v>45828</v>
      </c>
      <c r="I654" t="s">
        <v>349</v>
      </c>
    </row>
    <row r="655" spans="1:10" x14ac:dyDescent="0.3">
      <c r="A655" t="s">
        <v>562</v>
      </c>
      <c r="B655" s="14" t="s">
        <v>563</v>
      </c>
      <c r="C655" t="s">
        <v>564</v>
      </c>
      <c r="D655" t="s">
        <v>565</v>
      </c>
      <c r="E655" s="1">
        <v>45765</v>
      </c>
      <c r="F655" s="1">
        <v>45765</v>
      </c>
      <c r="G655" s="1">
        <v>45828</v>
      </c>
      <c r="H655" s="3">
        <v>45828</v>
      </c>
      <c r="I655" t="s">
        <v>566</v>
      </c>
    </row>
    <row r="656" spans="1:10" x14ac:dyDescent="0.3">
      <c r="A656" t="s">
        <v>1465</v>
      </c>
      <c r="B656" s="14" t="s">
        <v>1466</v>
      </c>
      <c r="C656" t="s">
        <v>1467</v>
      </c>
      <c r="D656" t="s">
        <v>1468</v>
      </c>
      <c r="E656" s="1">
        <v>45663</v>
      </c>
      <c r="F656" s="1">
        <v>45663</v>
      </c>
      <c r="G656" s="1">
        <v>45828</v>
      </c>
      <c r="H656" s="3">
        <v>45828</v>
      </c>
      <c r="I656" t="s">
        <v>1469</v>
      </c>
    </row>
    <row r="657" spans="1:9" x14ac:dyDescent="0.3">
      <c r="A657" t="s">
        <v>3934</v>
      </c>
      <c r="B657" s="14" t="s">
        <v>3935</v>
      </c>
      <c r="C657" t="s">
        <v>3936</v>
      </c>
      <c r="D657" t="s">
        <v>3937</v>
      </c>
      <c r="E657" s="1">
        <v>45761</v>
      </c>
      <c r="F657" s="1">
        <v>45761</v>
      </c>
      <c r="G657" s="1">
        <v>45828</v>
      </c>
      <c r="H657" s="3">
        <v>45828</v>
      </c>
      <c r="I657" t="s">
        <v>3938</v>
      </c>
    </row>
    <row r="658" spans="1:9" x14ac:dyDescent="0.3">
      <c r="A658" t="s">
        <v>3273</v>
      </c>
      <c r="B658" s="14" t="s">
        <v>3274</v>
      </c>
      <c r="C658" t="s">
        <v>3275</v>
      </c>
      <c r="D658" t="s">
        <v>3276</v>
      </c>
      <c r="E658" s="1">
        <v>45761</v>
      </c>
      <c r="F658" s="1">
        <v>45761</v>
      </c>
      <c r="G658" s="1">
        <v>45832</v>
      </c>
      <c r="H658" s="3">
        <v>45832</v>
      </c>
      <c r="I658" t="s">
        <v>3277</v>
      </c>
    </row>
    <row r="659" spans="1:9" x14ac:dyDescent="0.3">
      <c r="A659" t="s">
        <v>4129</v>
      </c>
      <c r="B659" s="14" t="s">
        <v>4130</v>
      </c>
      <c r="C659" t="s">
        <v>4131</v>
      </c>
      <c r="D659" t="s">
        <v>4132</v>
      </c>
      <c r="E659" s="1">
        <v>45720</v>
      </c>
      <c r="F659" s="1">
        <v>45720</v>
      </c>
      <c r="G659" s="1">
        <v>45832</v>
      </c>
      <c r="H659" s="3">
        <v>45832</v>
      </c>
      <c r="I659" t="s">
        <v>4133</v>
      </c>
    </row>
    <row r="660" spans="1:9" x14ac:dyDescent="0.3">
      <c r="A660" t="s">
        <v>2190</v>
      </c>
      <c r="B660" s="14" t="s">
        <v>2191</v>
      </c>
      <c r="C660" t="s">
        <v>2192</v>
      </c>
      <c r="D660" t="s">
        <v>2192</v>
      </c>
      <c r="E660" s="1">
        <v>44644</v>
      </c>
      <c r="F660" s="1">
        <v>44644</v>
      </c>
      <c r="G660" s="1">
        <v>45833</v>
      </c>
      <c r="H660" s="3">
        <v>45833</v>
      </c>
      <c r="I660" t="s">
        <v>2193</v>
      </c>
    </row>
    <row r="661" spans="1:9" x14ac:dyDescent="0.3">
      <c r="A661" t="s">
        <v>898</v>
      </c>
      <c r="B661" s="14" t="s">
        <v>899</v>
      </c>
      <c r="C661" t="s">
        <v>900</v>
      </c>
      <c r="D661" t="s">
        <v>901</v>
      </c>
      <c r="E661" s="1">
        <v>45512</v>
      </c>
      <c r="F661" s="1">
        <v>45512</v>
      </c>
      <c r="G661" s="1">
        <v>45835</v>
      </c>
      <c r="H661" s="3">
        <v>45835</v>
      </c>
      <c r="I661" t="s">
        <v>902</v>
      </c>
    </row>
    <row r="662" spans="1:9" x14ac:dyDescent="0.3">
      <c r="A662" t="s">
        <v>3361</v>
      </c>
      <c r="B662" s="14" t="s">
        <v>3362</v>
      </c>
      <c r="C662" t="s">
        <v>3363</v>
      </c>
      <c r="D662" t="s">
        <v>3364</v>
      </c>
      <c r="E662" s="1">
        <v>45532</v>
      </c>
      <c r="F662" s="1">
        <v>45532</v>
      </c>
      <c r="G662" s="1">
        <v>45835</v>
      </c>
      <c r="H662" s="3">
        <v>45835</v>
      </c>
      <c r="I662" t="s">
        <v>3365</v>
      </c>
    </row>
    <row r="663" spans="1:9" x14ac:dyDescent="0.3">
      <c r="A663" t="s">
        <v>3366</v>
      </c>
      <c r="B663" s="14" t="s">
        <v>3367</v>
      </c>
      <c r="C663" t="s">
        <v>3368</v>
      </c>
      <c r="D663" t="s">
        <v>3369</v>
      </c>
      <c r="E663" s="1">
        <v>44643</v>
      </c>
      <c r="F663" s="1">
        <v>44643</v>
      </c>
      <c r="G663" s="1">
        <v>45835</v>
      </c>
      <c r="H663" s="3">
        <v>45835</v>
      </c>
      <c r="I663" t="s">
        <v>3370</v>
      </c>
    </row>
    <row r="664" spans="1:9" x14ac:dyDescent="0.3">
      <c r="A664" t="s">
        <v>308</v>
      </c>
      <c r="B664" s="14" t="s">
        <v>309</v>
      </c>
      <c r="C664" t="s">
        <v>310</v>
      </c>
      <c r="D664" t="s">
        <v>311</v>
      </c>
      <c r="E664" s="1">
        <v>44943</v>
      </c>
      <c r="F664" s="1">
        <v>44943</v>
      </c>
      <c r="G664" s="1">
        <v>45839</v>
      </c>
      <c r="H664" s="3">
        <v>45839</v>
      </c>
      <c r="I664" t="s">
        <v>312</v>
      </c>
    </row>
    <row r="665" spans="1:9" x14ac:dyDescent="0.3">
      <c r="A665" t="s">
        <v>874</v>
      </c>
      <c r="B665" s="14" t="s">
        <v>875</v>
      </c>
      <c r="C665" t="s">
        <v>426</v>
      </c>
      <c r="D665" t="s">
        <v>876</v>
      </c>
      <c r="E665" s="1">
        <v>45754</v>
      </c>
      <c r="F665" s="1">
        <v>45754</v>
      </c>
      <c r="G665" s="1">
        <v>45839</v>
      </c>
      <c r="H665" s="3">
        <v>45839</v>
      </c>
      <c r="I665" t="s">
        <v>877</v>
      </c>
    </row>
    <row r="666" spans="1:9" x14ac:dyDescent="0.3">
      <c r="A666" t="s">
        <v>1273</v>
      </c>
      <c r="B666" s="14" t="s">
        <v>1274</v>
      </c>
      <c r="C666" t="s">
        <v>1275</v>
      </c>
      <c r="D666" t="s">
        <v>1276</v>
      </c>
      <c r="E666" s="1">
        <v>45771</v>
      </c>
      <c r="F666" s="1">
        <v>45771</v>
      </c>
      <c r="G666" s="1">
        <v>45839</v>
      </c>
      <c r="H666" s="3">
        <v>45839</v>
      </c>
      <c r="I666" t="s">
        <v>1277</v>
      </c>
    </row>
    <row r="667" spans="1:9" x14ac:dyDescent="0.3">
      <c r="A667" t="s">
        <v>4587</v>
      </c>
      <c r="B667" s="14" t="s">
        <v>4588</v>
      </c>
      <c r="C667" t="s">
        <v>447</v>
      </c>
      <c r="D667" t="s">
        <v>4589</v>
      </c>
      <c r="E667" s="1">
        <v>44845</v>
      </c>
      <c r="F667" s="1">
        <v>44845</v>
      </c>
      <c r="G667" s="1">
        <v>45839</v>
      </c>
      <c r="H667" s="3">
        <v>45839</v>
      </c>
      <c r="I667" t="s">
        <v>4590</v>
      </c>
    </row>
    <row r="668" spans="1:9" x14ac:dyDescent="0.3">
      <c r="A668" t="s">
        <v>990</v>
      </c>
      <c r="B668" s="14" t="s">
        <v>991</v>
      </c>
      <c r="C668" t="s">
        <v>992</v>
      </c>
      <c r="D668" t="s">
        <v>993</v>
      </c>
      <c r="E668" s="1">
        <v>45583</v>
      </c>
      <c r="F668" s="1">
        <v>45583</v>
      </c>
      <c r="G668" s="1">
        <v>45842</v>
      </c>
      <c r="H668" s="3">
        <v>45842</v>
      </c>
      <c r="I668" t="s">
        <v>994</v>
      </c>
    </row>
    <row r="669" spans="1:9" x14ac:dyDescent="0.3">
      <c r="A669" t="s">
        <v>1069</v>
      </c>
      <c r="B669" s="14" t="s">
        <v>1070</v>
      </c>
      <c r="C669" t="s">
        <v>1071</v>
      </c>
      <c r="D669" t="s">
        <v>1072</v>
      </c>
      <c r="E669" s="1">
        <v>45733</v>
      </c>
      <c r="F669" s="1">
        <v>45733</v>
      </c>
      <c r="G669" s="1">
        <v>45846</v>
      </c>
      <c r="H669" s="3">
        <v>45846</v>
      </c>
      <c r="I669" t="s">
        <v>1073</v>
      </c>
    </row>
    <row r="670" spans="1:9" x14ac:dyDescent="0.3">
      <c r="A670" t="s">
        <v>1955</v>
      </c>
      <c r="B670" s="14" t="s">
        <v>1956</v>
      </c>
      <c r="C670" t="s">
        <v>741</v>
      </c>
      <c r="D670" t="s">
        <v>1957</v>
      </c>
      <c r="E670" s="1">
        <v>45749</v>
      </c>
      <c r="F670" s="1">
        <v>45749</v>
      </c>
      <c r="G670" s="1">
        <v>45846</v>
      </c>
      <c r="H670" s="3">
        <v>45846</v>
      </c>
      <c r="I670" t="s">
        <v>1958</v>
      </c>
    </row>
    <row r="671" spans="1:9" x14ac:dyDescent="0.3">
      <c r="A671" t="s">
        <v>2648</v>
      </c>
      <c r="B671" s="14" t="s">
        <v>2649</v>
      </c>
      <c r="C671" t="s">
        <v>1640</v>
      </c>
      <c r="D671" t="s">
        <v>2650</v>
      </c>
      <c r="E671" s="1">
        <v>45544</v>
      </c>
      <c r="F671" s="1">
        <v>45544</v>
      </c>
      <c r="G671" s="1">
        <v>45846</v>
      </c>
      <c r="H671" s="3">
        <v>45846</v>
      </c>
      <c r="I671" t="s">
        <v>2651</v>
      </c>
    </row>
    <row r="672" spans="1:9" x14ac:dyDescent="0.3">
      <c r="A672" t="s">
        <v>2728</v>
      </c>
      <c r="B672" s="14" t="s">
        <v>2729</v>
      </c>
      <c r="C672" t="s">
        <v>2730</v>
      </c>
      <c r="D672" t="s">
        <v>2731</v>
      </c>
      <c r="E672" s="1">
        <v>45699</v>
      </c>
      <c r="F672" s="1">
        <v>45699</v>
      </c>
      <c r="G672" s="1">
        <v>45846</v>
      </c>
      <c r="H672" s="3">
        <v>45846</v>
      </c>
      <c r="I672" t="s">
        <v>2732</v>
      </c>
    </row>
    <row r="673" spans="1:9" x14ac:dyDescent="0.3">
      <c r="A673" t="s">
        <v>2750</v>
      </c>
      <c r="B673" s="14" t="s">
        <v>2751</v>
      </c>
      <c r="C673" t="s">
        <v>2752</v>
      </c>
      <c r="D673" t="s">
        <v>2753</v>
      </c>
      <c r="E673" s="1">
        <v>45758</v>
      </c>
      <c r="F673" s="1">
        <v>45758</v>
      </c>
      <c r="G673" s="1">
        <v>45846</v>
      </c>
      <c r="H673" s="3">
        <v>45846</v>
      </c>
      <c r="I673" t="s">
        <v>2754</v>
      </c>
    </row>
    <row r="674" spans="1:9" x14ac:dyDescent="0.3">
      <c r="A674" t="s">
        <v>2272</v>
      </c>
      <c r="B674" s="15" t="s">
        <v>2273</v>
      </c>
      <c r="C674" t="s">
        <v>2274</v>
      </c>
      <c r="D674" t="s">
        <v>2275</v>
      </c>
      <c r="E674" s="1">
        <v>45742</v>
      </c>
      <c r="F674" s="1">
        <v>45742</v>
      </c>
      <c r="G674" s="1">
        <v>45849</v>
      </c>
      <c r="H674" s="3">
        <v>45849</v>
      </c>
      <c r="I674" t="s">
        <v>2276</v>
      </c>
    </row>
    <row r="675" spans="1:9" x14ac:dyDescent="0.3">
      <c r="A675" t="s">
        <v>2421</v>
      </c>
      <c r="B675" s="14" t="s">
        <v>2422</v>
      </c>
      <c r="C675" t="s">
        <v>2423</v>
      </c>
      <c r="D675" t="s">
        <v>2424</v>
      </c>
      <c r="E675" s="1">
        <v>45756</v>
      </c>
      <c r="F675" s="1">
        <v>45756</v>
      </c>
      <c r="G675" s="1">
        <v>45849</v>
      </c>
      <c r="H675" s="3">
        <v>45849</v>
      </c>
      <c r="I675" t="s">
        <v>2425</v>
      </c>
    </row>
    <row r="676" spans="1:9" x14ac:dyDescent="0.3">
      <c r="A676" t="s">
        <v>2513</v>
      </c>
      <c r="B676" s="14" t="s">
        <v>2514</v>
      </c>
      <c r="C676" t="s">
        <v>2515</v>
      </c>
      <c r="D676" t="s">
        <v>2516</v>
      </c>
      <c r="E676" s="1">
        <v>45622</v>
      </c>
      <c r="F676" s="1">
        <v>45622</v>
      </c>
      <c r="G676" s="1">
        <v>45849</v>
      </c>
      <c r="H676" s="3">
        <v>45849</v>
      </c>
      <c r="I676" t="s">
        <v>2517</v>
      </c>
    </row>
    <row r="677" spans="1:9" x14ac:dyDescent="0.3">
      <c r="A677" t="s">
        <v>3316</v>
      </c>
      <c r="B677" s="14" t="s">
        <v>3317</v>
      </c>
      <c r="C677" t="s">
        <v>3318</v>
      </c>
      <c r="D677" t="s">
        <v>3319</v>
      </c>
      <c r="E677" s="1">
        <v>45748</v>
      </c>
      <c r="F677" s="1">
        <v>45748</v>
      </c>
      <c r="G677" s="1">
        <v>45849</v>
      </c>
      <c r="H677" s="3">
        <v>45849</v>
      </c>
      <c r="I677" t="s">
        <v>3320</v>
      </c>
    </row>
    <row r="678" spans="1:9" x14ac:dyDescent="0.3">
      <c r="A678" t="s">
        <v>3757</v>
      </c>
      <c r="B678" s="14" t="s">
        <v>3758</v>
      </c>
      <c r="C678" t="s">
        <v>746</v>
      </c>
      <c r="D678" t="s">
        <v>3759</v>
      </c>
      <c r="E678" s="1">
        <v>45206</v>
      </c>
      <c r="F678" s="1">
        <v>45206</v>
      </c>
      <c r="G678" s="1">
        <v>45849</v>
      </c>
      <c r="H678" s="3">
        <v>45849</v>
      </c>
      <c r="I678" t="s">
        <v>3760</v>
      </c>
    </row>
    <row r="679" spans="1:9" x14ac:dyDescent="0.3">
      <c r="A679" t="s">
        <v>365</v>
      </c>
      <c r="B679" s="14" t="s">
        <v>366</v>
      </c>
      <c r="C679" t="s">
        <v>367</v>
      </c>
      <c r="D679" t="s">
        <v>368</v>
      </c>
      <c r="E679" s="1">
        <v>45764</v>
      </c>
      <c r="F679" s="1">
        <v>45764</v>
      </c>
      <c r="G679" s="1">
        <v>45853</v>
      </c>
      <c r="H679" s="3">
        <v>45853</v>
      </c>
      <c r="I679" t="s">
        <v>369</v>
      </c>
    </row>
    <row r="680" spans="1:9" x14ac:dyDescent="0.3">
      <c r="A680" t="s">
        <v>600</v>
      </c>
      <c r="B680" s="14" t="s">
        <v>601</v>
      </c>
      <c r="C680" t="s">
        <v>602</v>
      </c>
      <c r="D680" t="s">
        <v>603</v>
      </c>
      <c r="E680" s="1">
        <v>45784</v>
      </c>
      <c r="F680" s="1">
        <v>45784</v>
      </c>
      <c r="G680" s="1">
        <v>45853</v>
      </c>
      <c r="H680" s="3">
        <v>45853</v>
      </c>
      <c r="I680" t="s">
        <v>604</v>
      </c>
    </row>
    <row r="681" spans="1:9" x14ac:dyDescent="0.3">
      <c r="A681" t="s">
        <v>1304</v>
      </c>
      <c r="B681" s="14" t="s">
        <v>1305</v>
      </c>
      <c r="C681" t="s">
        <v>1306</v>
      </c>
      <c r="D681" t="s">
        <v>1307</v>
      </c>
      <c r="E681" s="1">
        <v>45777</v>
      </c>
      <c r="F681" s="1">
        <v>45777</v>
      </c>
      <c r="G681" s="1">
        <v>45853</v>
      </c>
      <c r="H681" s="3">
        <v>45853</v>
      </c>
      <c r="I681" t="s">
        <v>1308</v>
      </c>
    </row>
    <row r="682" spans="1:9" x14ac:dyDescent="0.3">
      <c r="A682" t="s">
        <v>445</v>
      </c>
      <c r="B682" s="15" t="s">
        <v>446</v>
      </c>
      <c r="C682" t="s">
        <v>447</v>
      </c>
      <c r="D682" t="s">
        <v>448</v>
      </c>
      <c r="E682" s="1">
        <v>44783</v>
      </c>
      <c r="F682" s="1">
        <v>44783</v>
      </c>
      <c r="G682" s="1">
        <v>45856</v>
      </c>
      <c r="H682" s="3">
        <v>45856</v>
      </c>
      <c r="I682" t="s">
        <v>449</v>
      </c>
    </row>
    <row r="683" spans="1:9" x14ac:dyDescent="0.3">
      <c r="A683" t="s">
        <v>709</v>
      </c>
      <c r="B683" s="14" t="s">
        <v>710</v>
      </c>
      <c r="C683" t="s">
        <v>711</v>
      </c>
      <c r="D683" t="s">
        <v>712</v>
      </c>
      <c r="E683" s="1">
        <v>44419</v>
      </c>
      <c r="F683" s="1">
        <v>44419</v>
      </c>
      <c r="G683" s="1">
        <v>45856</v>
      </c>
      <c r="H683" s="3">
        <v>45856</v>
      </c>
      <c r="I683" t="s">
        <v>713</v>
      </c>
    </row>
    <row r="684" spans="1:9" x14ac:dyDescent="0.3">
      <c r="A684" t="s">
        <v>1547</v>
      </c>
      <c r="B684" s="14" t="s">
        <v>1548</v>
      </c>
      <c r="C684" t="s">
        <v>1549</v>
      </c>
      <c r="D684" t="s">
        <v>1550</v>
      </c>
      <c r="E684" s="1">
        <v>45408</v>
      </c>
      <c r="F684" s="1">
        <v>45408</v>
      </c>
      <c r="G684" s="1">
        <v>45856</v>
      </c>
      <c r="H684" s="3">
        <v>45856</v>
      </c>
      <c r="I684" t="s">
        <v>1551</v>
      </c>
    </row>
    <row r="685" spans="1:9" x14ac:dyDescent="0.3">
      <c r="A685" t="s">
        <v>3215</v>
      </c>
      <c r="B685" s="14" t="s">
        <v>3216</v>
      </c>
      <c r="C685" t="s">
        <v>3217</v>
      </c>
      <c r="D685" t="s">
        <v>3218</v>
      </c>
      <c r="E685" s="1">
        <v>45657</v>
      </c>
      <c r="F685" s="1">
        <v>45657</v>
      </c>
      <c r="G685" s="1">
        <v>45856</v>
      </c>
      <c r="H685" s="3">
        <v>45856</v>
      </c>
      <c r="I685" t="s">
        <v>3219</v>
      </c>
    </row>
    <row r="686" spans="1:9" x14ac:dyDescent="0.3">
      <c r="A686" t="s">
        <v>3346</v>
      </c>
      <c r="B686" s="14" t="s">
        <v>3347</v>
      </c>
      <c r="C686" t="s">
        <v>3348</v>
      </c>
      <c r="D686" t="s">
        <v>3349</v>
      </c>
      <c r="E686" s="1">
        <v>45768</v>
      </c>
      <c r="F686" s="1">
        <v>45768</v>
      </c>
      <c r="G686" s="1">
        <v>45856</v>
      </c>
      <c r="H686" s="3">
        <v>45856</v>
      </c>
      <c r="I686" t="s">
        <v>3350</v>
      </c>
    </row>
    <row r="687" spans="1:9" x14ac:dyDescent="0.3">
      <c r="A687" t="s">
        <v>1228</v>
      </c>
      <c r="B687" s="14" t="s">
        <v>1229</v>
      </c>
      <c r="C687" t="s">
        <v>741</v>
      </c>
      <c r="D687" t="s">
        <v>1230</v>
      </c>
      <c r="E687" s="1">
        <v>45701</v>
      </c>
      <c r="F687" s="1">
        <v>45701</v>
      </c>
      <c r="G687" s="1">
        <v>45860</v>
      </c>
      <c r="H687" s="3">
        <v>45860</v>
      </c>
      <c r="I687" t="s">
        <v>1231</v>
      </c>
    </row>
    <row r="688" spans="1:9" x14ac:dyDescent="0.3">
      <c r="A688" t="s">
        <v>1497</v>
      </c>
      <c r="B688" s="14" t="s">
        <v>1498</v>
      </c>
      <c r="C688" t="s">
        <v>1499</v>
      </c>
      <c r="D688" t="s">
        <v>1500</v>
      </c>
      <c r="E688" s="1">
        <v>45737</v>
      </c>
      <c r="F688" s="1">
        <v>45737</v>
      </c>
      <c r="G688" s="1">
        <v>45860</v>
      </c>
      <c r="H688" s="3">
        <v>45860</v>
      </c>
      <c r="I688" t="s">
        <v>1501</v>
      </c>
    </row>
    <row r="689" spans="1:10" x14ac:dyDescent="0.3">
      <c r="A689" t="s">
        <v>3391</v>
      </c>
      <c r="B689" s="14" t="s">
        <v>3392</v>
      </c>
      <c r="C689" t="s">
        <v>3393</v>
      </c>
      <c r="D689" t="s">
        <v>3394</v>
      </c>
      <c r="E689" s="1">
        <v>45740</v>
      </c>
      <c r="F689" s="1">
        <v>45740</v>
      </c>
      <c r="G689" s="1">
        <v>45860</v>
      </c>
      <c r="H689" s="3">
        <v>45860</v>
      </c>
      <c r="I689" t="s">
        <v>3395</v>
      </c>
    </row>
    <row r="690" spans="1:10" x14ac:dyDescent="0.3">
      <c r="A690" t="s">
        <v>3675</v>
      </c>
      <c r="B690" s="14" t="s">
        <v>3676</v>
      </c>
      <c r="C690" t="s">
        <v>3677</v>
      </c>
      <c r="D690" t="s">
        <v>3678</v>
      </c>
      <c r="E690" s="1">
        <v>45791</v>
      </c>
      <c r="F690" s="1">
        <v>45791</v>
      </c>
      <c r="G690" s="1">
        <v>45860</v>
      </c>
      <c r="H690" s="3">
        <v>45860</v>
      </c>
      <c r="I690" t="s">
        <v>3679</v>
      </c>
    </row>
    <row r="691" spans="1:10" x14ac:dyDescent="0.3">
      <c r="A691" t="s">
        <v>3820</v>
      </c>
      <c r="B691" s="14" t="s">
        <v>3821</v>
      </c>
      <c r="C691" t="s">
        <v>3822</v>
      </c>
      <c r="D691" t="s">
        <v>3823</v>
      </c>
      <c r="E691" s="1">
        <v>45574</v>
      </c>
      <c r="F691" s="1">
        <v>45574</v>
      </c>
      <c r="G691" s="1">
        <v>45860</v>
      </c>
      <c r="H691" s="3">
        <v>45860</v>
      </c>
      <c r="I691" t="s">
        <v>3824</v>
      </c>
    </row>
    <row r="692" spans="1:10" x14ac:dyDescent="0.3">
      <c r="A692" t="s">
        <v>2964</v>
      </c>
      <c r="B692" s="14" t="s">
        <v>2965</v>
      </c>
      <c r="C692" t="s">
        <v>2966</v>
      </c>
      <c r="D692" t="s">
        <v>2967</v>
      </c>
      <c r="E692" s="1">
        <v>45800</v>
      </c>
      <c r="F692" s="1">
        <v>45800</v>
      </c>
      <c r="G692" s="1">
        <v>45870</v>
      </c>
      <c r="H692" s="3">
        <v>45870</v>
      </c>
      <c r="I692" t="s">
        <v>2968</v>
      </c>
    </row>
    <row r="693" spans="1:10" x14ac:dyDescent="0.3">
      <c r="A693" t="s">
        <v>165</v>
      </c>
      <c r="B693" s="14" t="s">
        <v>166</v>
      </c>
      <c r="C693" t="s">
        <v>167</v>
      </c>
      <c r="D693" t="s">
        <v>168</v>
      </c>
      <c r="E693" s="1">
        <v>44858</v>
      </c>
      <c r="F693" s="1">
        <v>45337</v>
      </c>
      <c r="G693" s="1">
        <v>45874</v>
      </c>
      <c r="H693" s="3">
        <v>45874</v>
      </c>
      <c r="I693" t="s">
        <v>169</v>
      </c>
    </row>
    <row r="694" spans="1:10" x14ac:dyDescent="0.3">
      <c r="A694" t="s">
        <v>408</v>
      </c>
      <c r="B694" s="14" t="s">
        <v>409</v>
      </c>
      <c r="C694" t="s">
        <v>410</v>
      </c>
      <c r="D694" t="s">
        <v>411</v>
      </c>
      <c r="E694" s="1">
        <v>45741</v>
      </c>
      <c r="F694" s="1">
        <v>45741</v>
      </c>
      <c r="G694" s="1">
        <v>45874</v>
      </c>
      <c r="H694" s="3">
        <v>45874</v>
      </c>
      <c r="I694" t="s">
        <v>412</v>
      </c>
    </row>
    <row r="695" spans="1:10" x14ac:dyDescent="0.3">
      <c r="A695" t="s">
        <v>516</v>
      </c>
      <c r="B695" s="14" t="s">
        <v>517</v>
      </c>
      <c r="C695" t="s">
        <v>518</v>
      </c>
      <c r="D695" t="s">
        <v>519</v>
      </c>
      <c r="E695" s="1">
        <v>45798</v>
      </c>
      <c r="F695" s="1">
        <v>45798</v>
      </c>
      <c r="G695" s="1">
        <v>45877</v>
      </c>
      <c r="H695" s="3">
        <v>45877</v>
      </c>
      <c r="I695" t="s">
        <v>520</v>
      </c>
    </row>
    <row r="696" spans="1:10" x14ac:dyDescent="0.3">
      <c r="A696" t="s">
        <v>3902</v>
      </c>
      <c r="B696" s="14" t="s">
        <v>3903</v>
      </c>
      <c r="C696" t="s">
        <v>190</v>
      </c>
      <c r="D696" t="s">
        <v>3904</v>
      </c>
      <c r="E696" s="1">
        <v>45811</v>
      </c>
      <c r="F696" s="1">
        <v>45811</v>
      </c>
      <c r="G696" s="1">
        <v>45877</v>
      </c>
      <c r="H696" s="3">
        <v>45877</v>
      </c>
      <c r="I696" t="s">
        <v>3905</v>
      </c>
    </row>
    <row r="697" spans="1:10" x14ac:dyDescent="0.3">
      <c r="A697" t="s">
        <v>106</v>
      </c>
      <c r="B697" s="14" t="s">
        <v>107</v>
      </c>
      <c r="C697" t="s">
        <v>108</v>
      </c>
      <c r="D697" t="s">
        <v>109</v>
      </c>
      <c r="E697" s="1">
        <v>44832</v>
      </c>
      <c r="F697" s="1">
        <v>44832</v>
      </c>
      <c r="G697" s="1">
        <v>45881</v>
      </c>
      <c r="H697" s="3">
        <v>45881</v>
      </c>
      <c r="I697" t="s">
        <v>110</v>
      </c>
    </row>
    <row r="698" spans="1:10" x14ac:dyDescent="0.3">
      <c r="A698" t="s">
        <v>734</v>
      </c>
      <c r="B698" s="14" t="s">
        <v>735</v>
      </c>
      <c r="C698" t="s">
        <v>736</v>
      </c>
      <c r="D698" t="s">
        <v>737</v>
      </c>
      <c r="E698" s="1">
        <v>44747</v>
      </c>
      <c r="F698" s="1">
        <v>44747</v>
      </c>
      <c r="G698" s="1">
        <v>45881</v>
      </c>
      <c r="H698" s="3">
        <v>45881</v>
      </c>
      <c r="I698" t="s">
        <v>738</v>
      </c>
    </row>
    <row r="699" spans="1:10" x14ac:dyDescent="0.3">
      <c r="A699" t="s">
        <v>1488</v>
      </c>
      <c r="B699" s="14" t="s">
        <v>1489</v>
      </c>
      <c r="C699" t="s">
        <v>1239</v>
      </c>
      <c r="D699" t="s">
        <v>1490</v>
      </c>
      <c r="E699" s="1">
        <v>45797</v>
      </c>
      <c r="F699" s="1">
        <v>45797</v>
      </c>
      <c r="G699" s="1">
        <v>45881</v>
      </c>
      <c r="H699" s="3">
        <v>45881</v>
      </c>
      <c r="I699" t="s">
        <v>1491</v>
      </c>
    </row>
    <row r="700" spans="1:10" x14ac:dyDescent="0.3">
      <c r="A700" t="s">
        <v>2798</v>
      </c>
      <c r="B700" s="15" t="s">
        <v>2799</v>
      </c>
      <c r="C700" t="s">
        <v>2800</v>
      </c>
      <c r="D700" t="s">
        <v>2801</v>
      </c>
      <c r="E700" s="1">
        <v>45510</v>
      </c>
      <c r="F700" s="1">
        <v>45510</v>
      </c>
      <c r="G700" s="1">
        <v>45881</v>
      </c>
      <c r="H700" s="3">
        <v>45881</v>
      </c>
      <c r="I700" t="s">
        <v>2802</v>
      </c>
    </row>
    <row r="701" spans="1:10" x14ac:dyDescent="0.3">
      <c r="A701" t="s">
        <v>2075</v>
      </c>
      <c r="B701" s="14" t="s">
        <v>2076</v>
      </c>
      <c r="C701" t="s">
        <v>2077</v>
      </c>
      <c r="D701" t="s">
        <v>2078</v>
      </c>
      <c r="E701" s="1">
        <v>45076</v>
      </c>
      <c r="F701" s="1">
        <v>45418</v>
      </c>
      <c r="G701" s="1">
        <v>45882</v>
      </c>
      <c r="H701" s="3">
        <v>45882</v>
      </c>
      <c r="I701" t="s">
        <v>2079</v>
      </c>
    </row>
    <row r="702" spans="1:10" x14ac:dyDescent="0.3">
      <c r="A702" t="s">
        <v>2825</v>
      </c>
      <c r="B702" s="15" t="s">
        <v>2826</v>
      </c>
      <c r="C702" t="s">
        <v>2827</v>
      </c>
      <c r="D702" t="s">
        <v>2828</v>
      </c>
      <c r="E702" s="1">
        <v>45792</v>
      </c>
      <c r="F702" s="1">
        <v>45792</v>
      </c>
      <c r="G702" s="1">
        <v>45884</v>
      </c>
      <c r="H702" s="3">
        <v>45884</v>
      </c>
      <c r="I702" t="s">
        <v>2829</v>
      </c>
    </row>
    <row r="703" spans="1:10" x14ac:dyDescent="0.3">
      <c r="A703" t="s">
        <v>2897</v>
      </c>
      <c r="B703" s="14" t="s">
        <v>2898</v>
      </c>
      <c r="C703" t="s">
        <v>1112</v>
      </c>
      <c r="D703" t="s">
        <v>2899</v>
      </c>
      <c r="E703" s="1">
        <v>45271</v>
      </c>
      <c r="F703" s="1">
        <v>45271</v>
      </c>
      <c r="G703" s="1">
        <v>45884</v>
      </c>
      <c r="H703" s="3">
        <v>45884</v>
      </c>
      <c r="I703" t="s">
        <v>2900</v>
      </c>
    </row>
    <row r="704" spans="1:10" x14ac:dyDescent="0.3">
      <c r="A704" t="s">
        <v>1989</v>
      </c>
      <c r="B704" s="14" t="s">
        <v>1990</v>
      </c>
      <c r="C704" t="s">
        <v>259</v>
      </c>
      <c r="D704" t="s">
        <v>1991</v>
      </c>
      <c r="E704" s="1">
        <v>45417</v>
      </c>
      <c r="F704" s="1">
        <v>45636</v>
      </c>
      <c r="G704" s="1">
        <v>45888</v>
      </c>
      <c r="H704" s="3">
        <v>45888</v>
      </c>
      <c r="I704" t="s">
        <v>1992</v>
      </c>
      <c r="J704" t="s">
        <v>1993</v>
      </c>
    </row>
    <row r="705" spans="1:10" x14ac:dyDescent="0.3">
      <c r="A705" t="s">
        <v>3181</v>
      </c>
      <c r="B705" s="14" t="s">
        <v>1105</v>
      </c>
      <c r="C705" t="s">
        <v>1106</v>
      </c>
      <c r="D705" t="s">
        <v>3182</v>
      </c>
      <c r="E705" s="1">
        <v>44701</v>
      </c>
      <c r="F705" s="1">
        <v>45061</v>
      </c>
      <c r="G705" s="1">
        <v>45888</v>
      </c>
      <c r="H705" s="3">
        <v>45888</v>
      </c>
      <c r="I705" t="s">
        <v>3183</v>
      </c>
      <c r="J705" t="s">
        <v>3184</v>
      </c>
    </row>
    <row r="706" spans="1:10" x14ac:dyDescent="0.3">
      <c r="A706" t="s">
        <v>1038</v>
      </c>
      <c r="B706" s="14" t="s">
        <v>1039</v>
      </c>
      <c r="C706" t="s">
        <v>1040</v>
      </c>
      <c r="D706" t="s">
        <v>1041</v>
      </c>
      <c r="E706" s="1">
        <v>45818</v>
      </c>
      <c r="F706" s="1">
        <v>45818</v>
      </c>
      <c r="G706" s="1">
        <v>45891</v>
      </c>
      <c r="H706" s="3">
        <v>45891</v>
      </c>
      <c r="I706" t="s">
        <v>1042</v>
      </c>
    </row>
    <row r="707" spans="1:10" x14ac:dyDescent="0.3">
      <c r="A707" t="s">
        <v>3176</v>
      </c>
      <c r="B707" s="14" t="s">
        <v>3177</v>
      </c>
      <c r="C707" t="s">
        <v>3178</v>
      </c>
      <c r="D707" t="s">
        <v>3179</v>
      </c>
      <c r="E707" s="1">
        <v>45826</v>
      </c>
      <c r="F707" s="1">
        <v>45826</v>
      </c>
      <c r="G707" s="1">
        <v>45891</v>
      </c>
      <c r="H707" s="3">
        <v>45891</v>
      </c>
      <c r="I707" t="s">
        <v>3180</v>
      </c>
    </row>
    <row r="708" spans="1:10" x14ac:dyDescent="0.3">
      <c r="A708" t="s">
        <v>4109</v>
      </c>
      <c r="B708" s="14" t="s">
        <v>4110</v>
      </c>
      <c r="C708" t="s">
        <v>4111</v>
      </c>
      <c r="D708" t="s">
        <v>4112</v>
      </c>
      <c r="E708" s="1">
        <v>45698</v>
      </c>
      <c r="F708" s="1">
        <v>45698</v>
      </c>
      <c r="G708" s="1">
        <v>45891</v>
      </c>
      <c r="H708" s="3">
        <v>45891</v>
      </c>
      <c r="I708" t="s">
        <v>4113</v>
      </c>
    </row>
    <row r="709" spans="1:10" x14ac:dyDescent="0.3">
      <c r="A709" t="s">
        <v>1001</v>
      </c>
      <c r="B709" s="14" t="s">
        <v>1002</v>
      </c>
      <c r="C709" t="s">
        <v>1003</v>
      </c>
      <c r="D709" t="s">
        <v>1004</v>
      </c>
      <c r="E709" s="1">
        <v>45814</v>
      </c>
      <c r="F709" s="1">
        <v>45814</v>
      </c>
      <c r="G709" s="1">
        <v>45895</v>
      </c>
      <c r="H709" s="3">
        <v>45895</v>
      </c>
      <c r="I709" t="s">
        <v>1005</v>
      </c>
    </row>
    <row r="710" spans="1:10" x14ac:dyDescent="0.3">
      <c r="A710" t="s">
        <v>1780</v>
      </c>
      <c r="B710" s="14" t="s">
        <v>1781</v>
      </c>
      <c r="C710" t="s">
        <v>987</v>
      </c>
      <c r="D710" t="s">
        <v>1782</v>
      </c>
      <c r="E710" s="1">
        <v>45804</v>
      </c>
      <c r="F710" s="1">
        <v>45804</v>
      </c>
      <c r="G710" s="1">
        <v>45895</v>
      </c>
      <c r="H710" s="3">
        <v>45895</v>
      </c>
      <c r="I710" t="s">
        <v>1783</v>
      </c>
    </row>
    <row r="711" spans="1:10" x14ac:dyDescent="0.3">
      <c r="A711" t="s">
        <v>3158</v>
      </c>
      <c r="B711" s="14" t="s">
        <v>3159</v>
      </c>
      <c r="C711" t="s">
        <v>3160</v>
      </c>
      <c r="D711" t="s">
        <v>3161</v>
      </c>
      <c r="E711" s="1">
        <v>45800</v>
      </c>
      <c r="F711" s="1">
        <v>45800</v>
      </c>
      <c r="G711" s="1">
        <v>45895</v>
      </c>
      <c r="H711" s="3">
        <v>45895</v>
      </c>
      <c r="I711" t="s">
        <v>3162</v>
      </c>
    </row>
    <row r="712" spans="1:10" x14ac:dyDescent="0.3">
      <c r="A712" t="s">
        <v>3805</v>
      </c>
      <c r="B712" s="14" t="s">
        <v>3806</v>
      </c>
      <c r="C712" t="s">
        <v>3807</v>
      </c>
      <c r="D712" t="s">
        <v>3808</v>
      </c>
      <c r="E712" s="1">
        <v>45410</v>
      </c>
      <c r="F712" s="1">
        <v>45410</v>
      </c>
      <c r="G712" s="1">
        <v>45895</v>
      </c>
      <c r="H712" s="3">
        <v>45895</v>
      </c>
      <c r="I712" t="s">
        <v>3809</v>
      </c>
    </row>
    <row r="713" spans="1:10" x14ac:dyDescent="0.3">
      <c r="A713" t="s">
        <v>4679</v>
      </c>
      <c r="B713" s="14" t="s">
        <v>4680</v>
      </c>
      <c r="C713" t="s">
        <v>4681</v>
      </c>
      <c r="D713" t="s">
        <v>4682</v>
      </c>
      <c r="E713" s="1">
        <v>45804</v>
      </c>
      <c r="F713" s="1">
        <v>45804</v>
      </c>
      <c r="G713" s="1">
        <v>45895</v>
      </c>
      <c r="H713" s="3">
        <v>45895</v>
      </c>
      <c r="I713" t="s">
        <v>4683</v>
      </c>
    </row>
    <row r="714" spans="1:10" x14ac:dyDescent="0.3">
      <c r="A714" t="s">
        <v>3293</v>
      </c>
      <c r="B714" s="15" t="s">
        <v>3294</v>
      </c>
      <c r="C714" t="s">
        <v>3295</v>
      </c>
      <c r="D714" t="s">
        <v>3296</v>
      </c>
      <c r="E714" s="1">
        <v>45768</v>
      </c>
      <c r="F714" s="1">
        <v>45768</v>
      </c>
      <c r="G714" s="1">
        <v>45896</v>
      </c>
      <c r="H714" s="3">
        <v>45896</v>
      </c>
      <c r="I714" t="s">
        <v>3297</v>
      </c>
    </row>
    <row r="715" spans="1:10" x14ac:dyDescent="0.3">
      <c r="A715" t="s">
        <v>2835</v>
      </c>
      <c r="B715" s="14" t="s">
        <v>2836</v>
      </c>
      <c r="C715" t="s">
        <v>2837</v>
      </c>
      <c r="D715" t="s">
        <v>2838</v>
      </c>
      <c r="E715" s="1">
        <v>45534</v>
      </c>
      <c r="F715" s="1">
        <v>45534</v>
      </c>
      <c r="G715" s="1">
        <v>45902</v>
      </c>
      <c r="H715" s="3">
        <v>45902</v>
      </c>
      <c r="I715" t="s">
        <v>2839</v>
      </c>
    </row>
    <row r="716" spans="1:10" x14ac:dyDescent="0.3">
      <c r="A716" t="s">
        <v>3049</v>
      </c>
      <c r="B716" s="14" t="s">
        <v>3050</v>
      </c>
      <c r="C716" t="s">
        <v>3051</v>
      </c>
      <c r="D716" t="s">
        <v>3052</v>
      </c>
      <c r="E716" s="1">
        <v>45586</v>
      </c>
      <c r="F716" s="1">
        <v>45586</v>
      </c>
      <c r="G716" s="1">
        <v>45902</v>
      </c>
      <c r="H716" s="3">
        <v>45902</v>
      </c>
      <c r="I716" t="s">
        <v>3053</v>
      </c>
    </row>
    <row r="717" spans="1:10" x14ac:dyDescent="0.3">
      <c r="A717" t="s">
        <v>4053</v>
      </c>
      <c r="B717" s="14" t="s">
        <v>4054</v>
      </c>
      <c r="C717" t="s">
        <v>4055</v>
      </c>
      <c r="D717" t="s">
        <v>4056</v>
      </c>
      <c r="E717" s="1">
        <v>45811</v>
      </c>
      <c r="F717" s="1">
        <v>45811</v>
      </c>
      <c r="G717" s="1">
        <v>45902</v>
      </c>
      <c r="H717" s="3">
        <v>45902</v>
      </c>
      <c r="I717" t="s">
        <v>4057</v>
      </c>
    </row>
    <row r="718" spans="1:10" x14ac:dyDescent="0.3">
      <c r="A718" t="s">
        <v>2065</v>
      </c>
      <c r="B718" s="15" t="s">
        <v>2066</v>
      </c>
      <c r="C718" t="s">
        <v>1167</v>
      </c>
      <c r="D718" t="s">
        <v>2067</v>
      </c>
      <c r="E718" s="1">
        <v>45628</v>
      </c>
      <c r="F718" s="1">
        <v>45628</v>
      </c>
      <c r="G718" s="1">
        <v>45903</v>
      </c>
      <c r="H718" s="3">
        <v>45903</v>
      </c>
      <c r="I718" t="s">
        <v>2068</v>
      </c>
    </row>
    <row r="719" spans="1:10" x14ac:dyDescent="0.3">
      <c r="A719" t="s">
        <v>4094</v>
      </c>
      <c r="B719" s="14" t="s">
        <v>4095</v>
      </c>
      <c r="C719" t="s">
        <v>4096</v>
      </c>
      <c r="D719" t="s">
        <v>4097</v>
      </c>
      <c r="E719" s="1">
        <v>45841</v>
      </c>
      <c r="F719" s="1">
        <v>45841</v>
      </c>
      <c r="G719" s="1">
        <v>45905</v>
      </c>
      <c r="H719" s="3">
        <v>45905</v>
      </c>
      <c r="I719" t="s">
        <v>4098</v>
      </c>
    </row>
    <row r="720" spans="1:10" x14ac:dyDescent="0.3">
      <c r="A720" t="s">
        <v>4335</v>
      </c>
      <c r="B720" s="14" t="s">
        <v>4336</v>
      </c>
      <c r="C720" t="s">
        <v>4337</v>
      </c>
      <c r="D720" t="s">
        <v>4338</v>
      </c>
      <c r="E720" s="1">
        <v>45600</v>
      </c>
      <c r="F720" s="1">
        <v>45600</v>
      </c>
      <c r="G720" s="1">
        <v>45905</v>
      </c>
      <c r="H720" s="3">
        <v>45905</v>
      </c>
      <c r="I720" t="s">
        <v>4339</v>
      </c>
    </row>
    <row r="721" spans="1:10" x14ac:dyDescent="0.3">
      <c r="A721" t="s">
        <v>4436</v>
      </c>
      <c r="B721" s="14" t="s">
        <v>4437</v>
      </c>
      <c r="C721" t="s">
        <v>4438</v>
      </c>
      <c r="D721" t="s">
        <v>4439</v>
      </c>
      <c r="E721" s="1">
        <v>44908</v>
      </c>
      <c r="F721" s="1">
        <v>44908</v>
      </c>
      <c r="G721" s="1">
        <v>45905</v>
      </c>
      <c r="H721" s="3">
        <v>45905</v>
      </c>
      <c r="I721" t="s">
        <v>4440</v>
      </c>
    </row>
    <row r="722" spans="1:10" x14ac:dyDescent="0.3">
      <c r="A722" t="s">
        <v>1364</v>
      </c>
      <c r="B722" s="14" t="s">
        <v>1365</v>
      </c>
      <c r="C722" t="s">
        <v>1366</v>
      </c>
      <c r="D722" t="s">
        <v>1367</v>
      </c>
      <c r="E722" s="1">
        <v>44768</v>
      </c>
      <c r="F722" s="1">
        <v>44768</v>
      </c>
      <c r="G722" s="1">
        <v>45908</v>
      </c>
      <c r="H722" s="3">
        <v>45908</v>
      </c>
      <c r="I722" t="s">
        <v>1368</v>
      </c>
    </row>
    <row r="723" spans="1:10" x14ac:dyDescent="0.3">
      <c r="A723" t="s">
        <v>2136</v>
      </c>
      <c r="B723" s="14" t="s">
        <v>2137</v>
      </c>
      <c r="C723" t="s">
        <v>1973</v>
      </c>
      <c r="D723" t="s">
        <v>2138</v>
      </c>
      <c r="E723" s="1">
        <v>44375</v>
      </c>
      <c r="F723" s="1">
        <v>44375</v>
      </c>
      <c r="G723" s="1">
        <v>45909</v>
      </c>
      <c r="H723" s="3">
        <v>45909</v>
      </c>
      <c r="I723" t="s">
        <v>2139</v>
      </c>
      <c r="J723" t="s">
        <v>2140</v>
      </c>
    </row>
    <row r="724" spans="1:10" x14ac:dyDescent="0.3">
      <c r="A724" t="s">
        <v>2663</v>
      </c>
      <c r="B724" s="14" t="s">
        <v>2664</v>
      </c>
      <c r="C724" t="s">
        <v>2665</v>
      </c>
      <c r="D724" t="s">
        <v>2666</v>
      </c>
      <c r="E724" s="1">
        <v>43924</v>
      </c>
      <c r="F724" s="1">
        <v>43945</v>
      </c>
      <c r="G724" s="1">
        <v>45909</v>
      </c>
      <c r="H724" s="3">
        <v>45909</v>
      </c>
      <c r="I724" t="s">
        <v>2667</v>
      </c>
    </row>
    <row r="725" spans="1:10" x14ac:dyDescent="0.3">
      <c r="A725" t="s">
        <v>3495</v>
      </c>
      <c r="B725" s="14" t="s">
        <v>3496</v>
      </c>
      <c r="C725" t="s">
        <v>3497</v>
      </c>
      <c r="D725" t="s">
        <v>3497</v>
      </c>
      <c r="E725" s="1">
        <v>45798</v>
      </c>
      <c r="F725" s="1">
        <v>45798</v>
      </c>
      <c r="G725" s="1">
        <v>45909</v>
      </c>
      <c r="H725" s="3">
        <v>45909</v>
      </c>
      <c r="I725" t="s">
        <v>3498</v>
      </c>
    </row>
    <row r="726" spans="1:10" x14ac:dyDescent="0.3">
      <c r="A726" t="s">
        <v>1440</v>
      </c>
      <c r="B726" s="14" t="s">
        <v>1441</v>
      </c>
      <c r="C726" t="s">
        <v>664</v>
      </c>
      <c r="D726" t="s">
        <v>1442</v>
      </c>
      <c r="E726" s="1">
        <v>44384</v>
      </c>
      <c r="F726" s="1">
        <v>44748</v>
      </c>
      <c r="G726" s="1">
        <v>45910</v>
      </c>
      <c r="H726" s="3">
        <v>45910</v>
      </c>
      <c r="I726" t="s">
        <v>1443</v>
      </c>
    </row>
    <row r="727" spans="1:10" x14ac:dyDescent="0.3">
      <c r="A727" t="s">
        <v>1449</v>
      </c>
      <c r="B727" s="14" t="s">
        <v>1450</v>
      </c>
      <c r="C727" t="s">
        <v>1451</v>
      </c>
      <c r="D727" t="s">
        <v>1452</v>
      </c>
      <c r="E727" s="1">
        <v>45831</v>
      </c>
      <c r="F727" s="1">
        <v>45831</v>
      </c>
      <c r="G727" s="1">
        <v>45912</v>
      </c>
      <c r="H727" s="3">
        <v>45912</v>
      </c>
      <c r="I727" t="s">
        <v>1453</v>
      </c>
    </row>
    <row r="728" spans="1:10" x14ac:dyDescent="0.3">
      <c r="A728" t="s">
        <v>2587</v>
      </c>
      <c r="B728" s="14" t="s">
        <v>2588</v>
      </c>
      <c r="C728" t="s">
        <v>30</v>
      </c>
      <c r="D728" t="s">
        <v>2589</v>
      </c>
      <c r="E728" s="1">
        <v>44925</v>
      </c>
      <c r="F728" s="1">
        <v>44925</v>
      </c>
      <c r="G728" s="1">
        <v>45912</v>
      </c>
      <c r="H728" s="3">
        <v>45912</v>
      </c>
      <c r="I728" t="s">
        <v>2590</v>
      </c>
    </row>
    <row r="729" spans="1:10" x14ac:dyDescent="0.3">
      <c r="A729" t="s">
        <v>3251</v>
      </c>
      <c r="B729" s="14" t="s">
        <v>3252</v>
      </c>
      <c r="C729" t="s">
        <v>3253</v>
      </c>
      <c r="D729" t="s">
        <v>3254</v>
      </c>
      <c r="E729" s="1">
        <v>45852</v>
      </c>
      <c r="F729" s="1">
        <v>45852</v>
      </c>
      <c r="G729" s="1">
        <v>45912</v>
      </c>
      <c r="H729" s="3">
        <v>45912</v>
      </c>
      <c r="I729" t="s">
        <v>3255</v>
      </c>
    </row>
    <row r="730" spans="1:10" x14ac:dyDescent="0.3">
      <c r="A730" t="s">
        <v>3331</v>
      </c>
      <c r="B730" s="14" t="s">
        <v>3332</v>
      </c>
      <c r="C730" t="s">
        <v>3333</v>
      </c>
      <c r="D730" t="s">
        <v>3334</v>
      </c>
      <c r="E730" s="1">
        <v>45489</v>
      </c>
      <c r="F730" s="1">
        <v>45489</v>
      </c>
      <c r="G730" s="1">
        <v>45912</v>
      </c>
      <c r="H730" s="3">
        <v>45912</v>
      </c>
      <c r="I730" t="s">
        <v>3335</v>
      </c>
    </row>
    <row r="731" spans="1:10" x14ac:dyDescent="0.3">
      <c r="A731" t="s">
        <v>3377</v>
      </c>
      <c r="B731" s="14" t="s">
        <v>3378</v>
      </c>
      <c r="C731" t="s">
        <v>3379</v>
      </c>
      <c r="D731" t="s">
        <v>3380</v>
      </c>
      <c r="E731" s="1">
        <v>45523</v>
      </c>
      <c r="F731" s="1">
        <v>45523</v>
      </c>
      <c r="G731" s="1">
        <v>45912</v>
      </c>
      <c r="H731" s="3">
        <v>45912</v>
      </c>
      <c r="I731" t="s">
        <v>3381</v>
      </c>
    </row>
    <row r="732" spans="1:10" x14ac:dyDescent="0.3">
      <c r="A732" t="s">
        <v>1430</v>
      </c>
      <c r="B732" s="14" t="s">
        <v>1431</v>
      </c>
      <c r="C732" t="s">
        <v>1432</v>
      </c>
      <c r="D732" t="s">
        <v>1433</v>
      </c>
      <c r="E732" s="1">
        <v>45846</v>
      </c>
      <c r="F732" s="1">
        <v>45846</v>
      </c>
      <c r="G732" s="1">
        <v>45916</v>
      </c>
      <c r="H732" s="3">
        <v>45916</v>
      </c>
      <c r="I732" t="s">
        <v>1434</v>
      </c>
    </row>
    <row r="733" spans="1:10" x14ac:dyDescent="0.3">
      <c r="A733" t="s">
        <v>2871</v>
      </c>
      <c r="B733" s="14" t="s">
        <v>2872</v>
      </c>
      <c r="C733" t="s">
        <v>2873</v>
      </c>
      <c r="D733" t="s">
        <v>2874</v>
      </c>
      <c r="E733" s="1">
        <v>45847</v>
      </c>
      <c r="F733" s="1">
        <v>45847</v>
      </c>
      <c r="G733" s="1">
        <v>45916</v>
      </c>
      <c r="H733" s="3">
        <v>45916</v>
      </c>
      <c r="I733" t="s">
        <v>2875</v>
      </c>
    </row>
    <row r="734" spans="1:10" x14ac:dyDescent="0.3">
      <c r="A734" t="s">
        <v>4310</v>
      </c>
      <c r="B734" s="15" t="s">
        <v>4311</v>
      </c>
      <c r="C734" t="s">
        <v>4312</v>
      </c>
      <c r="D734" t="s">
        <v>4313</v>
      </c>
      <c r="E734" s="1">
        <v>45631</v>
      </c>
      <c r="F734" s="1">
        <v>45631</v>
      </c>
      <c r="G734" s="1">
        <v>45916</v>
      </c>
      <c r="H734" s="3">
        <v>45916</v>
      </c>
      <c r="I734" t="s">
        <v>4314</v>
      </c>
    </row>
    <row r="735" spans="1:10" x14ac:dyDescent="0.3">
      <c r="A735" t="s">
        <v>4724</v>
      </c>
      <c r="B735" s="14" t="s">
        <v>4725</v>
      </c>
      <c r="C735" t="s">
        <v>4726</v>
      </c>
      <c r="D735" t="s">
        <v>4727</v>
      </c>
      <c r="E735" s="1">
        <v>45511</v>
      </c>
      <c r="F735" s="1">
        <v>45511</v>
      </c>
      <c r="G735" s="1">
        <v>45916</v>
      </c>
      <c r="H735" s="3">
        <v>45916</v>
      </c>
      <c r="I735" t="s">
        <v>4728</v>
      </c>
    </row>
    <row r="736" spans="1:10" x14ac:dyDescent="0.3">
      <c r="A736" t="s">
        <v>419</v>
      </c>
      <c r="B736" s="14" t="s">
        <v>420</v>
      </c>
      <c r="C736" t="s">
        <v>421</v>
      </c>
      <c r="D736" t="s">
        <v>422</v>
      </c>
      <c r="E736" s="1">
        <v>45839</v>
      </c>
      <c r="F736" s="1">
        <v>45839</v>
      </c>
      <c r="G736" s="1">
        <v>45919</v>
      </c>
      <c r="H736" s="3">
        <v>45919</v>
      </c>
      <c r="I736" t="s">
        <v>423</v>
      </c>
    </row>
    <row r="737" spans="1:9" x14ac:dyDescent="0.3">
      <c r="A737" t="s">
        <v>1237</v>
      </c>
      <c r="B737" s="14" t="s">
        <v>1238</v>
      </c>
      <c r="C737" t="s">
        <v>1239</v>
      </c>
      <c r="D737" t="s">
        <v>1240</v>
      </c>
      <c r="E737" s="1">
        <v>45803</v>
      </c>
      <c r="F737" s="1">
        <v>45803</v>
      </c>
      <c r="G737" s="1">
        <v>45919</v>
      </c>
      <c r="H737" s="3">
        <v>45919</v>
      </c>
      <c r="I737" t="s">
        <v>1241</v>
      </c>
    </row>
    <row r="738" spans="1:9" x14ac:dyDescent="0.3">
      <c r="A738" t="s">
        <v>2120</v>
      </c>
      <c r="B738" s="14" t="s">
        <v>2121</v>
      </c>
      <c r="C738" t="s">
        <v>2122</v>
      </c>
      <c r="D738" t="s">
        <v>2123</v>
      </c>
      <c r="E738" s="1">
        <v>45600</v>
      </c>
      <c r="F738" s="1">
        <v>45600</v>
      </c>
      <c r="G738" s="1">
        <v>45919</v>
      </c>
      <c r="H738" s="3">
        <v>45919</v>
      </c>
      <c r="I738" t="s">
        <v>2124</v>
      </c>
    </row>
    <row r="739" spans="1:9" x14ac:dyDescent="0.3">
      <c r="A739" t="s">
        <v>923</v>
      </c>
      <c r="B739" s="14" t="s">
        <v>924</v>
      </c>
      <c r="C739" t="s">
        <v>925</v>
      </c>
      <c r="D739" t="s">
        <v>926</v>
      </c>
      <c r="E739" s="1">
        <v>45854</v>
      </c>
      <c r="F739" s="1">
        <v>45854</v>
      </c>
      <c r="G739" s="1">
        <v>45923</v>
      </c>
      <c r="H739" s="3">
        <v>45923</v>
      </c>
      <c r="I739" t="s">
        <v>927</v>
      </c>
    </row>
    <row r="740" spans="1:9" x14ac:dyDescent="0.3">
      <c r="A740" t="s">
        <v>3396</v>
      </c>
      <c r="B740" s="14" t="s">
        <v>3397</v>
      </c>
      <c r="C740" t="s">
        <v>3398</v>
      </c>
      <c r="D740" t="s">
        <v>3399</v>
      </c>
      <c r="E740" s="1">
        <v>45639</v>
      </c>
      <c r="F740" s="1">
        <v>45639</v>
      </c>
      <c r="G740" s="1">
        <v>45923</v>
      </c>
      <c r="H740" s="3">
        <v>45923</v>
      </c>
      <c r="I740" t="s">
        <v>3400</v>
      </c>
    </row>
    <row r="741" spans="1:9" x14ac:dyDescent="0.3">
      <c r="A741" t="s">
        <v>3612</v>
      </c>
      <c r="B741" s="14" t="s">
        <v>3613</v>
      </c>
      <c r="C741" t="s">
        <v>3614</v>
      </c>
      <c r="D741" t="s">
        <v>3615</v>
      </c>
      <c r="E741" s="1">
        <v>45814</v>
      </c>
      <c r="F741" s="1">
        <v>45814</v>
      </c>
      <c r="G741" s="1">
        <v>45923</v>
      </c>
      <c r="H741" s="3">
        <v>45923</v>
      </c>
      <c r="I741" t="s">
        <v>3616</v>
      </c>
    </row>
    <row r="742" spans="1:9" x14ac:dyDescent="0.3">
      <c r="A742" t="s">
        <v>775</v>
      </c>
      <c r="B742" s="14" t="s">
        <v>776</v>
      </c>
      <c r="C742" t="s">
        <v>777</v>
      </c>
      <c r="D742" t="s">
        <v>778</v>
      </c>
      <c r="E742" s="1">
        <v>45870</v>
      </c>
      <c r="F742" s="1">
        <v>45870</v>
      </c>
      <c r="G742" s="1">
        <v>45926</v>
      </c>
      <c r="H742" s="3">
        <v>45926</v>
      </c>
      <c r="I742" t="s">
        <v>779</v>
      </c>
    </row>
    <row r="743" spans="1:9" x14ac:dyDescent="0.3">
      <c r="A743" t="s">
        <v>1064</v>
      </c>
      <c r="B743" s="14" t="s">
        <v>1065</v>
      </c>
      <c r="C743" t="s">
        <v>1066</v>
      </c>
      <c r="D743" t="s">
        <v>1067</v>
      </c>
      <c r="E743" s="1">
        <v>44181</v>
      </c>
      <c r="F743" s="1">
        <v>44509</v>
      </c>
      <c r="G743" s="1">
        <v>45926</v>
      </c>
      <c r="H743" s="3">
        <v>45926</v>
      </c>
      <c r="I743" t="s">
        <v>1068</v>
      </c>
    </row>
    <row r="744" spans="1:9" x14ac:dyDescent="0.3">
      <c r="A744" t="s">
        <v>3220</v>
      </c>
      <c r="B744" s="14" t="s">
        <v>3221</v>
      </c>
      <c r="C744" t="s">
        <v>1147</v>
      </c>
      <c r="D744" t="s">
        <v>3222</v>
      </c>
      <c r="E744" s="1">
        <v>45873</v>
      </c>
      <c r="F744" s="1">
        <v>45873</v>
      </c>
      <c r="G744" s="1">
        <v>45926</v>
      </c>
      <c r="H744" s="3">
        <v>45926</v>
      </c>
      <c r="I744" t="s">
        <v>3223</v>
      </c>
    </row>
    <row r="745" spans="1:9" x14ac:dyDescent="0.3">
      <c r="A745" t="s">
        <v>3326</v>
      </c>
      <c r="B745" s="14" t="s">
        <v>3327</v>
      </c>
      <c r="C745" t="s">
        <v>3328</v>
      </c>
      <c r="D745" t="s">
        <v>3329</v>
      </c>
      <c r="E745" s="1">
        <v>45870</v>
      </c>
      <c r="F745" s="1">
        <v>45870</v>
      </c>
      <c r="G745" s="1">
        <v>45926</v>
      </c>
      <c r="H745" s="3">
        <v>45926</v>
      </c>
      <c r="I745" t="s">
        <v>3330</v>
      </c>
    </row>
    <row r="746" spans="1:9" x14ac:dyDescent="0.3">
      <c r="A746" t="s">
        <v>3825</v>
      </c>
      <c r="B746" s="14" t="s">
        <v>3826</v>
      </c>
      <c r="C746" t="s">
        <v>3791</v>
      </c>
      <c r="D746" t="s">
        <v>3792</v>
      </c>
      <c r="E746" s="1">
        <v>45573</v>
      </c>
      <c r="F746" s="1">
        <v>45573</v>
      </c>
      <c r="G746" s="1">
        <v>45926</v>
      </c>
      <c r="H746" s="3">
        <v>45926</v>
      </c>
      <c r="I746" t="s">
        <v>3827</v>
      </c>
    </row>
    <row r="747" spans="1:9" x14ac:dyDescent="0.3">
      <c r="A747" t="s">
        <v>3588</v>
      </c>
      <c r="B747" s="14" t="s">
        <v>3589</v>
      </c>
      <c r="C747" t="s">
        <v>3590</v>
      </c>
      <c r="D747" t="s">
        <v>3591</v>
      </c>
      <c r="E747" s="1">
        <v>45637</v>
      </c>
      <c r="F747" s="1">
        <v>45637</v>
      </c>
      <c r="G747" s="1">
        <v>45930</v>
      </c>
      <c r="H747" s="3">
        <v>45930</v>
      </c>
      <c r="I747" t="s">
        <v>3592</v>
      </c>
    </row>
    <row r="748" spans="1:9" x14ac:dyDescent="0.3">
      <c r="A748" t="s">
        <v>3897</v>
      </c>
      <c r="B748" s="14" t="s">
        <v>3898</v>
      </c>
      <c r="C748" t="s">
        <v>3899</v>
      </c>
      <c r="D748" t="s">
        <v>3900</v>
      </c>
      <c r="E748" s="1">
        <v>45748</v>
      </c>
      <c r="F748" s="1">
        <v>45748</v>
      </c>
      <c r="G748" s="1">
        <v>45930</v>
      </c>
      <c r="H748" s="3">
        <v>45930</v>
      </c>
      <c r="I748" t="s">
        <v>3901</v>
      </c>
    </row>
    <row r="749" spans="1:9" x14ac:dyDescent="0.3">
      <c r="A749" t="s">
        <v>2924</v>
      </c>
      <c r="B749" s="14" t="s">
        <v>2925</v>
      </c>
      <c r="C749" t="s">
        <v>2926</v>
      </c>
      <c r="D749" t="s">
        <v>2927</v>
      </c>
      <c r="E749" s="1">
        <v>45309</v>
      </c>
      <c r="F749" s="1">
        <v>45309</v>
      </c>
      <c r="G749" s="1">
        <v>45933</v>
      </c>
      <c r="H749" s="3">
        <v>45933</v>
      </c>
      <c r="I749" t="s">
        <v>2928</v>
      </c>
    </row>
    <row r="750" spans="1:9" x14ac:dyDescent="0.3">
      <c r="A750" t="s">
        <v>2200</v>
      </c>
      <c r="B750" s="14" t="s">
        <v>2201</v>
      </c>
      <c r="C750" t="s">
        <v>2202</v>
      </c>
      <c r="D750" t="s">
        <v>2203</v>
      </c>
      <c r="E750" s="1">
        <v>45821</v>
      </c>
      <c r="F750" s="1">
        <v>45821</v>
      </c>
      <c r="G750" s="1">
        <v>45940</v>
      </c>
      <c r="H750" s="3">
        <v>45940</v>
      </c>
      <c r="I750" t="s">
        <v>2204</v>
      </c>
    </row>
    <row r="751" spans="1:9" x14ac:dyDescent="0.3">
      <c r="A751" t="s">
        <v>2508</v>
      </c>
      <c r="B751" s="14" t="s">
        <v>2509</v>
      </c>
      <c r="C751" t="s">
        <v>2510</v>
      </c>
      <c r="D751" t="s">
        <v>2511</v>
      </c>
      <c r="E751" s="1">
        <v>45028</v>
      </c>
      <c r="F751" s="1">
        <v>45028</v>
      </c>
      <c r="G751" s="1">
        <v>45940</v>
      </c>
      <c r="H751" s="3">
        <v>45940</v>
      </c>
      <c r="I751" t="s">
        <v>2512</v>
      </c>
    </row>
    <row r="752" spans="1:9" x14ac:dyDescent="0.3">
      <c r="A752" t="s">
        <v>2546</v>
      </c>
      <c r="B752" s="14" t="s">
        <v>2547</v>
      </c>
      <c r="C752" t="s">
        <v>2548</v>
      </c>
      <c r="D752" t="s">
        <v>2549</v>
      </c>
      <c r="E752" s="1">
        <v>45610</v>
      </c>
      <c r="F752" s="1">
        <v>45610</v>
      </c>
      <c r="G752" s="1">
        <v>45940</v>
      </c>
      <c r="H752" s="3">
        <v>45940</v>
      </c>
      <c r="I752" t="s">
        <v>2550</v>
      </c>
    </row>
    <row r="753" spans="1:9" x14ac:dyDescent="0.3">
      <c r="A753" t="s">
        <v>3911</v>
      </c>
      <c r="B753" s="14" t="s">
        <v>3912</v>
      </c>
      <c r="C753" t="s">
        <v>2440</v>
      </c>
      <c r="D753" t="s">
        <v>3913</v>
      </c>
      <c r="E753" s="1">
        <v>45749</v>
      </c>
      <c r="F753" s="1">
        <v>45749</v>
      </c>
      <c r="G753" s="1">
        <v>45944</v>
      </c>
      <c r="H753" s="3">
        <v>45944</v>
      </c>
      <c r="I753" t="s">
        <v>3914</v>
      </c>
    </row>
    <row r="754" spans="1:9" x14ac:dyDescent="0.3">
      <c r="A754" t="s">
        <v>4441</v>
      </c>
      <c r="B754" s="14" t="s">
        <v>4442</v>
      </c>
      <c r="C754" t="s">
        <v>4443</v>
      </c>
      <c r="D754" t="s">
        <v>4444</v>
      </c>
      <c r="E754" s="1">
        <v>45237</v>
      </c>
      <c r="F754" s="1">
        <v>45237</v>
      </c>
      <c r="G754" s="1">
        <v>45944</v>
      </c>
      <c r="H754" s="3">
        <v>45944</v>
      </c>
      <c r="I754" t="s">
        <v>4445</v>
      </c>
    </row>
    <row r="755" spans="1:9" x14ac:dyDescent="0.3">
      <c r="A755" t="s">
        <v>2229</v>
      </c>
      <c r="B755" s="14" t="s">
        <v>2230</v>
      </c>
      <c r="C755" t="s">
        <v>2231</v>
      </c>
      <c r="D755" t="s">
        <v>2232</v>
      </c>
      <c r="E755" s="1">
        <v>45727</v>
      </c>
      <c r="F755" s="1">
        <v>45727</v>
      </c>
      <c r="G755" s="1">
        <v>45946</v>
      </c>
      <c r="H755" s="3">
        <v>45946</v>
      </c>
      <c r="I755" t="s">
        <v>2233</v>
      </c>
    </row>
    <row r="756" spans="1:9" x14ac:dyDescent="0.3">
      <c r="A756" t="s">
        <v>1140</v>
      </c>
      <c r="B756" s="14" t="s">
        <v>1141</v>
      </c>
      <c r="C756" t="s">
        <v>1142</v>
      </c>
      <c r="D756" t="s">
        <v>1143</v>
      </c>
      <c r="E756" s="1">
        <v>44896</v>
      </c>
      <c r="F756" s="1">
        <v>44896</v>
      </c>
      <c r="G756" s="1">
        <v>45947</v>
      </c>
      <c r="H756" s="3">
        <v>45947</v>
      </c>
      <c r="I756" t="s">
        <v>1144</v>
      </c>
    </row>
    <row r="757" spans="1:9" x14ac:dyDescent="0.3">
      <c r="A757" t="s">
        <v>2111</v>
      </c>
      <c r="B757" s="14" t="s">
        <v>2112</v>
      </c>
      <c r="C757" t="s">
        <v>2113</v>
      </c>
      <c r="D757" t="s">
        <v>2114</v>
      </c>
      <c r="E757" s="1">
        <v>45862</v>
      </c>
      <c r="F757" s="1">
        <v>45862</v>
      </c>
      <c r="G757" s="1">
        <v>45947</v>
      </c>
      <c r="H757" s="3">
        <v>45947</v>
      </c>
      <c r="I757" t="s">
        <v>2115</v>
      </c>
    </row>
    <row r="758" spans="1:9" x14ac:dyDescent="0.3">
      <c r="A758" t="s">
        <v>2168</v>
      </c>
      <c r="B758" s="14" t="s">
        <v>2169</v>
      </c>
      <c r="C758" t="s">
        <v>2170</v>
      </c>
      <c r="D758" t="s">
        <v>2171</v>
      </c>
      <c r="E758" s="1">
        <v>45874</v>
      </c>
      <c r="F758" s="1">
        <v>45874</v>
      </c>
      <c r="G758" s="1">
        <v>45947</v>
      </c>
      <c r="H758" s="3">
        <v>45947</v>
      </c>
      <c r="I758" t="s">
        <v>2172</v>
      </c>
    </row>
    <row r="759" spans="1:9" x14ac:dyDescent="0.3">
      <c r="A759" t="s">
        <v>3028</v>
      </c>
      <c r="B759" s="14" t="s">
        <v>3029</v>
      </c>
      <c r="C759" t="s">
        <v>3030</v>
      </c>
      <c r="D759" t="s">
        <v>3031</v>
      </c>
      <c r="E759" s="1">
        <v>45894</v>
      </c>
      <c r="F759" s="1">
        <v>45894</v>
      </c>
      <c r="G759" s="1">
        <v>45947</v>
      </c>
      <c r="H759" s="3">
        <v>45947</v>
      </c>
      <c r="I759" t="s">
        <v>3032</v>
      </c>
    </row>
    <row r="760" spans="1:9" x14ac:dyDescent="0.3">
      <c r="A760" t="s">
        <v>3336</v>
      </c>
      <c r="B760" s="14" t="s">
        <v>3337</v>
      </c>
      <c r="C760" t="s">
        <v>3338</v>
      </c>
      <c r="D760" t="s">
        <v>3339</v>
      </c>
      <c r="E760" s="1">
        <v>45875</v>
      </c>
      <c r="F760" s="1">
        <v>45875</v>
      </c>
      <c r="G760" s="1">
        <v>45947</v>
      </c>
      <c r="H760" s="3">
        <v>45947</v>
      </c>
      <c r="I760" t="s">
        <v>3340</v>
      </c>
    </row>
    <row r="761" spans="1:9" x14ac:dyDescent="0.3">
      <c r="A761" t="s">
        <v>3086</v>
      </c>
      <c r="B761" s="14" t="s">
        <v>3087</v>
      </c>
      <c r="C761" t="s">
        <v>1008</v>
      </c>
      <c r="D761" t="s">
        <v>3088</v>
      </c>
      <c r="E761" s="1">
        <v>45141</v>
      </c>
      <c r="F761" s="1">
        <v>45141</v>
      </c>
      <c r="G761" s="1">
        <v>45951</v>
      </c>
      <c r="H761" s="3">
        <v>45951</v>
      </c>
      <c r="I761" t="s">
        <v>3089</v>
      </c>
    </row>
    <row r="762" spans="1:9" x14ac:dyDescent="0.3">
      <c r="A762" t="s">
        <v>3789</v>
      </c>
      <c r="B762" s="14" t="s">
        <v>3790</v>
      </c>
      <c r="C762" t="s">
        <v>3791</v>
      </c>
      <c r="D762" t="s">
        <v>3792</v>
      </c>
      <c r="E762" s="1">
        <v>45623</v>
      </c>
      <c r="F762" s="1">
        <v>45623</v>
      </c>
      <c r="G762" s="1">
        <v>45951</v>
      </c>
      <c r="H762" s="3">
        <v>45951</v>
      </c>
      <c r="I762" t="s">
        <v>3793</v>
      </c>
    </row>
    <row r="763" spans="1:9" x14ac:dyDescent="0.3">
      <c r="A763" t="s">
        <v>3859</v>
      </c>
      <c r="B763" s="14" t="s">
        <v>3860</v>
      </c>
      <c r="C763" t="s">
        <v>3861</v>
      </c>
      <c r="D763" t="s">
        <v>3862</v>
      </c>
      <c r="E763" s="1">
        <v>45784</v>
      </c>
      <c r="F763" s="1">
        <v>45784</v>
      </c>
      <c r="G763" s="1">
        <v>45951</v>
      </c>
      <c r="H763" s="3">
        <v>45951</v>
      </c>
      <c r="I763" t="s">
        <v>3863</v>
      </c>
    </row>
    <row r="764" spans="1:9" x14ac:dyDescent="0.3">
      <c r="A764" t="s">
        <v>506</v>
      </c>
      <c r="B764" s="14" t="s">
        <v>507</v>
      </c>
      <c r="C764" t="s">
        <v>508</v>
      </c>
      <c r="D764" t="s">
        <v>509</v>
      </c>
      <c r="E764" s="1">
        <v>45720</v>
      </c>
      <c r="F764" s="1">
        <v>45720</v>
      </c>
      <c r="G764" s="1">
        <v>45954</v>
      </c>
      <c r="H764" s="3">
        <v>45954</v>
      </c>
      <c r="I764" t="s">
        <v>510</v>
      </c>
    </row>
    <row r="765" spans="1:9" x14ac:dyDescent="0.3">
      <c r="A765" t="s">
        <v>822</v>
      </c>
      <c r="B765" s="15" t="s">
        <v>823</v>
      </c>
      <c r="C765" t="s">
        <v>824</v>
      </c>
      <c r="D765" t="s">
        <v>825</v>
      </c>
      <c r="E765" s="1">
        <v>45835</v>
      </c>
      <c r="F765" s="1">
        <v>45835</v>
      </c>
      <c r="G765" s="1">
        <v>45954</v>
      </c>
      <c r="H765" s="3">
        <v>45954</v>
      </c>
      <c r="I765" t="s">
        <v>826</v>
      </c>
    </row>
    <row r="766" spans="1:9" x14ac:dyDescent="0.3">
      <c r="A766" t="s">
        <v>4639</v>
      </c>
      <c r="B766" s="14" t="s">
        <v>4640</v>
      </c>
      <c r="C766" t="s">
        <v>4641</v>
      </c>
      <c r="D766" t="s">
        <v>4642</v>
      </c>
      <c r="E766" s="1">
        <v>45653</v>
      </c>
      <c r="F766" s="1">
        <v>45653</v>
      </c>
      <c r="G766" s="1">
        <v>45954</v>
      </c>
      <c r="H766" s="3">
        <v>45954</v>
      </c>
      <c r="I766" t="s">
        <v>4643</v>
      </c>
    </row>
    <row r="767" spans="1:9" x14ac:dyDescent="0.3">
      <c r="A767" t="s">
        <v>3702</v>
      </c>
      <c r="B767" s="14" t="s">
        <v>3703</v>
      </c>
      <c r="C767" t="s">
        <v>3704</v>
      </c>
      <c r="D767" t="s">
        <v>3705</v>
      </c>
      <c r="E767" s="1">
        <v>45516</v>
      </c>
      <c r="F767" s="1">
        <v>45516</v>
      </c>
      <c r="G767" s="1">
        <v>45958</v>
      </c>
      <c r="H767" s="3">
        <v>45958</v>
      </c>
      <c r="I767" t="s">
        <v>3706</v>
      </c>
    </row>
    <row r="768" spans="1:9" x14ac:dyDescent="0.3">
      <c r="A768" t="s">
        <v>878</v>
      </c>
      <c r="B768" s="14" t="s">
        <v>879</v>
      </c>
      <c r="C768" t="s">
        <v>880</v>
      </c>
      <c r="D768" t="s">
        <v>881</v>
      </c>
      <c r="E768" s="1">
        <v>45890</v>
      </c>
      <c r="F768" s="1">
        <v>45890</v>
      </c>
      <c r="G768" s="1">
        <v>45961</v>
      </c>
      <c r="H768" s="3">
        <v>45961</v>
      </c>
      <c r="I768" t="s">
        <v>882</v>
      </c>
    </row>
    <row r="769" spans="1:9" x14ac:dyDescent="0.3">
      <c r="A769" t="s">
        <v>948</v>
      </c>
      <c r="B769" s="14" t="s">
        <v>949</v>
      </c>
      <c r="C769" t="s">
        <v>950</v>
      </c>
      <c r="D769" t="s">
        <v>951</v>
      </c>
      <c r="E769" s="1">
        <v>45897</v>
      </c>
      <c r="F769" s="1">
        <v>45897</v>
      </c>
      <c r="G769" s="1">
        <v>45961</v>
      </c>
      <c r="H769" s="3">
        <v>45961</v>
      </c>
      <c r="I769" t="s">
        <v>952</v>
      </c>
    </row>
    <row r="770" spans="1:9" x14ac:dyDescent="0.3">
      <c r="A770" t="s">
        <v>1552</v>
      </c>
      <c r="B770" s="14" t="s">
        <v>1553</v>
      </c>
      <c r="C770" t="s">
        <v>1554</v>
      </c>
      <c r="D770" t="s">
        <v>1555</v>
      </c>
      <c r="E770" s="1">
        <v>44823</v>
      </c>
      <c r="F770" s="1">
        <v>44823</v>
      </c>
      <c r="G770" s="1">
        <v>45961</v>
      </c>
      <c r="H770" s="3">
        <v>45961</v>
      </c>
      <c r="I770" t="s">
        <v>1556</v>
      </c>
    </row>
    <row r="771" spans="1:9" x14ac:dyDescent="0.3">
      <c r="A771" t="s">
        <v>495</v>
      </c>
      <c r="B771" s="14" t="s">
        <v>496</v>
      </c>
      <c r="C771" t="s">
        <v>497</v>
      </c>
      <c r="D771" t="s">
        <v>498</v>
      </c>
      <c r="E771" s="1">
        <v>44532</v>
      </c>
      <c r="F771" s="1">
        <v>44532</v>
      </c>
      <c r="G771" s="1">
        <v>45964</v>
      </c>
      <c r="H771" s="3">
        <v>45964</v>
      </c>
      <c r="I771" t="s">
        <v>499</v>
      </c>
    </row>
    <row r="772" spans="1:9" x14ac:dyDescent="0.3">
      <c r="A772" t="s">
        <v>985</v>
      </c>
      <c r="B772" s="14" t="s">
        <v>986</v>
      </c>
      <c r="C772" t="s">
        <v>987</v>
      </c>
      <c r="D772" t="s">
        <v>988</v>
      </c>
      <c r="E772" s="1">
        <v>45896</v>
      </c>
      <c r="F772" s="1">
        <v>45896</v>
      </c>
      <c r="G772" s="1">
        <v>45965</v>
      </c>
      <c r="H772" s="3">
        <v>45965</v>
      </c>
      <c r="I772" t="s">
        <v>989</v>
      </c>
    </row>
    <row r="773" spans="1:9" x14ac:dyDescent="0.3">
      <c r="A773" t="s">
        <v>2438</v>
      </c>
      <c r="B773" s="14" t="s">
        <v>2439</v>
      </c>
      <c r="C773" t="s">
        <v>2440</v>
      </c>
      <c r="D773" t="s">
        <v>2441</v>
      </c>
      <c r="E773" s="1">
        <v>45785</v>
      </c>
      <c r="F773" s="1">
        <v>45785</v>
      </c>
      <c r="G773" s="1">
        <v>45965</v>
      </c>
      <c r="H773" s="3">
        <v>45965</v>
      </c>
      <c r="I773" t="s">
        <v>2442</v>
      </c>
    </row>
    <row r="774" spans="1:9" x14ac:dyDescent="0.3">
      <c r="A774" t="s">
        <v>3886</v>
      </c>
      <c r="B774" s="15" t="s">
        <v>3887</v>
      </c>
      <c r="C774" t="s">
        <v>3888</v>
      </c>
      <c r="D774" t="s">
        <v>3889</v>
      </c>
      <c r="E774" s="1">
        <v>45894</v>
      </c>
      <c r="F774" s="1">
        <v>45894</v>
      </c>
      <c r="G774" s="1">
        <v>45965</v>
      </c>
      <c r="H774" s="3">
        <v>45965</v>
      </c>
      <c r="I774" t="s">
        <v>3890</v>
      </c>
    </row>
    <row r="775" spans="1:9" x14ac:dyDescent="0.3">
      <c r="A775" t="s">
        <v>450</v>
      </c>
      <c r="B775" s="14" t="s">
        <v>451</v>
      </c>
      <c r="C775" t="s">
        <v>452</v>
      </c>
      <c r="D775" t="s">
        <v>453</v>
      </c>
      <c r="E775" s="1">
        <v>45774</v>
      </c>
      <c r="F775" s="1">
        <v>45774</v>
      </c>
      <c r="G775" s="1">
        <v>45968</v>
      </c>
      <c r="H775" s="3">
        <v>45968</v>
      </c>
      <c r="I775" t="s">
        <v>454</v>
      </c>
    </row>
    <row r="776" spans="1:9" x14ac:dyDescent="0.3">
      <c r="A776" t="s">
        <v>1502</v>
      </c>
      <c r="B776" s="14" t="s">
        <v>1503</v>
      </c>
      <c r="C776" t="s">
        <v>1504</v>
      </c>
      <c r="D776" t="s">
        <v>1505</v>
      </c>
      <c r="E776" s="1">
        <v>45637</v>
      </c>
      <c r="F776" s="1">
        <v>45637</v>
      </c>
      <c r="G776" s="1">
        <v>45968</v>
      </c>
      <c r="H776" s="3">
        <v>45968</v>
      </c>
      <c r="I776" t="s">
        <v>1506</v>
      </c>
    </row>
    <row r="777" spans="1:9" x14ac:dyDescent="0.3">
      <c r="A777" t="s">
        <v>3959</v>
      </c>
      <c r="B777" s="14" t="s">
        <v>3960</v>
      </c>
      <c r="C777" t="s">
        <v>3961</v>
      </c>
      <c r="D777" t="s">
        <v>3962</v>
      </c>
      <c r="E777" s="1">
        <v>45727</v>
      </c>
      <c r="F777" s="1">
        <v>45727</v>
      </c>
      <c r="G777" s="1">
        <v>45968</v>
      </c>
      <c r="H777" s="3">
        <v>45968</v>
      </c>
      <c r="I777" t="s">
        <v>3963</v>
      </c>
    </row>
    <row r="778" spans="1:9" x14ac:dyDescent="0.3">
      <c r="A778" t="s">
        <v>1059</v>
      </c>
      <c r="B778" s="14" t="s">
        <v>1060</v>
      </c>
      <c r="C778" t="s">
        <v>1061</v>
      </c>
      <c r="D778" t="s">
        <v>1062</v>
      </c>
      <c r="E778" s="1">
        <v>45765</v>
      </c>
      <c r="F778" s="1">
        <v>45765</v>
      </c>
      <c r="G778" s="1">
        <v>45972</v>
      </c>
      <c r="H778" s="3">
        <v>45972</v>
      </c>
      <c r="I778" t="s">
        <v>1063</v>
      </c>
    </row>
    <row r="779" spans="1:9" x14ac:dyDescent="0.3">
      <c r="A779" t="s">
        <v>2929</v>
      </c>
      <c r="B779" s="14" t="s">
        <v>2930</v>
      </c>
      <c r="C779" t="s">
        <v>2931</v>
      </c>
      <c r="D779" t="s">
        <v>2932</v>
      </c>
      <c r="E779" s="1">
        <v>45882</v>
      </c>
      <c r="F779" s="1">
        <v>45882</v>
      </c>
      <c r="G779" s="1">
        <v>45972</v>
      </c>
      <c r="H779" s="3">
        <v>45972</v>
      </c>
      <c r="I779" t="s">
        <v>2933</v>
      </c>
    </row>
    <row r="780" spans="1:9" x14ac:dyDescent="0.3">
      <c r="A780" t="s">
        <v>490</v>
      </c>
      <c r="B780" s="14" t="s">
        <v>491</v>
      </c>
      <c r="C780" t="s">
        <v>492</v>
      </c>
      <c r="D780" t="s">
        <v>493</v>
      </c>
      <c r="E780" s="1">
        <v>45616</v>
      </c>
      <c r="F780" s="1">
        <v>45616</v>
      </c>
      <c r="G780" s="1">
        <v>45975</v>
      </c>
      <c r="H780" s="3">
        <v>45975</v>
      </c>
      <c r="I780" t="s">
        <v>494</v>
      </c>
    </row>
    <row r="781" spans="1:9" x14ac:dyDescent="0.3">
      <c r="A781" t="s">
        <v>3670</v>
      </c>
      <c r="B781" s="14" t="s">
        <v>3671</v>
      </c>
      <c r="C781" t="s">
        <v>3672</v>
      </c>
      <c r="D781" t="s">
        <v>3673</v>
      </c>
      <c r="E781" s="1">
        <v>45839</v>
      </c>
      <c r="F781" s="1">
        <v>45839</v>
      </c>
      <c r="G781" s="1">
        <v>45975</v>
      </c>
      <c r="H781" s="3">
        <v>45975</v>
      </c>
      <c r="I781" t="s">
        <v>3674</v>
      </c>
    </row>
    <row r="782" spans="1:9" x14ac:dyDescent="0.3">
      <c r="A782" t="s">
        <v>91</v>
      </c>
      <c r="B782" s="14" t="s">
        <v>92</v>
      </c>
      <c r="C782" t="s">
        <v>93</v>
      </c>
      <c r="D782" t="s">
        <v>94</v>
      </c>
      <c r="E782" s="1">
        <v>45630</v>
      </c>
      <c r="F782" s="1">
        <v>45630</v>
      </c>
      <c r="G782" s="1">
        <v>45979</v>
      </c>
      <c r="H782" s="3">
        <v>45979</v>
      </c>
      <c r="I782" t="s">
        <v>95</v>
      </c>
    </row>
    <row r="783" spans="1:9" x14ac:dyDescent="0.3">
      <c r="A783" t="s">
        <v>3229</v>
      </c>
      <c r="B783" s="15" t="s">
        <v>3230</v>
      </c>
      <c r="C783" t="s">
        <v>3231</v>
      </c>
      <c r="D783" t="s">
        <v>3232</v>
      </c>
      <c r="E783" s="1">
        <v>45911</v>
      </c>
      <c r="F783" s="1">
        <v>45911</v>
      </c>
      <c r="G783" s="1">
        <v>45979</v>
      </c>
      <c r="H783" s="3">
        <v>45979</v>
      </c>
      <c r="I783" t="s">
        <v>3233</v>
      </c>
    </row>
    <row r="784" spans="1:9" x14ac:dyDescent="0.3">
      <c r="A784" t="s">
        <v>4618</v>
      </c>
      <c r="B784" s="14" t="s">
        <v>4619</v>
      </c>
      <c r="C784" t="s">
        <v>4620</v>
      </c>
      <c r="D784" t="s">
        <v>4621</v>
      </c>
      <c r="E784" s="1">
        <v>44899</v>
      </c>
      <c r="F784" s="1">
        <v>44899</v>
      </c>
      <c r="G784" s="1">
        <v>45979</v>
      </c>
      <c r="H784" s="3">
        <v>45979</v>
      </c>
      <c r="I784" t="s">
        <v>4622</v>
      </c>
    </row>
    <row r="785" spans="1:9" x14ac:dyDescent="0.3">
      <c r="A785" t="s">
        <v>974</v>
      </c>
      <c r="B785" s="14" t="s">
        <v>975</v>
      </c>
      <c r="C785" t="s">
        <v>976</v>
      </c>
      <c r="D785" t="s">
        <v>977</v>
      </c>
      <c r="E785" s="1">
        <v>45884</v>
      </c>
      <c r="F785" s="1">
        <v>45884</v>
      </c>
      <c r="G785" s="1">
        <v>45982</v>
      </c>
      <c r="H785" s="3">
        <v>45982</v>
      </c>
      <c r="I785" t="s">
        <v>978</v>
      </c>
    </row>
    <row r="786" spans="1:9" x14ac:dyDescent="0.3">
      <c r="A786" t="s">
        <v>1334</v>
      </c>
      <c r="B786" s="14" t="s">
        <v>1335</v>
      </c>
      <c r="C786" t="s">
        <v>1336</v>
      </c>
      <c r="D786" t="s">
        <v>1337</v>
      </c>
      <c r="E786" s="1">
        <v>45877</v>
      </c>
      <c r="F786" s="1">
        <v>45877</v>
      </c>
      <c r="G786" s="1">
        <v>45982</v>
      </c>
      <c r="H786" s="3">
        <v>45982</v>
      </c>
      <c r="I786" t="s">
        <v>1338</v>
      </c>
    </row>
    <row r="787" spans="1:9" x14ac:dyDescent="0.3">
      <c r="A787" t="s">
        <v>2416</v>
      </c>
      <c r="B787" s="14" t="s">
        <v>2417</v>
      </c>
      <c r="C787" t="s">
        <v>2418</v>
      </c>
      <c r="D787" t="s">
        <v>2419</v>
      </c>
      <c r="E787" s="1">
        <v>45699</v>
      </c>
      <c r="F787" s="1">
        <v>45699</v>
      </c>
      <c r="G787" s="1">
        <v>45982</v>
      </c>
      <c r="H787" s="3">
        <v>45982</v>
      </c>
      <c r="I787" t="s">
        <v>2420</v>
      </c>
    </row>
    <row r="788" spans="1:9" x14ac:dyDescent="0.3">
      <c r="A788" t="s">
        <v>2893</v>
      </c>
      <c r="B788" s="15" t="s">
        <v>2894</v>
      </c>
      <c r="C788" t="s">
        <v>56</v>
      </c>
      <c r="D788" t="s">
        <v>2895</v>
      </c>
      <c r="E788" s="1">
        <v>45699</v>
      </c>
      <c r="F788" s="1">
        <v>45699</v>
      </c>
      <c r="G788" s="1">
        <v>45982</v>
      </c>
      <c r="H788" s="3">
        <v>45982</v>
      </c>
      <c r="I788" t="s">
        <v>2896</v>
      </c>
    </row>
    <row r="789" spans="1:9" x14ac:dyDescent="0.3">
      <c r="A789" t="s">
        <v>4431</v>
      </c>
      <c r="B789" s="14" t="s">
        <v>4432</v>
      </c>
      <c r="C789" t="s">
        <v>4433</v>
      </c>
      <c r="D789" t="s">
        <v>4434</v>
      </c>
      <c r="E789" s="1">
        <v>45635</v>
      </c>
      <c r="F789" s="1">
        <v>45635</v>
      </c>
      <c r="G789" s="1">
        <v>45982</v>
      </c>
      <c r="H789" s="3">
        <v>45982</v>
      </c>
      <c r="I789" t="s">
        <v>4435</v>
      </c>
    </row>
    <row r="790" spans="1:9" x14ac:dyDescent="0.3">
      <c r="A790" t="s">
        <v>4492</v>
      </c>
      <c r="B790" s="14" t="s">
        <v>4493</v>
      </c>
      <c r="C790" t="s">
        <v>4494</v>
      </c>
      <c r="D790" t="s">
        <v>4495</v>
      </c>
      <c r="E790" s="1">
        <v>45896</v>
      </c>
      <c r="F790" s="1">
        <v>45896</v>
      </c>
      <c r="G790" s="1">
        <v>45982</v>
      </c>
      <c r="H790" s="3">
        <v>45982</v>
      </c>
      <c r="I790" t="s">
        <v>4496</v>
      </c>
    </row>
    <row r="791" spans="1:9" x14ac:dyDescent="0.3">
      <c r="A791" t="s">
        <v>4766</v>
      </c>
      <c r="B791" s="14" t="s">
        <v>4767</v>
      </c>
      <c r="C791" t="s">
        <v>4768</v>
      </c>
      <c r="D791" t="s">
        <v>4769</v>
      </c>
      <c r="E791" s="1">
        <v>45632</v>
      </c>
      <c r="F791" s="1">
        <v>45632</v>
      </c>
      <c r="G791" s="1">
        <v>45982</v>
      </c>
      <c r="H791" s="3">
        <v>45982</v>
      </c>
      <c r="I791" t="s">
        <v>4770</v>
      </c>
    </row>
    <row r="792" spans="1:9" x14ac:dyDescent="0.3">
      <c r="A792" t="s">
        <v>4804</v>
      </c>
      <c r="B792" s="14" t="s">
        <v>4805</v>
      </c>
      <c r="C792" t="s">
        <v>4806</v>
      </c>
      <c r="D792" t="s">
        <v>4807</v>
      </c>
      <c r="E792" s="1">
        <v>45903</v>
      </c>
      <c r="F792" s="1">
        <v>45903</v>
      </c>
      <c r="G792" s="1">
        <v>45982</v>
      </c>
      <c r="H792" s="3">
        <v>45982</v>
      </c>
      <c r="I792" t="s">
        <v>4808</v>
      </c>
    </row>
    <row r="793" spans="1:9" x14ac:dyDescent="0.3">
      <c r="A793" t="s">
        <v>812</v>
      </c>
      <c r="B793" s="14" t="s">
        <v>813</v>
      </c>
      <c r="C793" t="s">
        <v>814</v>
      </c>
      <c r="D793" t="s">
        <v>815</v>
      </c>
      <c r="E793" s="1">
        <v>45630</v>
      </c>
      <c r="F793" s="1">
        <v>45630</v>
      </c>
      <c r="G793" s="1">
        <v>45986</v>
      </c>
      <c r="H793" s="3">
        <v>45986</v>
      </c>
      <c r="I793" t="s">
        <v>816</v>
      </c>
    </row>
    <row r="794" spans="1:9" x14ac:dyDescent="0.3">
      <c r="A794" t="s">
        <v>1406</v>
      </c>
      <c r="B794" s="15" t="s">
        <v>1407</v>
      </c>
      <c r="C794" t="s">
        <v>1408</v>
      </c>
      <c r="D794" t="s">
        <v>1409</v>
      </c>
      <c r="E794" s="1">
        <v>45670</v>
      </c>
      <c r="F794" s="1">
        <v>45670</v>
      </c>
      <c r="G794" s="1">
        <v>45986</v>
      </c>
      <c r="H794" s="3">
        <v>45986</v>
      </c>
      <c r="I794" t="s">
        <v>1410</v>
      </c>
    </row>
    <row r="795" spans="1:9" x14ac:dyDescent="0.3">
      <c r="A795" t="s">
        <v>2116</v>
      </c>
      <c r="B795" s="14" t="s">
        <v>2117</v>
      </c>
      <c r="C795" t="s">
        <v>73</v>
      </c>
      <c r="D795" t="s">
        <v>2118</v>
      </c>
      <c r="E795" s="1">
        <v>45448</v>
      </c>
      <c r="F795" s="1">
        <v>45448</v>
      </c>
      <c r="G795" s="1">
        <v>45986</v>
      </c>
      <c r="H795" s="3">
        <v>45986</v>
      </c>
      <c r="I795" t="s">
        <v>2119</v>
      </c>
    </row>
    <row r="796" spans="1:9" x14ac:dyDescent="0.3">
      <c r="A796" t="s">
        <v>4258</v>
      </c>
      <c r="B796" s="14" t="s">
        <v>4259</v>
      </c>
      <c r="C796" t="s">
        <v>4260</v>
      </c>
      <c r="D796" t="s">
        <v>4261</v>
      </c>
      <c r="E796" s="1">
        <v>45749</v>
      </c>
      <c r="F796" s="1">
        <v>45749</v>
      </c>
      <c r="G796" s="1">
        <v>45986</v>
      </c>
      <c r="H796" s="3">
        <v>45986</v>
      </c>
      <c r="I796" t="s">
        <v>4262</v>
      </c>
    </row>
    <row r="797" spans="1:9" x14ac:dyDescent="0.3">
      <c r="A797" t="s">
        <v>3090</v>
      </c>
      <c r="B797" s="14" t="s">
        <v>3091</v>
      </c>
      <c r="C797" t="s">
        <v>3092</v>
      </c>
      <c r="D797" t="s">
        <v>3093</v>
      </c>
      <c r="E797" s="1">
        <v>45912</v>
      </c>
      <c r="F797" s="1">
        <v>45912</v>
      </c>
      <c r="G797" s="1">
        <v>45989</v>
      </c>
      <c r="H797" s="3">
        <v>45989</v>
      </c>
      <c r="I797" t="s">
        <v>3094</v>
      </c>
    </row>
    <row r="798" spans="1:9" x14ac:dyDescent="0.3">
      <c r="A798" t="s">
        <v>176</v>
      </c>
      <c r="B798" s="14" t="s">
        <v>177</v>
      </c>
      <c r="C798" t="s">
        <v>178</v>
      </c>
      <c r="D798" t="s">
        <v>179</v>
      </c>
      <c r="E798" s="1">
        <v>45757</v>
      </c>
      <c r="F798" s="1">
        <v>45757</v>
      </c>
      <c r="G798" s="1">
        <v>45993</v>
      </c>
      <c r="H798" s="3">
        <v>45993</v>
      </c>
      <c r="I798" t="s">
        <v>180</v>
      </c>
    </row>
    <row r="799" spans="1:9" x14ac:dyDescent="0.3">
      <c r="A799" t="s">
        <v>4410</v>
      </c>
      <c r="B799" s="14" t="s">
        <v>4411</v>
      </c>
      <c r="C799" t="s">
        <v>4412</v>
      </c>
      <c r="D799" t="s">
        <v>4413</v>
      </c>
      <c r="E799" s="1">
        <v>45643</v>
      </c>
      <c r="F799" s="1">
        <v>45643</v>
      </c>
      <c r="G799" s="1">
        <v>45993</v>
      </c>
      <c r="H799" s="3">
        <v>45993</v>
      </c>
      <c r="I799" t="s">
        <v>4414</v>
      </c>
    </row>
    <row r="800" spans="1:9" x14ac:dyDescent="0.3">
      <c r="A800" t="s">
        <v>2974</v>
      </c>
      <c r="B800" s="14" t="s">
        <v>2975</v>
      </c>
      <c r="C800" t="s">
        <v>1802</v>
      </c>
      <c r="D800" t="s">
        <v>2976</v>
      </c>
      <c r="E800" s="1">
        <v>45660</v>
      </c>
      <c r="F800" s="1">
        <v>45660</v>
      </c>
      <c r="G800" s="1">
        <v>45996</v>
      </c>
      <c r="H800" s="3">
        <v>45996</v>
      </c>
      <c r="I800" t="s">
        <v>2977</v>
      </c>
    </row>
    <row r="801" spans="1:9" x14ac:dyDescent="0.3">
      <c r="A801" t="s">
        <v>3163</v>
      </c>
      <c r="B801" s="14" t="s">
        <v>3164</v>
      </c>
      <c r="C801" t="s">
        <v>3165</v>
      </c>
      <c r="D801" t="s">
        <v>3166</v>
      </c>
      <c r="E801" s="1">
        <v>45904</v>
      </c>
      <c r="F801" s="1">
        <v>45904</v>
      </c>
      <c r="G801" s="1">
        <v>45996</v>
      </c>
      <c r="H801" s="3">
        <v>45996</v>
      </c>
      <c r="I801" t="s">
        <v>3167</v>
      </c>
    </row>
    <row r="802" spans="1:9" x14ac:dyDescent="0.3">
      <c r="A802" t="s">
        <v>3881</v>
      </c>
      <c r="B802" s="14" t="s">
        <v>3882</v>
      </c>
      <c r="C802" t="s">
        <v>3883</v>
      </c>
      <c r="D802" t="s">
        <v>3884</v>
      </c>
      <c r="E802" s="1">
        <v>45818</v>
      </c>
      <c r="F802" s="1">
        <v>45818</v>
      </c>
      <c r="G802" s="1">
        <v>45996</v>
      </c>
      <c r="H802" s="3">
        <v>45996</v>
      </c>
      <c r="I802" t="s">
        <v>3885</v>
      </c>
    </row>
    <row r="803" spans="1:9" x14ac:dyDescent="0.3">
      <c r="A803" t="s">
        <v>4169</v>
      </c>
      <c r="B803" s="14" t="s">
        <v>4170</v>
      </c>
      <c r="C803" t="s">
        <v>4171</v>
      </c>
      <c r="D803" t="s">
        <v>4172</v>
      </c>
      <c r="E803" s="1">
        <v>45607</v>
      </c>
      <c r="F803" s="1">
        <v>45607</v>
      </c>
      <c r="G803" s="1">
        <v>45996</v>
      </c>
      <c r="H803" s="3">
        <v>45996</v>
      </c>
      <c r="I803" t="s">
        <v>4173</v>
      </c>
    </row>
    <row r="804" spans="1:9" x14ac:dyDescent="0.3">
      <c r="A804" t="s">
        <v>662</v>
      </c>
      <c r="B804" s="14" t="s">
        <v>663</v>
      </c>
      <c r="C804" t="s">
        <v>664</v>
      </c>
      <c r="D804" t="s">
        <v>665</v>
      </c>
      <c r="E804" s="1">
        <v>44182</v>
      </c>
      <c r="F804" s="1">
        <v>44545</v>
      </c>
      <c r="G804" s="1">
        <v>46000</v>
      </c>
      <c r="H804" s="3">
        <v>46000</v>
      </c>
      <c r="I804" t="s">
        <v>666</v>
      </c>
    </row>
    <row r="805" spans="1:9" x14ac:dyDescent="0.3">
      <c r="A805" t="s">
        <v>2998</v>
      </c>
      <c r="B805" s="14" t="s">
        <v>2999</v>
      </c>
      <c r="C805" t="s">
        <v>3000</v>
      </c>
      <c r="D805" t="s">
        <v>3001</v>
      </c>
      <c r="E805" s="1">
        <v>45820</v>
      </c>
      <c r="F805" s="1">
        <v>45820</v>
      </c>
      <c r="G805" s="1">
        <v>46000</v>
      </c>
      <c r="H805" s="3">
        <v>46000</v>
      </c>
      <c r="I805" t="s">
        <v>3002</v>
      </c>
    </row>
    <row r="806" spans="1:9" x14ac:dyDescent="0.3">
      <c r="A806" t="s">
        <v>4628</v>
      </c>
      <c r="B806" s="14" t="s">
        <v>4629</v>
      </c>
      <c r="C806" t="s">
        <v>4630</v>
      </c>
      <c r="D806" t="s">
        <v>4631</v>
      </c>
      <c r="E806" s="1">
        <v>45652</v>
      </c>
      <c r="F806" s="1">
        <v>45652</v>
      </c>
      <c r="G806" s="1">
        <v>46000</v>
      </c>
      <c r="H806" s="3">
        <v>46000</v>
      </c>
      <c r="I806" t="s">
        <v>4632</v>
      </c>
    </row>
    <row r="807" spans="1:9" x14ac:dyDescent="0.3">
      <c r="A807" t="s">
        <v>4788</v>
      </c>
      <c r="B807" s="14" t="s">
        <v>4789</v>
      </c>
      <c r="C807" t="s">
        <v>4790</v>
      </c>
      <c r="D807" t="s">
        <v>4791</v>
      </c>
      <c r="E807" s="1">
        <v>45916</v>
      </c>
      <c r="F807" s="1">
        <v>45916</v>
      </c>
      <c r="G807" s="1">
        <v>46000</v>
      </c>
      <c r="H807" s="3">
        <v>46000</v>
      </c>
      <c r="I807" t="s">
        <v>4792</v>
      </c>
    </row>
    <row r="808" spans="1:9" x14ac:dyDescent="0.3">
      <c r="A808" t="s">
        <v>3593</v>
      </c>
      <c r="B808" s="14" t="s">
        <v>3594</v>
      </c>
      <c r="C808" t="s">
        <v>436</v>
      </c>
      <c r="D808" t="s">
        <v>437</v>
      </c>
      <c r="E808" s="1">
        <v>45602</v>
      </c>
      <c r="F808" s="1">
        <v>45814</v>
      </c>
      <c r="G808" s="1">
        <v>46001</v>
      </c>
      <c r="H808" s="3">
        <v>46001</v>
      </c>
      <c r="I808" t="s">
        <v>3595</v>
      </c>
    </row>
    <row r="809" spans="1:9" x14ac:dyDescent="0.3">
      <c r="A809" t="s">
        <v>116</v>
      </c>
      <c r="B809" s="14" t="s">
        <v>117</v>
      </c>
      <c r="C809" t="s">
        <v>118</v>
      </c>
      <c r="D809" t="s">
        <v>119</v>
      </c>
      <c r="E809" s="1">
        <v>45911</v>
      </c>
      <c r="F809" s="1">
        <v>45911</v>
      </c>
      <c r="G809" s="1">
        <v>46003</v>
      </c>
      <c r="H809" s="3">
        <v>46003</v>
      </c>
      <c r="I809" t="s">
        <v>120</v>
      </c>
    </row>
    <row r="810" spans="1:9" x14ac:dyDescent="0.3">
      <c r="A810" t="s">
        <v>3448</v>
      </c>
      <c r="B810" s="14" t="s">
        <v>3449</v>
      </c>
      <c r="C810" t="s">
        <v>3450</v>
      </c>
      <c r="D810" t="s">
        <v>3451</v>
      </c>
      <c r="E810" s="1">
        <v>45868</v>
      </c>
      <c r="F810" s="1">
        <v>45868</v>
      </c>
      <c r="G810" s="1">
        <v>46003</v>
      </c>
      <c r="H810" s="3">
        <v>46003</v>
      </c>
      <c r="I810" t="s">
        <v>3452</v>
      </c>
    </row>
    <row r="811" spans="1:9" x14ac:dyDescent="0.3">
      <c r="A811" t="s">
        <v>3707</v>
      </c>
      <c r="B811" s="14" t="s">
        <v>3708</v>
      </c>
      <c r="C811" t="s">
        <v>2931</v>
      </c>
      <c r="D811" t="s">
        <v>3709</v>
      </c>
      <c r="E811" s="1">
        <v>45912</v>
      </c>
      <c r="F811" s="1">
        <v>45912</v>
      </c>
      <c r="G811" s="1">
        <v>46003</v>
      </c>
      <c r="H811" s="3">
        <v>46003</v>
      </c>
      <c r="I811" t="s">
        <v>3710</v>
      </c>
    </row>
    <row r="812" spans="1:9" x14ac:dyDescent="0.3">
      <c r="A812" t="s">
        <v>4550</v>
      </c>
      <c r="B812" s="14" t="s">
        <v>4551</v>
      </c>
      <c r="C812" t="s">
        <v>4171</v>
      </c>
      <c r="D812" t="s">
        <v>4552</v>
      </c>
      <c r="E812" s="1">
        <v>45607</v>
      </c>
      <c r="F812" s="1">
        <v>45607</v>
      </c>
      <c r="G812" s="1">
        <v>46003</v>
      </c>
      <c r="H812" s="3">
        <v>46003</v>
      </c>
      <c r="I812" t="s">
        <v>4553</v>
      </c>
    </row>
    <row r="813" spans="1:9" x14ac:dyDescent="0.3">
      <c r="A813" t="s">
        <v>49</v>
      </c>
      <c r="B813" s="15" t="s">
        <v>50</v>
      </c>
      <c r="C813" t="s">
        <v>51</v>
      </c>
      <c r="D813" t="s">
        <v>52</v>
      </c>
      <c r="E813" s="1">
        <v>45534</v>
      </c>
      <c r="F813" s="1">
        <v>45534</v>
      </c>
      <c r="G813" s="1">
        <v>46007</v>
      </c>
      <c r="H813" s="3">
        <v>46007</v>
      </c>
      <c r="I813" t="s">
        <v>53</v>
      </c>
    </row>
    <row r="814" spans="1:9" x14ac:dyDescent="0.3">
      <c r="A814" t="s">
        <v>81</v>
      </c>
      <c r="B814" s="14" t="s">
        <v>82</v>
      </c>
      <c r="C814" t="s">
        <v>83</v>
      </c>
      <c r="D814" t="s">
        <v>84</v>
      </c>
      <c r="E814" s="1">
        <v>45610</v>
      </c>
      <c r="F814" s="1">
        <v>45610</v>
      </c>
      <c r="G814" s="1">
        <v>46007</v>
      </c>
      <c r="H814" s="3">
        <v>46007</v>
      </c>
      <c r="I814" t="s">
        <v>85</v>
      </c>
    </row>
    <row r="815" spans="1:9" x14ac:dyDescent="0.3">
      <c r="A815" t="s">
        <v>434</v>
      </c>
      <c r="B815" s="14" t="s">
        <v>435</v>
      </c>
      <c r="C815" t="s">
        <v>436</v>
      </c>
      <c r="D815" t="s">
        <v>437</v>
      </c>
      <c r="E815" s="1">
        <v>45618</v>
      </c>
      <c r="F815" s="1">
        <v>45824</v>
      </c>
      <c r="G815" s="1">
        <v>46007</v>
      </c>
      <c r="H815" s="3">
        <v>46007</v>
      </c>
      <c r="I815" t="s">
        <v>438</v>
      </c>
    </row>
    <row r="816" spans="1:9" x14ac:dyDescent="0.3">
      <c r="A816" t="s">
        <v>739</v>
      </c>
      <c r="B816" s="14" t="s">
        <v>740</v>
      </c>
      <c r="C816" t="s">
        <v>741</v>
      </c>
      <c r="D816" t="s">
        <v>742</v>
      </c>
      <c r="E816" s="1">
        <v>45644</v>
      </c>
      <c r="F816" s="1">
        <v>45644</v>
      </c>
      <c r="G816" s="1">
        <v>46007</v>
      </c>
      <c r="H816" s="3">
        <v>46007</v>
      </c>
      <c r="I816" t="s">
        <v>743</v>
      </c>
    </row>
    <row r="817" spans="1:10" x14ac:dyDescent="0.3">
      <c r="A817" t="s">
        <v>953</v>
      </c>
      <c r="B817" s="14" t="s">
        <v>954</v>
      </c>
      <c r="C817" t="s">
        <v>955</v>
      </c>
      <c r="D817" t="s">
        <v>956</v>
      </c>
      <c r="E817" s="1">
        <v>45740</v>
      </c>
      <c r="F817" s="1">
        <v>45740</v>
      </c>
      <c r="G817" s="1">
        <v>46007</v>
      </c>
      <c r="H817" s="3">
        <v>46007</v>
      </c>
      <c r="I817" t="s">
        <v>957</v>
      </c>
    </row>
    <row r="818" spans="1:10" x14ac:dyDescent="0.3">
      <c r="A818" t="s">
        <v>1094</v>
      </c>
      <c r="B818" s="15" t="s">
        <v>1095</v>
      </c>
      <c r="C818" t="s">
        <v>1096</v>
      </c>
      <c r="D818" t="s">
        <v>1097</v>
      </c>
      <c r="E818" s="1">
        <v>45925</v>
      </c>
      <c r="F818" s="1">
        <v>45925</v>
      </c>
      <c r="G818" s="1">
        <v>46007</v>
      </c>
      <c r="H818" s="3">
        <v>46007</v>
      </c>
      <c r="I818" t="s">
        <v>1098</v>
      </c>
    </row>
    <row r="819" spans="1:10" x14ac:dyDescent="0.3">
      <c r="A819" t="s">
        <v>2906</v>
      </c>
      <c r="B819" s="14" t="s">
        <v>2907</v>
      </c>
      <c r="C819" t="s">
        <v>2908</v>
      </c>
      <c r="D819" t="s">
        <v>2909</v>
      </c>
      <c r="E819" s="1">
        <v>45945</v>
      </c>
      <c r="F819" s="1">
        <v>45945</v>
      </c>
      <c r="G819" s="1">
        <v>46007</v>
      </c>
      <c r="H819" s="3">
        <v>46007</v>
      </c>
      <c r="I819" t="s">
        <v>2910</v>
      </c>
    </row>
    <row r="820" spans="1:10" x14ac:dyDescent="0.3">
      <c r="A820" t="s">
        <v>2921</v>
      </c>
      <c r="B820" s="14" t="s">
        <v>2922</v>
      </c>
      <c r="C820" t="s">
        <v>1112</v>
      </c>
      <c r="D820" t="s">
        <v>2899</v>
      </c>
      <c r="E820" s="1">
        <v>45271</v>
      </c>
      <c r="F820" s="1">
        <v>45636</v>
      </c>
      <c r="G820" s="1">
        <v>46007</v>
      </c>
      <c r="H820" s="3">
        <v>46007</v>
      </c>
      <c r="I820" t="s">
        <v>2923</v>
      </c>
    </row>
    <row r="821" spans="1:10" x14ac:dyDescent="0.3">
      <c r="A821" t="s">
        <v>4554</v>
      </c>
      <c r="B821" s="14" t="s">
        <v>4555</v>
      </c>
      <c r="C821" t="s">
        <v>4556</v>
      </c>
      <c r="D821" t="s">
        <v>4557</v>
      </c>
      <c r="E821" s="1">
        <v>45708</v>
      </c>
      <c r="F821" s="1">
        <v>45708</v>
      </c>
      <c r="G821" s="1">
        <v>46010</v>
      </c>
      <c r="H821" s="3">
        <v>46010</v>
      </c>
      <c r="I821" t="s">
        <v>4558</v>
      </c>
    </row>
    <row r="822" spans="1:10" x14ac:dyDescent="0.3">
      <c r="A822" t="s">
        <v>1120</v>
      </c>
      <c r="B822" s="14" t="s">
        <v>1121</v>
      </c>
      <c r="C822" t="s">
        <v>1122</v>
      </c>
      <c r="D822" t="s">
        <v>1123</v>
      </c>
      <c r="E822" s="1">
        <v>45904</v>
      </c>
      <c r="F822" s="1">
        <v>45904</v>
      </c>
      <c r="G822" s="1">
        <v>46014</v>
      </c>
      <c r="H822" s="3">
        <v>46014</v>
      </c>
      <c r="I822" t="s">
        <v>1124</v>
      </c>
    </row>
    <row r="823" spans="1:10" x14ac:dyDescent="0.3">
      <c r="A823" t="s">
        <v>2085</v>
      </c>
      <c r="B823" s="14" t="s">
        <v>2086</v>
      </c>
      <c r="C823" t="s">
        <v>2087</v>
      </c>
      <c r="D823" t="s">
        <v>2087</v>
      </c>
      <c r="E823" s="1">
        <v>45408</v>
      </c>
      <c r="F823" s="1">
        <v>45408</v>
      </c>
      <c r="G823" s="1">
        <v>46014</v>
      </c>
      <c r="H823" s="3">
        <v>46014</v>
      </c>
      <c r="I823" t="s">
        <v>2088</v>
      </c>
      <c r="J823" t="s">
        <v>2089</v>
      </c>
    </row>
    <row r="824" spans="1:10" x14ac:dyDescent="0.3">
      <c r="A824" t="s">
        <v>2372</v>
      </c>
      <c r="B824" s="14" t="s">
        <v>2373</v>
      </c>
      <c r="C824" t="s">
        <v>2374</v>
      </c>
      <c r="D824" t="s">
        <v>2375</v>
      </c>
      <c r="E824" s="1">
        <v>45953</v>
      </c>
      <c r="F824" s="1">
        <v>45953</v>
      </c>
      <c r="G824" s="1">
        <v>46014</v>
      </c>
      <c r="H824" s="3">
        <v>46014</v>
      </c>
      <c r="I824" t="s">
        <v>2376</v>
      </c>
    </row>
    <row r="825" spans="1:10" x14ac:dyDescent="0.3">
      <c r="A825" t="s">
        <v>3205</v>
      </c>
      <c r="B825" s="14" t="s">
        <v>3206</v>
      </c>
      <c r="C825" t="s">
        <v>3207</v>
      </c>
      <c r="D825" t="s">
        <v>3208</v>
      </c>
      <c r="E825" s="1">
        <v>45895</v>
      </c>
      <c r="F825" s="1">
        <v>45895</v>
      </c>
      <c r="G825" s="1">
        <v>46014</v>
      </c>
      <c r="H825" s="3">
        <v>46014</v>
      </c>
      <c r="I825" t="s">
        <v>3209</v>
      </c>
    </row>
    <row r="826" spans="1:10" x14ac:dyDescent="0.3">
      <c r="A826" t="s">
        <v>3427</v>
      </c>
      <c r="B826" s="14" t="s">
        <v>3428</v>
      </c>
      <c r="C826" t="s">
        <v>3429</v>
      </c>
      <c r="D826" t="s">
        <v>3430</v>
      </c>
      <c r="E826" s="1">
        <v>45930</v>
      </c>
      <c r="F826" s="1">
        <v>45930</v>
      </c>
      <c r="G826" s="1">
        <v>46014</v>
      </c>
      <c r="H826" s="3">
        <v>46014</v>
      </c>
      <c r="I826" t="s">
        <v>3431</v>
      </c>
    </row>
    <row r="827" spans="1:10" x14ac:dyDescent="0.3">
      <c r="A827" t="s">
        <v>704</v>
      </c>
      <c r="B827" s="15" t="s">
        <v>705</v>
      </c>
      <c r="C827" t="s">
        <v>706</v>
      </c>
      <c r="D827" t="s">
        <v>707</v>
      </c>
      <c r="E827" s="1">
        <v>45590</v>
      </c>
      <c r="F827" s="1">
        <v>45590</v>
      </c>
      <c r="G827" s="1">
        <v>46021</v>
      </c>
      <c r="H827" s="3">
        <v>46021</v>
      </c>
      <c r="I827" t="s">
        <v>708</v>
      </c>
    </row>
    <row r="828" spans="1:10" x14ac:dyDescent="0.3">
      <c r="A828" t="s">
        <v>719</v>
      </c>
      <c r="B828" s="15" t="s">
        <v>720</v>
      </c>
      <c r="C828" t="s">
        <v>721</v>
      </c>
      <c r="D828" t="s">
        <v>722</v>
      </c>
      <c r="E828" s="1">
        <v>45919</v>
      </c>
      <c r="F828" s="1">
        <v>45919</v>
      </c>
      <c r="G828" s="1">
        <v>46021</v>
      </c>
      <c r="H828" s="3">
        <v>46021</v>
      </c>
      <c r="I828" t="s">
        <v>723</v>
      </c>
    </row>
    <row r="829" spans="1:10" x14ac:dyDescent="0.3">
      <c r="A829" t="s">
        <v>3944</v>
      </c>
      <c r="B829" s="14" t="s">
        <v>3945</v>
      </c>
      <c r="C829" t="s">
        <v>3946</v>
      </c>
      <c r="D829" t="s">
        <v>3947</v>
      </c>
      <c r="E829" s="1">
        <v>45944</v>
      </c>
      <c r="F829" s="1">
        <v>45944</v>
      </c>
      <c r="G829" s="1">
        <v>46021</v>
      </c>
      <c r="H829" s="3">
        <v>46021</v>
      </c>
      <c r="I829" t="s">
        <v>3948</v>
      </c>
    </row>
    <row r="830" spans="1:10" x14ac:dyDescent="0.3">
      <c r="A830" t="s">
        <v>4301</v>
      </c>
      <c r="B830" s="14" t="s">
        <v>4302</v>
      </c>
      <c r="C830" t="s">
        <v>4303</v>
      </c>
      <c r="D830" t="s">
        <v>4304</v>
      </c>
      <c r="E830" s="1">
        <v>45925</v>
      </c>
      <c r="F830" s="1">
        <v>45925</v>
      </c>
      <c r="G830" s="1">
        <v>46021</v>
      </c>
      <c r="H830" s="3">
        <v>46021</v>
      </c>
      <c r="I830" t="s">
        <v>4305</v>
      </c>
    </row>
    <row r="831" spans="1:10" x14ac:dyDescent="0.3">
      <c r="A831" t="s">
        <v>1344</v>
      </c>
      <c r="B831" s="6" t="s">
        <v>1345</v>
      </c>
      <c r="C831" t="s">
        <v>1346</v>
      </c>
      <c r="D831" t="s">
        <v>1347</v>
      </c>
      <c r="E831" s="1">
        <v>45740</v>
      </c>
      <c r="F831" s="1">
        <v>45740</v>
      </c>
      <c r="G831" s="1">
        <v>46024</v>
      </c>
      <c r="H831" s="3">
        <v>46024</v>
      </c>
      <c r="I831" t="s">
        <v>1348</v>
      </c>
    </row>
    <row r="832" spans="1:10" x14ac:dyDescent="0.3">
      <c r="A832" t="s">
        <v>2090</v>
      </c>
      <c r="B832" s="6" t="s">
        <v>2091</v>
      </c>
      <c r="C832" t="s">
        <v>2092</v>
      </c>
      <c r="D832" t="s">
        <v>2093</v>
      </c>
      <c r="E832" s="1">
        <v>45036</v>
      </c>
      <c r="F832" s="1">
        <v>45036</v>
      </c>
      <c r="G832" s="1">
        <v>46024</v>
      </c>
      <c r="H832" s="3">
        <v>46024</v>
      </c>
      <c r="I832" t="s">
        <v>2094</v>
      </c>
    </row>
    <row r="833" spans="1:10" x14ac:dyDescent="0.3">
      <c r="A833" t="s">
        <v>2993</v>
      </c>
      <c r="B833" s="7" t="s">
        <v>2994</v>
      </c>
      <c r="C833" t="s">
        <v>2995</v>
      </c>
      <c r="D833" t="s">
        <v>2996</v>
      </c>
      <c r="E833" s="1">
        <v>45684</v>
      </c>
      <c r="F833" s="1">
        <v>45684</v>
      </c>
      <c r="G833" s="1">
        <v>46024</v>
      </c>
      <c r="H833" s="3">
        <v>46024</v>
      </c>
      <c r="I833" t="s">
        <v>2997</v>
      </c>
    </row>
    <row r="834" spans="1:10" x14ac:dyDescent="0.3">
      <c r="A834" t="s">
        <v>3794</v>
      </c>
      <c r="B834" s="6" t="s">
        <v>3795</v>
      </c>
      <c r="C834" t="s">
        <v>3796</v>
      </c>
      <c r="D834" t="s">
        <v>3797</v>
      </c>
      <c r="E834" s="1">
        <v>45884</v>
      </c>
      <c r="F834" s="1">
        <v>45884</v>
      </c>
      <c r="G834" s="1">
        <v>46028</v>
      </c>
      <c r="H834" s="3">
        <v>46028</v>
      </c>
      <c r="I834" t="s">
        <v>3798</v>
      </c>
    </row>
    <row r="835" spans="1:10" x14ac:dyDescent="0.3">
      <c r="A835" t="s">
        <v>4089</v>
      </c>
      <c r="B835" s="6" t="s">
        <v>4090</v>
      </c>
      <c r="C835" t="s">
        <v>4091</v>
      </c>
      <c r="D835" t="s">
        <v>4092</v>
      </c>
      <c r="E835" s="1">
        <v>45761</v>
      </c>
      <c r="F835" s="1">
        <v>45761</v>
      </c>
      <c r="G835" s="1">
        <v>46028</v>
      </c>
      <c r="H835" s="3">
        <v>46028</v>
      </c>
      <c r="I835" t="s">
        <v>4093</v>
      </c>
    </row>
    <row r="836" spans="1:10" x14ac:dyDescent="0.3">
      <c r="A836" t="s">
        <v>3523</v>
      </c>
      <c r="B836" s="6" t="s">
        <v>3524</v>
      </c>
      <c r="C836" t="s">
        <v>3525</v>
      </c>
      <c r="D836" t="s">
        <v>3526</v>
      </c>
      <c r="E836" s="1">
        <v>45183</v>
      </c>
      <c r="F836" s="1">
        <v>45183</v>
      </c>
      <c r="G836" s="1">
        <v>46029</v>
      </c>
      <c r="H836" s="3">
        <v>46029</v>
      </c>
      <c r="I836" t="s">
        <v>3527</v>
      </c>
    </row>
    <row r="837" spans="1:10" x14ac:dyDescent="0.3">
      <c r="A837" t="s">
        <v>3081</v>
      </c>
      <c r="B837" s="6" t="s">
        <v>3082</v>
      </c>
      <c r="C837" t="s">
        <v>3083</v>
      </c>
      <c r="D837" t="s">
        <v>3084</v>
      </c>
      <c r="E837" s="1">
        <v>45678</v>
      </c>
      <c r="F837" s="1">
        <v>45678</v>
      </c>
      <c r="G837" s="1">
        <v>46031</v>
      </c>
      <c r="H837" s="3">
        <v>46031</v>
      </c>
      <c r="I837" t="s">
        <v>3085</v>
      </c>
    </row>
    <row r="838" spans="1:10" x14ac:dyDescent="0.3">
      <c r="A838" t="s">
        <v>683</v>
      </c>
      <c r="B838" s="6" t="s">
        <v>684</v>
      </c>
      <c r="C838" t="s">
        <v>685</v>
      </c>
      <c r="D838" t="s">
        <v>686</v>
      </c>
      <c r="E838" s="1">
        <v>45909</v>
      </c>
      <c r="F838" s="1">
        <v>45909</v>
      </c>
      <c r="G838" s="1">
        <v>46035</v>
      </c>
      <c r="H838" s="3">
        <v>46035</v>
      </c>
      <c r="I838" t="s">
        <v>687</v>
      </c>
    </row>
    <row r="839" spans="1:10" x14ac:dyDescent="0.3">
      <c r="A839" t="s">
        <v>1898</v>
      </c>
      <c r="B839" s="6" t="s">
        <v>1899</v>
      </c>
      <c r="C839" t="s">
        <v>1900</v>
      </c>
      <c r="D839" t="s">
        <v>1901</v>
      </c>
      <c r="E839" s="1">
        <v>45957</v>
      </c>
      <c r="F839" s="1">
        <v>45957</v>
      </c>
      <c r="G839" s="1">
        <v>46035</v>
      </c>
      <c r="H839" s="3">
        <v>46035</v>
      </c>
      <c r="I839" t="s">
        <v>1902</v>
      </c>
    </row>
    <row r="840" spans="1:10" x14ac:dyDescent="0.3">
      <c r="A840" t="s">
        <v>4325</v>
      </c>
      <c r="B840" s="7" t="s">
        <v>4326</v>
      </c>
      <c r="C840" t="s">
        <v>4327</v>
      </c>
      <c r="D840" t="s">
        <v>4328</v>
      </c>
      <c r="E840" s="1">
        <v>45657</v>
      </c>
      <c r="F840" s="1">
        <v>45657</v>
      </c>
      <c r="G840" s="1">
        <v>46038</v>
      </c>
      <c r="H840" s="3">
        <v>46038</v>
      </c>
      <c r="I840" t="s">
        <v>4329</v>
      </c>
    </row>
    <row r="841" spans="1:10" x14ac:dyDescent="0.3">
      <c r="A841" t="s">
        <v>386</v>
      </c>
      <c r="B841" s="7" t="s">
        <v>387</v>
      </c>
      <c r="C841" t="s">
        <v>388</v>
      </c>
      <c r="D841" t="s">
        <v>389</v>
      </c>
      <c r="E841" s="1">
        <v>44987</v>
      </c>
      <c r="F841" s="1">
        <v>44987</v>
      </c>
      <c r="G841" s="1">
        <v>46042</v>
      </c>
      <c r="H841" s="3">
        <v>46042</v>
      </c>
      <c r="I841" t="s">
        <v>390</v>
      </c>
    </row>
    <row r="842" spans="1:10" x14ac:dyDescent="0.3">
      <c r="A842" t="s">
        <v>2591</v>
      </c>
      <c r="B842" s="7" t="s">
        <v>2592</v>
      </c>
      <c r="C842" t="s">
        <v>2593</v>
      </c>
      <c r="D842" t="s">
        <v>2594</v>
      </c>
      <c r="E842" s="1">
        <v>45869</v>
      </c>
      <c r="F842" s="1">
        <v>45869</v>
      </c>
      <c r="G842" s="1">
        <v>46042</v>
      </c>
      <c r="H842" s="3">
        <v>46042</v>
      </c>
      <c r="I842" t="s">
        <v>2595</v>
      </c>
    </row>
    <row r="843" spans="1:10" x14ac:dyDescent="0.3">
      <c r="A843" t="s">
        <v>1737</v>
      </c>
      <c r="B843" s="6" t="s">
        <v>1738</v>
      </c>
      <c r="C843" t="s">
        <v>1739</v>
      </c>
      <c r="D843" t="s">
        <v>1740</v>
      </c>
      <c r="E843" s="1">
        <v>45940</v>
      </c>
      <c r="F843" s="1">
        <v>45940</v>
      </c>
      <c r="G843" s="1">
        <v>46045</v>
      </c>
      <c r="H843" s="3">
        <v>46045</v>
      </c>
      <c r="I843" t="s">
        <v>1741</v>
      </c>
    </row>
    <row r="844" spans="1:10" x14ac:dyDescent="0.3">
      <c r="A844" t="s">
        <v>1309</v>
      </c>
      <c r="B844" s="6" t="s">
        <v>1310</v>
      </c>
      <c r="C844" t="s">
        <v>1311</v>
      </c>
      <c r="D844" t="s">
        <v>1312</v>
      </c>
      <c r="E844" s="1">
        <v>45807</v>
      </c>
      <c r="F844" s="1">
        <v>45807</v>
      </c>
      <c r="G844" s="1">
        <v>46049</v>
      </c>
      <c r="H844" s="3">
        <v>46049</v>
      </c>
      <c r="I844" t="s">
        <v>1313</v>
      </c>
    </row>
    <row r="845" spans="1:10" x14ac:dyDescent="0.3">
      <c r="A845" t="s">
        <v>1649</v>
      </c>
      <c r="B845" s="6" t="s">
        <v>1650</v>
      </c>
      <c r="C845" t="s">
        <v>1651</v>
      </c>
      <c r="D845" t="s">
        <v>1652</v>
      </c>
      <c r="E845" s="1">
        <v>44498</v>
      </c>
      <c r="F845" s="1">
        <v>44853</v>
      </c>
      <c r="G845" s="1">
        <v>46049</v>
      </c>
      <c r="H845" s="3">
        <v>46049</v>
      </c>
      <c r="I845" t="s">
        <v>1653</v>
      </c>
      <c r="J845" t="s">
        <v>1654</v>
      </c>
    </row>
    <row r="846" spans="1:10" x14ac:dyDescent="0.3">
      <c r="A846" t="s">
        <v>1716</v>
      </c>
      <c r="B846" s="6" t="s">
        <v>1717</v>
      </c>
      <c r="C846" t="s">
        <v>1718</v>
      </c>
      <c r="D846" t="s">
        <v>1719</v>
      </c>
      <c r="E846" s="1">
        <v>45944</v>
      </c>
      <c r="F846" s="1">
        <v>45944</v>
      </c>
      <c r="G846" s="1">
        <v>46049</v>
      </c>
      <c r="H846" s="3">
        <v>46049</v>
      </c>
      <c r="I846" t="s">
        <v>1720</v>
      </c>
    </row>
    <row r="847" spans="1:10" x14ac:dyDescent="0.3">
      <c r="A847" t="s">
        <v>3095</v>
      </c>
      <c r="B847" s="7" t="s">
        <v>3096</v>
      </c>
      <c r="C847" t="s">
        <v>3097</v>
      </c>
      <c r="D847" t="s">
        <v>3098</v>
      </c>
      <c r="E847" s="1">
        <v>44698</v>
      </c>
      <c r="F847" s="1">
        <v>45054</v>
      </c>
      <c r="G847" s="1">
        <v>46049</v>
      </c>
      <c r="H847" s="3">
        <v>46049</v>
      </c>
      <c r="I847" t="s">
        <v>3099</v>
      </c>
      <c r="J847" t="s">
        <v>3100</v>
      </c>
    </row>
    <row r="848" spans="1:10" x14ac:dyDescent="0.3">
      <c r="A848" t="s">
        <v>3117</v>
      </c>
      <c r="B848" s="6" t="s">
        <v>3118</v>
      </c>
      <c r="C848" t="s">
        <v>3119</v>
      </c>
      <c r="D848" t="s">
        <v>3120</v>
      </c>
      <c r="E848" s="1">
        <v>45950</v>
      </c>
      <c r="F848" s="1">
        <v>45950</v>
      </c>
      <c r="G848" s="1">
        <v>46049</v>
      </c>
      <c r="H848" s="3">
        <v>46049</v>
      </c>
      <c r="I848" t="s">
        <v>3121</v>
      </c>
    </row>
    <row r="849" spans="1:9" x14ac:dyDescent="0.3">
      <c r="A849" t="s">
        <v>552</v>
      </c>
      <c r="B849" s="7" t="s">
        <v>553</v>
      </c>
      <c r="C849" t="s">
        <v>554</v>
      </c>
      <c r="D849" t="s">
        <v>555</v>
      </c>
      <c r="E849" s="1">
        <v>45867</v>
      </c>
      <c r="F849" s="1">
        <v>45867</v>
      </c>
      <c r="G849" s="1">
        <v>46052</v>
      </c>
      <c r="H849" s="3">
        <v>46052</v>
      </c>
      <c r="I849" t="s">
        <v>556</v>
      </c>
    </row>
    <row r="850" spans="1:9" x14ac:dyDescent="0.3">
      <c r="A850" t="s">
        <v>1175</v>
      </c>
      <c r="B850" s="6" t="s">
        <v>1176</v>
      </c>
      <c r="C850" t="s">
        <v>1177</v>
      </c>
      <c r="D850" t="s">
        <v>1178</v>
      </c>
      <c r="E850" s="1">
        <v>44939</v>
      </c>
      <c r="F850" s="1">
        <v>44939</v>
      </c>
      <c r="G850" s="1">
        <v>46052</v>
      </c>
      <c r="H850" s="3">
        <v>46052</v>
      </c>
      <c r="I850" t="s">
        <v>1179</v>
      </c>
    </row>
    <row r="851" spans="1:9" x14ac:dyDescent="0.3">
      <c r="A851" t="s">
        <v>3685</v>
      </c>
      <c r="B851" s="6" t="s">
        <v>3686</v>
      </c>
      <c r="C851" t="s">
        <v>3687</v>
      </c>
      <c r="D851" t="s">
        <v>3688</v>
      </c>
      <c r="E851" s="1">
        <v>45737</v>
      </c>
      <c r="F851" s="1">
        <v>45737</v>
      </c>
      <c r="G851" s="1">
        <v>46052</v>
      </c>
      <c r="H851" s="3">
        <v>46052</v>
      </c>
      <c r="I851" t="s">
        <v>3689</v>
      </c>
    </row>
    <row r="852" spans="1:9" x14ac:dyDescent="0.3">
      <c r="A852" t="s">
        <v>54</v>
      </c>
      <c r="B852" s="7" t="s">
        <v>55</v>
      </c>
      <c r="C852" t="s">
        <v>56</v>
      </c>
      <c r="D852" t="s">
        <v>57</v>
      </c>
      <c r="E852" s="1">
        <v>45999</v>
      </c>
      <c r="F852" s="1">
        <v>45999</v>
      </c>
      <c r="G852" s="1">
        <v>46056</v>
      </c>
      <c r="H852" s="3">
        <v>46056</v>
      </c>
      <c r="I852" t="s">
        <v>58</v>
      </c>
    </row>
    <row r="853" spans="1:9" x14ac:dyDescent="0.3">
      <c r="A853" t="s">
        <v>303</v>
      </c>
      <c r="B853" s="6" t="s">
        <v>304</v>
      </c>
      <c r="C853" t="s">
        <v>305</v>
      </c>
      <c r="D853" t="s">
        <v>306</v>
      </c>
      <c r="E853" s="1">
        <v>44987</v>
      </c>
      <c r="F853" s="1">
        <v>44987</v>
      </c>
      <c r="G853" s="1">
        <v>46056</v>
      </c>
      <c r="H853" s="3">
        <v>46056</v>
      </c>
      <c r="I853" t="s">
        <v>307</v>
      </c>
    </row>
    <row r="854" spans="1:9" x14ac:dyDescent="0.3">
      <c r="A854" t="s">
        <v>2411</v>
      </c>
      <c r="B854" s="6" t="s">
        <v>2412</v>
      </c>
      <c r="C854" t="s">
        <v>2413</v>
      </c>
      <c r="D854" t="s">
        <v>2414</v>
      </c>
      <c r="E854" s="1">
        <v>45901</v>
      </c>
      <c r="F854" s="1">
        <v>45901</v>
      </c>
      <c r="G854" s="1">
        <v>46056</v>
      </c>
      <c r="H854" s="3">
        <v>46056</v>
      </c>
      <c r="I854" t="s">
        <v>2415</v>
      </c>
    </row>
    <row r="855" spans="1:9" x14ac:dyDescent="0.3">
      <c r="A855" t="s">
        <v>3200</v>
      </c>
      <c r="B855" s="6" t="s">
        <v>3201</v>
      </c>
      <c r="C855" t="s">
        <v>3202</v>
      </c>
      <c r="D855" t="s">
        <v>3203</v>
      </c>
      <c r="E855" s="1">
        <v>45789</v>
      </c>
      <c r="F855" s="1">
        <v>45789</v>
      </c>
      <c r="G855" s="1">
        <v>46056</v>
      </c>
      <c r="H855" s="3">
        <v>46056</v>
      </c>
      <c r="I855" t="s">
        <v>3204</v>
      </c>
    </row>
    <row r="856" spans="1:9" x14ac:dyDescent="0.3">
      <c r="A856" t="s">
        <v>4345</v>
      </c>
      <c r="B856" s="7" t="s">
        <v>4346</v>
      </c>
      <c r="C856" t="s">
        <v>4347</v>
      </c>
      <c r="D856" t="s">
        <v>4348</v>
      </c>
      <c r="E856" s="1">
        <v>45754</v>
      </c>
      <c r="F856" s="1">
        <v>45754</v>
      </c>
      <c r="G856" s="1">
        <v>46056</v>
      </c>
      <c r="H856" s="3">
        <v>46056</v>
      </c>
      <c r="I856" t="s">
        <v>4349</v>
      </c>
    </row>
    <row r="857" spans="1:9" x14ac:dyDescent="0.3">
      <c r="A857" t="s">
        <v>786</v>
      </c>
      <c r="B857" s="6" t="s">
        <v>787</v>
      </c>
      <c r="C857" t="s">
        <v>788</v>
      </c>
      <c r="D857" t="s">
        <v>789</v>
      </c>
      <c r="E857" s="1">
        <v>45868</v>
      </c>
      <c r="F857" s="1">
        <v>45868</v>
      </c>
      <c r="G857" s="1">
        <v>46059</v>
      </c>
      <c r="H857" s="3">
        <v>46059</v>
      </c>
      <c r="I857" t="s">
        <v>790</v>
      </c>
    </row>
    <row r="858" spans="1:9" x14ac:dyDescent="0.3">
      <c r="A858" t="s">
        <v>3150</v>
      </c>
      <c r="B858" s="7" t="s">
        <v>3151</v>
      </c>
      <c r="C858" t="s">
        <v>1215</v>
      </c>
      <c r="D858" t="s">
        <v>3152</v>
      </c>
      <c r="E858" s="1">
        <v>45972</v>
      </c>
      <c r="F858" s="1">
        <v>45972</v>
      </c>
      <c r="G858" s="1">
        <v>46059</v>
      </c>
      <c r="H858" s="3">
        <v>46059</v>
      </c>
      <c r="I858" t="s">
        <v>3153</v>
      </c>
    </row>
    <row r="859" spans="1:9" x14ac:dyDescent="0.3">
      <c r="A859" t="s">
        <v>4703</v>
      </c>
      <c r="B859" s="6" t="s">
        <v>4704</v>
      </c>
      <c r="C859" t="s">
        <v>4705</v>
      </c>
      <c r="D859" t="s">
        <v>4706</v>
      </c>
      <c r="E859" s="1">
        <v>45987</v>
      </c>
      <c r="F859" s="1">
        <v>45987</v>
      </c>
      <c r="G859" s="1">
        <v>46059</v>
      </c>
      <c r="H859" s="3">
        <v>46059</v>
      </c>
      <c r="I859" t="s">
        <v>4707</v>
      </c>
    </row>
    <row r="860" spans="1:9" x14ac:dyDescent="0.3">
      <c r="A860" t="s">
        <v>893</v>
      </c>
      <c r="B860" s="6" t="s">
        <v>894</v>
      </c>
      <c r="C860" t="s">
        <v>895</v>
      </c>
      <c r="D860" t="s">
        <v>896</v>
      </c>
      <c r="E860" s="1">
        <v>45951</v>
      </c>
      <c r="F860" s="1">
        <v>45951</v>
      </c>
      <c r="G860" s="1">
        <v>46063</v>
      </c>
      <c r="H860" s="3">
        <v>46063</v>
      </c>
      <c r="I860" t="s">
        <v>897</v>
      </c>
    </row>
    <row r="861" spans="1:9" x14ac:dyDescent="0.3">
      <c r="A861" t="s">
        <v>2840</v>
      </c>
      <c r="B861" s="6" t="s">
        <v>2841</v>
      </c>
      <c r="C861" t="s">
        <v>254</v>
      </c>
      <c r="D861" t="s">
        <v>2842</v>
      </c>
      <c r="E861" s="1">
        <v>45971</v>
      </c>
      <c r="F861" s="1">
        <v>45971</v>
      </c>
      <c r="G861" s="1">
        <v>46063</v>
      </c>
      <c r="H861" s="3">
        <v>46063</v>
      </c>
      <c r="I861" t="s">
        <v>2843</v>
      </c>
    </row>
    <row r="862" spans="1:9" x14ac:dyDescent="0.3">
      <c r="A862" t="s">
        <v>3382</v>
      </c>
      <c r="B862" s="6" t="s">
        <v>3383</v>
      </c>
      <c r="C862" t="s">
        <v>3384</v>
      </c>
      <c r="D862" t="s">
        <v>3385</v>
      </c>
      <c r="E862" s="1">
        <v>45961</v>
      </c>
      <c r="F862" s="1">
        <v>45961</v>
      </c>
      <c r="G862" s="1">
        <v>46063</v>
      </c>
      <c r="H862" s="3">
        <v>46063</v>
      </c>
      <c r="I862" t="s">
        <v>3386</v>
      </c>
    </row>
    <row r="863" spans="1:9" x14ac:dyDescent="0.3">
      <c r="A863" t="s">
        <v>3721</v>
      </c>
      <c r="B863" s="6" t="s">
        <v>3722</v>
      </c>
      <c r="C863" t="s">
        <v>3723</v>
      </c>
      <c r="D863" t="s">
        <v>3724</v>
      </c>
      <c r="E863" s="1">
        <v>45959</v>
      </c>
      <c r="F863" s="1">
        <v>45959</v>
      </c>
      <c r="G863" s="1">
        <v>46063</v>
      </c>
      <c r="H863" s="3">
        <v>46063</v>
      </c>
      <c r="I863" t="s">
        <v>3725</v>
      </c>
    </row>
    <row r="864" spans="1:9" x14ac:dyDescent="0.3">
      <c r="A864" t="s">
        <v>4466</v>
      </c>
      <c r="B864" s="6" t="s">
        <v>4467</v>
      </c>
      <c r="C864" t="s">
        <v>4468</v>
      </c>
      <c r="D864" t="s">
        <v>4469</v>
      </c>
      <c r="E864" s="1">
        <v>45821</v>
      </c>
      <c r="F864" s="1">
        <v>45821</v>
      </c>
      <c r="G864" s="1">
        <v>46063</v>
      </c>
      <c r="H864" s="3">
        <v>46063</v>
      </c>
      <c r="I864" t="s">
        <v>4470</v>
      </c>
    </row>
    <row r="865" spans="1:10" x14ac:dyDescent="0.3">
      <c r="A865" t="s">
        <v>579</v>
      </c>
      <c r="B865" s="7" t="s">
        <v>580</v>
      </c>
      <c r="C865" t="s">
        <v>581</v>
      </c>
      <c r="D865" t="s">
        <v>582</v>
      </c>
      <c r="E865" s="1">
        <v>45128</v>
      </c>
      <c r="F865" s="1">
        <v>45128</v>
      </c>
      <c r="G865" s="1">
        <v>46066</v>
      </c>
      <c r="H865" s="3">
        <v>46066</v>
      </c>
      <c r="I865" t="s">
        <v>583</v>
      </c>
    </row>
    <row r="866" spans="1:10" x14ac:dyDescent="0.3">
      <c r="A866" t="s">
        <v>3969</v>
      </c>
      <c r="B866" s="6" t="s">
        <v>3970</v>
      </c>
      <c r="C866" t="s">
        <v>1215</v>
      </c>
      <c r="D866" t="s">
        <v>3152</v>
      </c>
      <c r="E866" s="1">
        <v>45965</v>
      </c>
      <c r="F866" s="1">
        <v>45965</v>
      </c>
      <c r="G866" s="1">
        <v>46066</v>
      </c>
      <c r="H866" s="3">
        <v>46066</v>
      </c>
      <c r="I866" t="s">
        <v>3971</v>
      </c>
    </row>
    <row r="867" spans="1:10" x14ac:dyDescent="0.3">
      <c r="A867" t="s">
        <v>4519</v>
      </c>
      <c r="B867" s="6" t="s">
        <v>4520</v>
      </c>
      <c r="C867" t="s">
        <v>4521</v>
      </c>
      <c r="D867" t="s">
        <v>4522</v>
      </c>
      <c r="E867" s="1">
        <v>45967</v>
      </c>
      <c r="F867" s="1">
        <v>45967</v>
      </c>
      <c r="G867" s="1">
        <v>46066</v>
      </c>
      <c r="H867" s="3">
        <v>46066</v>
      </c>
      <c r="I867" t="s">
        <v>4523</v>
      </c>
    </row>
    <row r="868" spans="1:10" x14ac:dyDescent="0.3">
      <c r="A868" t="s">
        <v>33</v>
      </c>
      <c r="B868" s="7" t="s">
        <v>34</v>
      </c>
      <c r="C868" t="s">
        <v>35</v>
      </c>
      <c r="D868" t="s">
        <v>36</v>
      </c>
      <c r="E868" s="1">
        <v>46007</v>
      </c>
      <c r="F868" s="1">
        <v>46007</v>
      </c>
      <c r="G868" s="1">
        <v>46070</v>
      </c>
      <c r="H868" s="3">
        <v>46070</v>
      </c>
      <c r="I868" t="s">
        <v>37</v>
      </c>
    </row>
    <row r="869" spans="1:10" x14ac:dyDescent="0.3">
      <c r="A869" t="s">
        <v>1542</v>
      </c>
      <c r="B869" s="6" t="s">
        <v>1543</v>
      </c>
      <c r="C869" t="s">
        <v>1544</v>
      </c>
      <c r="D869" t="s">
        <v>1545</v>
      </c>
      <c r="E869" s="1">
        <v>45945</v>
      </c>
      <c r="F869" s="1">
        <v>45945</v>
      </c>
      <c r="G869" s="1">
        <v>46070</v>
      </c>
      <c r="H869" s="3">
        <v>46070</v>
      </c>
      <c r="I869" t="s">
        <v>1546</v>
      </c>
    </row>
    <row r="870" spans="1:10" x14ac:dyDescent="0.3">
      <c r="A870" t="s">
        <v>2917</v>
      </c>
      <c r="B870" s="6" t="s">
        <v>2918</v>
      </c>
      <c r="C870" t="s">
        <v>35</v>
      </c>
      <c r="D870" t="s">
        <v>2919</v>
      </c>
      <c r="E870" s="1">
        <v>46003</v>
      </c>
      <c r="F870" s="1">
        <v>46003</v>
      </c>
      <c r="G870" s="1">
        <v>46070</v>
      </c>
      <c r="H870" s="3">
        <v>46070</v>
      </c>
      <c r="I870" t="s">
        <v>2920</v>
      </c>
    </row>
    <row r="871" spans="1:10" x14ac:dyDescent="0.3">
      <c r="A871" t="s">
        <v>3544</v>
      </c>
      <c r="B871" s="6" t="s">
        <v>3545</v>
      </c>
      <c r="C871" t="s">
        <v>3546</v>
      </c>
      <c r="D871" t="s">
        <v>3547</v>
      </c>
      <c r="E871" s="1">
        <v>45603</v>
      </c>
      <c r="F871" s="1">
        <v>45817</v>
      </c>
      <c r="G871" s="1">
        <v>46070</v>
      </c>
      <c r="H871" s="3">
        <v>46070</v>
      </c>
      <c r="I871" t="s">
        <v>3548</v>
      </c>
      <c r="J871" t="s">
        <v>3549</v>
      </c>
    </row>
    <row r="872" spans="1:10" x14ac:dyDescent="0.3">
      <c r="A872" t="s">
        <v>198</v>
      </c>
      <c r="B872" s="7" t="s">
        <v>199</v>
      </c>
      <c r="C872" t="s">
        <v>186</v>
      </c>
      <c r="D872" t="s">
        <v>168</v>
      </c>
      <c r="E872" s="1">
        <v>44620</v>
      </c>
      <c r="F872" s="1">
        <v>44858</v>
      </c>
      <c r="G872" s="1">
        <v>46076</v>
      </c>
      <c r="H872" s="3">
        <v>46076</v>
      </c>
      <c r="I872" t="s">
        <v>200</v>
      </c>
    </row>
    <row r="873" spans="1:10" x14ac:dyDescent="0.3">
      <c r="A873" t="s">
        <v>1528</v>
      </c>
      <c r="B873" s="6" t="s">
        <v>1471</v>
      </c>
      <c r="C873" t="s">
        <v>1472</v>
      </c>
      <c r="D873" t="s">
        <v>1529</v>
      </c>
      <c r="E873" s="1">
        <v>44384</v>
      </c>
      <c r="F873" s="1">
        <v>44749</v>
      </c>
      <c r="G873" s="1">
        <v>46077</v>
      </c>
      <c r="H873" s="3">
        <v>46077</v>
      </c>
      <c r="I873" t="s">
        <v>1530</v>
      </c>
      <c r="J873" t="s">
        <v>1531</v>
      </c>
    </row>
    <row r="874" spans="1:10" x14ac:dyDescent="0.3">
      <c r="A874" t="s">
        <v>3306</v>
      </c>
      <c r="B874" s="6" t="s">
        <v>3307</v>
      </c>
      <c r="C874" t="s">
        <v>3308</v>
      </c>
      <c r="D874" t="s">
        <v>3309</v>
      </c>
      <c r="E874" s="1">
        <v>45845</v>
      </c>
      <c r="F874" s="1">
        <v>45845</v>
      </c>
      <c r="G874" s="1">
        <v>46077</v>
      </c>
      <c r="H874" s="3">
        <v>46077</v>
      </c>
      <c r="I874" t="s">
        <v>3310</v>
      </c>
    </row>
    <row r="875" spans="1:10" x14ac:dyDescent="0.3">
      <c r="A875" t="s">
        <v>3518</v>
      </c>
      <c r="B875" s="6" t="s">
        <v>3519</v>
      </c>
      <c r="C875" t="s">
        <v>3520</v>
      </c>
      <c r="D875" t="s">
        <v>3521</v>
      </c>
      <c r="E875" s="1">
        <v>45992</v>
      </c>
      <c r="F875" s="1">
        <v>45992</v>
      </c>
      <c r="G875" s="1">
        <v>46077</v>
      </c>
      <c r="H875" s="3">
        <v>46077</v>
      </c>
      <c r="I875" t="s">
        <v>3522</v>
      </c>
    </row>
    <row r="876" spans="1:10" x14ac:dyDescent="0.3">
      <c r="A876" t="s">
        <v>1746</v>
      </c>
      <c r="B876" s="6" t="s">
        <v>1747</v>
      </c>
      <c r="C876" t="s">
        <v>1748</v>
      </c>
      <c r="D876" t="s">
        <v>1749</v>
      </c>
      <c r="E876" s="1">
        <v>45947</v>
      </c>
      <c r="F876" s="1">
        <v>45947</v>
      </c>
      <c r="G876" s="1">
        <v>46080</v>
      </c>
      <c r="H876" s="3">
        <v>46080</v>
      </c>
      <c r="I876" t="s">
        <v>1750</v>
      </c>
    </row>
    <row r="877" spans="1:10" x14ac:dyDescent="0.3">
      <c r="A877" t="s">
        <v>1800</v>
      </c>
      <c r="B877" s="6" t="s">
        <v>1801</v>
      </c>
      <c r="C877" t="s">
        <v>1802</v>
      </c>
      <c r="D877" t="s">
        <v>1803</v>
      </c>
      <c r="E877" s="1">
        <v>45091</v>
      </c>
      <c r="F877" s="1">
        <v>45091</v>
      </c>
      <c r="G877" s="1">
        <v>46080</v>
      </c>
      <c r="H877" s="3">
        <v>46080</v>
      </c>
      <c r="I877" t="s">
        <v>1804</v>
      </c>
    </row>
    <row r="878" spans="1:10" x14ac:dyDescent="0.3">
      <c r="A878" t="s">
        <v>3387</v>
      </c>
      <c r="B878" s="6" t="s">
        <v>3388</v>
      </c>
      <c r="C878" t="s">
        <v>575</v>
      </c>
      <c r="D878" t="s">
        <v>3389</v>
      </c>
      <c r="E878" s="1">
        <v>45825</v>
      </c>
      <c r="F878" s="1">
        <v>45825</v>
      </c>
      <c r="G878" s="1">
        <v>46080</v>
      </c>
      <c r="H878" s="3">
        <v>46080</v>
      </c>
      <c r="I878" t="s">
        <v>3390</v>
      </c>
    </row>
    <row r="879" spans="1:10" x14ac:dyDescent="0.3">
      <c r="A879" t="s">
        <v>3746</v>
      </c>
      <c r="B879" s="6" t="s">
        <v>3747</v>
      </c>
      <c r="C879" t="s">
        <v>3748</v>
      </c>
      <c r="D879" t="s">
        <v>3749</v>
      </c>
      <c r="E879" s="1">
        <v>45971</v>
      </c>
      <c r="F879" s="1">
        <v>45971</v>
      </c>
      <c r="G879" s="1">
        <v>46080</v>
      </c>
      <c r="H879" s="3">
        <v>46080</v>
      </c>
      <c r="I879" t="s">
        <v>3750</v>
      </c>
    </row>
    <row r="880" spans="1:10" x14ac:dyDescent="0.3">
      <c r="A880" t="s">
        <v>4290</v>
      </c>
      <c r="B880" s="7" t="s">
        <v>4291</v>
      </c>
      <c r="C880" t="s">
        <v>4292</v>
      </c>
      <c r="D880" t="s">
        <v>4293</v>
      </c>
      <c r="E880" s="1">
        <v>45729</v>
      </c>
      <c r="F880" s="1">
        <v>45729</v>
      </c>
      <c r="G880" s="1">
        <v>46080</v>
      </c>
      <c r="H880" s="3">
        <v>46080</v>
      </c>
      <c r="I880" t="s">
        <v>4294</v>
      </c>
    </row>
    <row r="881" spans="1:10" x14ac:dyDescent="0.3">
      <c r="A881" t="s">
        <v>1135</v>
      </c>
      <c r="B881" s="6" t="s">
        <v>1136</v>
      </c>
      <c r="C881" t="s">
        <v>1137</v>
      </c>
      <c r="D881" t="s">
        <v>1138</v>
      </c>
      <c r="E881" s="1">
        <v>45999</v>
      </c>
      <c r="F881" s="1">
        <v>45999</v>
      </c>
      <c r="G881" s="1">
        <v>46084</v>
      </c>
      <c r="H881" s="3">
        <v>46084</v>
      </c>
      <c r="I881" t="s">
        <v>1139</v>
      </c>
    </row>
    <row r="882" spans="1:10" x14ac:dyDescent="0.3">
      <c r="A882" t="s">
        <v>1401</v>
      </c>
      <c r="B882" s="6" t="s">
        <v>1402</v>
      </c>
      <c r="C882" t="s">
        <v>1403</v>
      </c>
      <c r="D882" t="s">
        <v>1404</v>
      </c>
      <c r="E882" s="1">
        <v>45058</v>
      </c>
      <c r="F882" s="1">
        <v>45058</v>
      </c>
      <c r="G882" s="1">
        <v>46084</v>
      </c>
      <c r="H882" s="3">
        <v>46084</v>
      </c>
      <c r="I882" t="s">
        <v>1405</v>
      </c>
    </row>
    <row r="883" spans="1:10" x14ac:dyDescent="0.3">
      <c r="A883" t="s">
        <v>3499</v>
      </c>
      <c r="B883" s="6" t="s">
        <v>3500</v>
      </c>
      <c r="C883" t="s">
        <v>3501</v>
      </c>
      <c r="D883" t="s">
        <v>3502</v>
      </c>
      <c r="E883" s="1">
        <v>45950</v>
      </c>
      <c r="F883" s="1">
        <v>45950</v>
      </c>
      <c r="G883" s="1">
        <v>46084</v>
      </c>
      <c r="H883" s="3">
        <v>46084</v>
      </c>
      <c r="I883" t="s">
        <v>3503</v>
      </c>
    </row>
    <row r="884" spans="1:10" x14ac:dyDescent="0.3">
      <c r="A884" t="s">
        <v>3596</v>
      </c>
      <c r="B884" s="6" t="s">
        <v>3597</v>
      </c>
      <c r="C884" t="s">
        <v>3598</v>
      </c>
      <c r="D884" t="s">
        <v>3599</v>
      </c>
      <c r="E884" s="1">
        <v>45516</v>
      </c>
      <c r="F884" s="1">
        <v>45516</v>
      </c>
      <c r="G884" s="1">
        <v>46084</v>
      </c>
      <c r="H884" s="3">
        <v>46084</v>
      </c>
      <c r="I884" t="s">
        <v>3600</v>
      </c>
    </row>
    <row r="885" spans="1:10" x14ac:dyDescent="0.3">
      <c r="A885" t="s">
        <v>3815</v>
      </c>
      <c r="B885" s="6" t="s">
        <v>3816</v>
      </c>
      <c r="C885" t="s">
        <v>3817</v>
      </c>
      <c r="D885" t="s">
        <v>3818</v>
      </c>
      <c r="E885" s="1">
        <v>45964</v>
      </c>
      <c r="F885" s="1">
        <v>45964</v>
      </c>
      <c r="G885" s="1">
        <v>46084</v>
      </c>
      <c r="H885" s="3">
        <v>46084</v>
      </c>
      <c r="I885" t="s">
        <v>3819</v>
      </c>
    </row>
    <row r="886" spans="1:10" x14ac:dyDescent="0.3">
      <c r="A886" t="s">
        <v>138</v>
      </c>
      <c r="B886" s="6" t="s">
        <v>139</v>
      </c>
      <c r="C886" t="s">
        <v>140</v>
      </c>
      <c r="D886" t="s">
        <v>141</v>
      </c>
      <c r="E886" s="1">
        <v>45973</v>
      </c>
      <c r="F886" s="1">
        <v>45973</v>
      </c>
      <c r="G886" s="1">
        <v>46087</v>
      </c>
      <c r="H886" s="3">
        <v>46087</v>
      </c>
      <c r="I886" t="s">
        <v>142</v>
      </c>
    </row>
    <row r="887" spans="1:10" x14ac:dyDescent="0.3">
      <c r="A887" t="s">
        <v>1557</v>
      </c>
      <c r="B887" s="6" t="s">
        <v>1558</v>
      </c>
      <c r="C887" t="s">
        <v>426</v>
      </c>
      <c r="D887" t="s">
        <v>1559</v>
      </c>
      <c r="E887" s="1">
        <v>45954</v>
      </c>
      <c r="F887" s="1">
        <v>45954</v>
      </c>
      <c r="G887" s="1">
        <v>46087</v>
      </c>
      <c r="H887" s="3">
        <v>46087</v>
      </c>
      <c r="I887" t="s">
        <v>1560</v>
      </c>
    </row>
    <row r="888" spans="1:10" x14ac:dyDescent="0.3">
      <c r="A888" t="s">
        <v>4114</v>
      </c>
      <c r="B888" s="6" t="s">
        <v>4115</v>
      </c>
      <c r="C888" t="s">
        <v>4116</v>
      </c>
      <c r="D888" t="s">
        <v>4117</v>
      </c>
      <c r="E888" s="1">
        <v>45765</v>
      </c>
      <c r="F888" s="1">
        <v>45765</v>
      </c>
      <c r="G888" s="1">
        <v>46091</v>
      </c>
      <c r="H888" s="3">
        <v>46091</v>
      </c>
      <c r="I888" t="s">
        <v>4118</v>
      </c>
    </row>
    <row r="889" spans="1:10" x14ac:dyDescent="0.3">
      <c r="A889" t="s">
        <v>2866</v>
      </c>
      <c r="B889" s="6" t="s">
        <v>2867</v>
      </c>
      <c r="C889" t="s">
        <v>2868</v>
      </c>
      <c r="D889" t="s">
        <v>2869</v>
      </c>
      <c r="E889" s="1">
        <v>45182</v>
      </c>
      <c r="F889" s="1">
        <v>45182</v>
      </c>
      <c r="G889" s="1">
        <v>46094</v>
      </c>
      <c r="H889" s="3">
        <v>46094</v>
      </c>
      <c r="I889" t="s">
        <v>2870</v>
      </c>
    </row>
    <row r="890" spans="1:10" x14ac:dyDescent="0.3">
      <c r="A890" t="s">
        <v>3481</v>
      </c>
      <c r="B890" s="7" t="s">
        <v>3482</v>
      </c>
      <c r="C890" t="s">
        <v>3483</v>
      </c>
      <c r="D890" t="s">
        <v>3484</v>
      </c>
      <c r="E890" s="1">
        <v>45656</v>
      </c>
      <c r="F890" s="1">
        <v>45656</v>
      </c>
      <c r="G890" s="1">
        <v>46094</v>
      </c>
      <c r="H890" s="3">
        <v>46094</v>
      </c>
      <c r="I890" t="s">
        <v>3485</v>
      </c>
    </row>
    <row r="891" spans="1:10" x14ac:dyDescent="0.3">
      <c r="A891" t="s">
        <v>3509</v>
      </c>
      <c r="B891" s="6" t="s">
        <v>3510</v>
      </c>
      <c r="C891" t="s">
        <v>3478</v>
      </c>
      <c r="D891" t="s">
        <v>3511</v>
      </c>
      <c r="E891" s="1">
        <v>46002</v>
      </c>
      <c r="F891" s="1">
        <v>46002</v>
      </c>
      <c r="G891" s="1">
        <v>46094</v>
      </c>
      <c r="H891" s="3">
        <v>46094</v>
      </c>
      <c r="I891" t="s">
        <v>3512</v>
      </c>
    </row>
    <row r="892" spans="1:10" x14ac:dyDescent="0.3">
      <c r="A892" t="s">
        <v>2448</v>
      </c>
      <c r="B892" s="6" t="s">
        <v>2449</v>
      </c>
      <c r="C892" t="s">
        <v>2450</v>
      </c>
      <c r="D892" t="s">
        <v>2451</v>
      </c>
      <c r="E892" s="1">
        <v>45953</v>
      </c>
      <c r="F892" s="1">
        <v>45953</v>
      </c>
      <c r="G892" s="1">
        <v>46098</v>
      </c>
      <c r="H892" s="3">
        <v>46098</v>
      </c>
      <c r="I892" t="s">
        <v>2452</v>
      </c>
    </row>
    <row r="893" spans="1:10" x14ac:dyDescent="0.3">
      <c r="A893" t="s">
        <v>3351</v>
      </c>
      <c r="B893" s="6" t="s">
        <v>3352</v>
      </c>
      <c r="C893" t="s">
        <v>3353</v>
      </c>
      <c r="D893" t="s">
        <v>3354</v>
      </c>
      <c r="E893" s="1">
        <v>45877</v>
      </c>
      <c r="F893" s="1">
        <v>45877</v>
      </c>
      <c r="G893" s="1">
        <v>46098</v>
      </c>
      <c r="H893" s="3">
        <v>46098</v>
      </c>
      <c r="I893" t="s">
        <v>3355</v>
      </c>
    </row>
    <row r="894" spans="1:10" x14ac:dyDescent="0.3">
      <c r="A894" t="s">
        <v>3476</v>
      </c>
      <c r="B894" s="7" t="s">
        <v>3477</v>
      </c>
      <c r="C894" t="s">
        <v>3478</v>
      </c>
      <c r="D894" t="s">
        <v>3479</v>
      </c>
      <c r="E894" s="1">
        <v>45961</v>
      </c>
      <c r="F894" s="1">
        <v>45961</v>
      </c>
      <c r="G894" s="1">
        <v>46098</v>
      </c>
      <c r="H894" s="3">
        <v>46098</v>
      </c>
      <c r="I894" t="s">
        <v>3480</v>
      </c>
    </row>
    <row r="895" spans="1:10" x14ac:dyDescent="0.3">
      <c r="A895" t="s">
        <v>3632</v>
      </c>
      <c r="B895" s="6" t="s">
        <v>3633</v>
      </c>
      <c r="C895" t="s">
        <v>3634</v>
      </c>
      <c r="D895" t="s">
        <v>3635</v>
      </c>
      <c r="E895" s="1">
        <v>45888</v>
      </c>
      <c r="F895" s="1">
        <v>45888</v>
      </c>
      <c r="G895" s="1">
        <v>46098</v>
      </c>
      <c r="H895" s="3">
        <v>46098</v>
      </c>
      <c r="I895" t="s">
        <v>3636</v>
      </c>
    </row>
    <row r="896" spans="1:10" x14ac:dyDescent="0.3">
      <c r="A896" t="s">
        <v>4539</v>
      </c>
      <c r="B896" s="6" t="s">
        <v>4540</v>
      </c>
      <c r="C896" t="s">
        <v>4541</v>
      </c>
      <c r="D896" t="s">
        <v>4542</v>
      </c>
      <c r="E896" s="1">
        <v>44811</v>
      </c>
      <c r="F896" s="1">
        <v>45175</v>
      </c>
      <c r="G896" s="1">
        <v>46098</v>
      </c>
      <c r="H896" s="3">
        <v>46098</v>
      </c>
      <c r="I896" t="s">
        <v>4543</v>
      </c>
      <c r="J896" t="s">
        <v>4544</v>
      </c>
    </row>
    <row r="897" spans="1:10" x14ac:dyDescent="0.3">
      <c r="A897" t="s">
        <v>184</v>
      </c>
      <c r="B897" s="6" t="s">
        <v>185</v>
      </c>
      <c r="C897" t="s">
        <v>186</v>
      </c>
      <c r="D897" t="s">
        <v>168</v>
      </c>
      <c r="E897" s="1">
        <v>44620</v>
      </c>
      <c r="F897" s="1">
        <v>45384</v>
      </c>
      <c r="G897" s="1">
        <v>46100</v>
      </c>
      <c r="H897" s="3">
        <v>46100</v>
      </c>
      <c r="I897" t="s">
        <v>187</v>
      </c>
    </row>
    <row r="898" spans="1:10" x14ac:dyDescent="0.3">
      <c r="A898" t="s">
        <v>1324</v>
      </c>
      <c r="B898" s="6" t="s">
        <v>1325</v>
      </c>
      <c r="C898" t="s">
        <v>1326</v>
      </c>
      <c r="D898" t="s">
        <v>1327</v>
      </c>
      <c r="E898" s="1">
        <v>45828</v>
      </c>
      <c r="F898" s="1">
        <v>45828</v>
      </c>
      <c r="G898" s="1">
        <v>46101</v>
      </c>
      <c r="H898" s="3">
        <v>46101</v>
      </c>
      <c r="I898" t="s">
        <v>1328</v>
      </c>
    </row>
    <row r="899" spans="1:10" x14ac:dyDescent="0.3">
      <c r="A899" t="s">
        <v>2809</v>
      </c>
      <c r="B899" s="7" t="s">
        <v>2810</v>
      </c>
      <c r="C899" t="s">
        <v>2811</v>
      </c>
      <c r="D899" t="s">
        <v>2812</v>
      </c>
      <c r="E899" s="1">
        <v>45156</v>
      </c>
      <c r="F899" s="1">
        <v>45156</v>
      </c>
      <c r="G899" s="1">
        <v>46101</v>
      </c>
      <c r="H899" s="3">
        <v>46101</v>
      </c>
      <c r="I899" t="s">
        <v>2813</v>
      </c>
    </row>
    <row r="900" spans="1:10" x14ac:dyDescent="0.3">
      <c r="A900" t="s">
        <v>3977</v>
      </c>
      <c r="B900" s="6" t="s">
        <v>3978</v>
      </c>
      <c r="C900" t="s">
        <v>3861</v>
      </c>
      <c r="D900" t="s">
        <v>3979</v>
      </c>
      <c r="E900" s="1">
        <v>45831</v>
      </c>
      <c r="F900" s="1">
        <v>45831</v>
      </c>
      <c r="G900" s="1">
        <v>46101</v>
      </c>
      <c r="H900" s="3">
        <v>46101</v>
      </c>
      <c r="I900" t="s">
        <v>3980</v>
      </c>
    </row>
    <row r="901" spans="1:10" x14ac:dyDescent="0.3">
      <c r="A901" t="s">
        <v>275</v>
      </c>
      <c r="B901" s="6" t="s">
        <v>276</v>
      </c>
      <c r="C901" t="s">
        <v>277</v>
      </c>
      <c r="D901" t="s">
        <v>278</v>
      </c>
      <c r="E901" s="1">
        <v>44608</v>
      </c>
      <c r="F901" s="1">
        <v>44972</v>
      </c>
      <c r="G901" s="1">
        <v>46105</v>
      </c>
      <c r="H901" s="3">
        <v>46105</v>
      </c>
      <c r="I901" t="s">
        <v>279</v>
      </c>
      <c r="J901" t="s">
        <v>280</v>
      </c>
    </row>
    <row r="902" spans="1:10" x14ac:dyDescent="0.3">
      <c r="A902" t="s">
        <v>3972</v>
      </c>
      <c r="B902" s="6" t="s">
        <v>3973</v>
      </c>
      <c r="C902" t="s">
        <v>3974</v>
      </c>
      <c r="D902" t="s">
        <v>3975</v>
      </c>
      <c r="E902" s="1">
        <v>45996</v>
      </c>
      <c r="F902" s="1">
        <v>45996</v>
      </c>
      <c r="G902" s="1">
        <v>46105</v>
      </c>
      <c r="H902" s="3">
        <v>46105</v>
      </c>
      <c r="I902" t="s">
        <v>3976</v>
      </c>
    </row>
    <row r="903" spans="1:10" x14ac:dyDescent="0.3">
      <c r="A903" t="s">
        <v>3112</v>
      </c>
      <c r="B903" s="6" t="s">
        <v>3113</v>
      </c>
      <c r="C903" t="s">
        <v>3114</v>
      </c>
      <c r="D903" t="s">
        <v>3115</v>
      </c>
      <c r="E903" s="1">
        <v>45833</v>
      </c>
      <c r="F903" s="1">
        <v>45833</v>
      </c>
      <c r="G903" s="1">
        <v>46108</v>
      </c>
      <c r="H903" s="3">
        <v>46108</v>
      </c>
      <c r="I903" t="s">
        <v>3116</v>
      </c>
    </row>
    <row r="904" spans="1:10" x14ac:dyDescent="0.3">
      <c r="A904" t="s">
        <v>4471</v>
      </c>
      <c r="B904" s="6" t="s">
        <v>4472</v>
      </c>
      <c r="C904" t="s">
        <v>4473</v>
      </c>
      <c r="D904" t="s">
        <v>4474</v>
      </c>
      <c r="E904" s="1">
        <v>45762</v>
      </c>
      <c r="F904" s="1">
        <v>45762</v>
      </c>
      <c r="G904" s="1">
        <v>46108</v>
      </c>
      <c r="H904" s="3">
        <v>46108</v>
      </c>
      <c r="I904" t="s">
        <v>4475</v>
      </c>
    </row>
    <row r="905" spans="1:10" x14ac:dyDescent="0.3">
      <c r="A905" t="s">
        <v>4623</v>
      </c>
      <c r="B905" s="6" t="s">
        <v>4624</v>
      </c>
      <c r="C905" t="s">
        <v>4625</v>
      </c>
      <c r="D905" t="s">
        <v>4626</v>
      </c>
      <c r="E905" s="1">
        <v>45925</v>
      </c>
      <c r="F905" s="1">
        <v>45925</v>
      </c>
      <c r="G905" s="1">
        <v>46108</v>
      </c>
      <c r="H905" s="3">
        <v>46108</v>
      </c>
      <c r="I905" t="s">
        <v>4627</v>
      </c>
    </row>
    <row r="906" spans="1:10" x14ac:dyDescent="0.3">
      <c r="A906" t="s">
        <v>605</v>
      </c>
      <c r="B906" s="6" t="s">
        <v>606</v>
      </c>
      <c r="C906" t="s">
        <v>607</v>
      </c>
      <c r="D906" t="s">
        <v>608</v>
      </c>
      <c r="E906" s="1">
        <v>45741</v>
      </c>
      <c r="F906" s="1">
        <v>45741</v>
      </c>
      <c r="G906" s="1">
        <v>46112</v>
      </c>
      <c r="H906" s="3">
        <v>46112</v>
      </c>
      <c r="I906" t="s">
        <v>609</v>
      </c>
    </row>
    <row r="907" spans="1:10" x14ac:dyDescent="0.3">
      <c r="A907" t="s">
        <v>1218</v>
      </c>
      <c r="B907" s="6" t="s">
        <v>1219</v>
      </c>
      <c r="C907" t="s">
        <v>1220</v>
      </c>
      <c r="D907" t="s">
        <v>1221</v>
      </c>
      <c r="E907" s="1">
        <v>46014</v>
      </c>
      <c r="F907" s="1">
        <v>46014</v>
      </c>
      <c r="G907" s="1">
        <v>46112</v>
      </c>
      <c r="H907" s="3">
        <v>46112</v>
      </c>
      <c r="I907" t="s">
        <v>1222</v>
      </c>
    </row>
    <row r="908" spans="1:10" x14ac:dyDescent="0.3">
      <c r="A908" t="s">
        <v>1374</v>
      </c>
      <c r="B908" s="6" t="s">
        <v>1375</v>
      </c>
      <c r="C908" t="s">
        <v>1376</v>
      </c>
      <c r="D908" t="s">
        <v>1377</v>
      </c>
      <c r="E908" s="1">
        <v>45821</v>
      </c>
      <c r="F908" s="1">
        <v>45821</v>
      </c>
      <c r="G908" s="1">
        <v>46112</v>
      </c>
      <c r="H908" s="3">
        <v>46112</v>
      </c>
      <c r="I908" t="s">
        <v>1378</v>
      </c>
    </row>
    <row r="909" spans="1:10" x14ac:dyDescent="0.3">
      <c r="A909" t="s">
        <v>1706</v>
      </c>
      <c r="B909" s="7" t="s">
        <v>1707</v>
      </c>
      <c r="C909" t="s">
        <v>1708</v>
      </c>
      <c r="D909" t="s">
        <v>1709</v>
      </c>
      <c r="E909" s="1">
        <v>45972</v>
      </c>
      <c r="F909" s="1">
        <v>45972</v>
      </c>
      <c r="G909" s="1">
        <v>46112</v>
      </c>
      <c r="H909" s="3">
        <v>46112</v>
      </c>
      <c r="I909" t="s">
        <v>1710</v>
      </c>
    </row>
    <row r="910" spans="1:10" x14ac:dyDescent="0.3">
      <c r="A910" t="s">
        <v>4654</v>
      </c>
      <c r="B910" s="6" t="s">
        <v>4655</v>
      </c>
      <c r="C910" t="s">
        <v>4656</v>
      </c>
      <c r="D910" t="s">
        <v>4657</v>
      </c>
      <c r="E910" s="1">
        <v>45993</v>
      </c>
      <c r="F910" s="1">
        <v>45993</v>
      </c>
      <c r="G910" s="1">
        <v>46112</v>
      </c>
      <c r="H910" s="3">
        <v>46112</v>
      </c>
      <c r="I910" t="s">
        <v>4658</v>
      </c>
    </row>
    <row r="911" spans="1:10" x14ac:dyDescent="0.3">
      <c r="A911" t="s">
        <v>4708</v>
      </c>
      <c r="B911" s="6" t="s">
        <v>4709</v>
      </c>
      <c r="C911" t="s">
        <v>4710</v>
      </c>
      <c r="D911" t="s">
        <v>4711</v>
      </c>
      <c r="E911" s="1">
        <v>45581</v>
      </c>
      <c r="F911" s="1">
        <v>45581</v>
      </c>
      <c r="G911" s="1">
        <v>46112</v>
      </c>
      <c r="H911" s="3">
        <v>46112</v>
      </c>
      <c r="I911" t="s">
        <v>4712</v>
      </c>
    </row>
    <row r="912" spans="1:10" x14ac:dyDescent="0.3">
      <c r="A912" t="s">
        <v>2901</v>
      </c>
      <c r="B912" s="7" t="s">
        <v>2902</v>
      </c>
      <c r="C912" t="s">
        <v>2903</v>
      </c>
      <c r="D912" t="s">
        <v>2904</v>
      </c>
      <c r="E912" s="1">
        <v>45957</v>
      </c>
      <c r="F912" s="1">
        <v>45957</v>
      </c>
      <c r="G912" s="1">
        <v>46115</v>
      </c>
      <c r="H912" s="3">
        <v>46115</v>
      </c>
      <c r="I912" t="s">
        <v>2905</v>
      </c>
    </row>
    <row r="913" spans="1:10" x14ac:dyDescent="0.3">
      <c r="A913" t="s">
        <v>3284</v>
      </c>
      <c r="B913" s="12" t="s">
        <v>3285</v>
      </c>
      <c r="C913" t="s">
        <v>3286</v>
      </c>
      <c r="D913" t="s">
        <v>3287</v>
      </c>
      <c r="E913" s="1">
        <v>45922</v>
      </c>
      <c r="F913" s="1">
        <v>45922</v>
      </c>
      <c r="G913" s="1">
        <v>46115</v>
      </c>
      <c r="H913" s="3">
        <v>46115</v>
      </c>
      <c r="I913" t="s">
        <v>3288</v>
      </c>
    </row>
    <row r="914" spans="1:10" x14ac:dyDescent="0.3">
      <c r="A914" t="s">
        <v>2830</v>
      </c>
      <c r="B914" s="12" t="s">
        <v>2831</v>
      </c>
      <c r="C914" t="s">
        <v>2832</v>
      </c>
      <c r="D914" t="s">
        <v>2833</v>
      </c>
      <c r="E914" s="1">
        <v>45784</v>
      </c>
      <c r="F914" s="1">
        <v>45784</v>
      </c>
      <c r="G914" s="1">
        <v>46119</v>
      </c>
      <c r="H914" s="3">
        <v>46119</v>
      </c>
      <c r="I914" t="s">
        <v>2834</v>
      </c>
    </row>
    <row r="915" spans="1:10" x14ac:dyDescent="0.3">
      <c r="A915" t="s">
        <v>3577</v>
      </c>
      <c r="B915" s="6" t="s">
        <v>3578</v>
      </c>
      <c r="C915" t="s">
        <v>3579</v>
      </c>
      <c r="D915" t="s">
        <v>3580</v>
      </c>
      <c r="E915" s="1">
        <v>45163</v>
      </c>
      <c r="F915" s="1">
        <v>45163</v>
      </c>
      <c r="G915" s="1">
        <v>46119</v>
      </c>
      <c r="H915" s="3">
        <v>46119</v>
      </c>
      <c r="I915" t="s">
        <v>3581</v>
      </c>
    </row>
    <row r="916" spans="1:10" x14ac:dyDescent="0.3">
      <c r="A916" t="s">
        <v>657</v>
      </c>
      <c r="B916" s="7" t="s">
        <v>658</v>
      </c>
      <c r="C916" t="s">
        <v>659</v>
      </c>
      <c r="D916" t="s">
        <v>660</v>
      </c>
      <c r="E916" s="1">
        <v>45989</v>
      </c>
      <c r="F916" s="1">
        <v>45989</v>
      </c>
      <c r="G916" s="1">
        <v>46122</v>
      </c>
      <c r="H916" s="3">
        <v>46122</v>
      </c>
      <c r="I916" t="s">
        <v>661</v>
      </c>
    </row>
    <row r="917" spans="1:10" x14ac:dyDescent="0.3">
      <c r="A917" t="s">
        <v>1695</v>
      </c>
      <c r="B917" s="13" t="s">
        <v>1696</v>
      </c>
      <c r="C917" t="s">
        <v>1697</v>
      </c>
      <c r="D917" t="s">
        <v>1698</v>
      </c>
      <c r="E917" s="1">
        <v>44894</v>
      </c>
      <c r="F917" s="1">
        <v>44894</v>
      </c>
      <c r="G917" s="1">
        <v>46122</v>
      </c>
      <c r="H917" s="3">
        <v>46122</v>
      </c>
      <c r="I917" t="s">
        <v>1699</v>
      </c>
    </row>
    <row r="918" spans="1:10" x14ac:dyDescent="0.3">
      <c r="A918" t="s">
        <v>2761</v>
      </c>
      <c r="B918" s="13" t="s">
        <v>2762</v>
      </c>
      <c r="C918" t="s">
        <v>2763</v>
      </c>
      <c r="D918" t="s">
        <v>2764</v>
      </c>
      <c r="E918" s="1">
        <v>44804</v>
      </c>
      <c r="F918" s="1">
        <v>44804</v>
      </c>
      <c r="G918" s="1">
        <v>46122</v>
      </c>
      <c r="H918" s="3">
        <v>46122</v>
      </c>
      <c r="I918" t="s">
        <v>2765</v>
      </c>
    </row>
    <row r="919" spans="1:10" x14ac:dyDescent="0.3">
      <c r="A919" t="s">
        <v>3660</v>
      </c>
      <c r="B919" s="13" t="s">
        <v>3661</v>
      </c>
      <c r="C919" t="s">
        <v>3662</v>
      </c>
      <c r="D919" t="s">
        <v>3663</v>
      </c>
      <c r="E919" s="1">
        <v>45681</v>
      </c>
      <c r="F919" s="1">
        <v>45681</v>
      </c>
      <c r="G919" s="1">
        <v>46122</v>
      </c>
      <c r="H919" s="3">
        <v>46122</v>
      </c>
      <c r="I919" t="s">
        <v>3664</v>
      </c>
    </row>
    <row r="920" spans="1:10" x14ac:dyDescent="0.3">
      <c r="A920" t="s">
        <v>3289</v>
      </c>
      <c r="B920" s="6" t="s">
        <v>3290</v>
      </c>
      <c r="C920" t="s">
        <v>3291</v>
      </c>
      <c r="D920" t="s">
        <v>3291</v>
      </c>
      <c r="E920" s="1">
        <v>45826</v>
      </c>
      <c r="F920" s="1">
        <v>45878</v>
      </c>
      <c r="G920" s="1">
        <v>46125</v>
      </c>
      <c r="H920" s="3">
        <v>46125</v>
      </c>
      <c r="I920" t="s">
        <v>3292</v>
      </c>
    </row>
    <row r="921" spans="1:10" x14ac:dyDescent="0.3">
      <c r="A921" t="s">
        <v>1079</v>
      </c>
      <c r="B921" s="13" t="s">
        <v>1080</v>
      </c>
      <c r="C921" t="s">
        <v>855</v>
      </c>
      <c r="D921" t="s">
        <v>856</v>
      </c>
      <c r="E921" s="1">
        <v>45076</v>
      </c>
      <c r="F921" s="1">
        <v>45076</v>
      </c>
      <c r="G921" s="1">
        <v>46126</v>
      </c>
      <c r="H921" s="3">
        <v>46126</v>
      </c>
      <c r="I921" t="s">
        <v>1081</v>
      </c>
    </row>
    <row r="922" spans="1:10" x14ac:dyDescent="0.3">
      <c r="A922" t="s">
        <v>1314</v>
      </c>
      <c r="B922" s="6" t="s">
        <v>1315</v>
      </c>
      <c r="C922" t="s">
        <v>1316</v>
      </c>
      <c r="D922" t="s">
        <v>1317</v>
      </c>
      <c r="E922" s="1">
        <v>45869</v>
      </c>
      <c r="F922" s="1">
        <v>45869</v>
      </c>
      <c r="G922" s="1">
        <v>46126</v>
      </c>
      <c r="H922" s="3">
        <v>46126</v>
      </c>
      <c r="I922" t="s">
        <v>1318</v>
      </c>
    </row>
    <row r="923" spans="1:10" x14ac:dyDescent="0.3">
      <c r="A923" t="s">
        <v>1470</v>
      </c>
      <c r="B923" s="10" t="s">
        <v>1471</v>
      </c>
      <c r="C923" t="s">
        <v>1472</v>
      </c>
      <c r="D923" t="s">
        <v>1473</v>
      </c>
      <c r="E923" s="1">
        <v>44264</v>
      </c>
      <c r="F923" s="1">
        <v>44629</v>
      </c>
      <c r="G923" s="1">
        <v>46126</v>
      </c>
      <c r="H923" s="3">
        <v>46126</v>
      </c>
      <c r="I923" t="s">
        <v>1474</v>
      </c>
      <c r="J923" t="s">
        <v>1475</v>
      </c>
    </row>
    <row r="924" spans="1:10" x14ac:dyDescent="0.3">
      <c r="A924" t="s">
        <v>3065</v>
      </c>
      <c r="B924" s="12" t="s">
        <v>3066</v>
      </c>
      <c r="C924" t="s">
        <v>3067</v>
      </c>
      <c r="D924" t="s">
        <v>3068</v>
      </c>
      <c r="E924" s="1">
        <v>44890</v>
      </c>
      <c r="F924" s="1">
        <v>44890</v>
      </c>
      <c r="G924" s="1">
        <v>46126</v>
      </c>
      <c r="H924" s="3">
        <v>46126</v>
      </c>
      <c r="I924" t="s">
        <v>3069</v>
      </c>
    </row>
    <row r="925" spans="1:10" x14ac:dyDescent="0.3">
      <c r="A925" t="s">
        <v>4320</v>
      </c>
      <c r="B925" s="12" t="s">
        <v>4321</v>
      </c>
      <c r="C925" t="s">
        <v>4322</v>
      </c>
      <c r="D925" t="s">
        <v>4323</v>
      </c>
      <c r="E925" s="1">
        <v>45247</v>
      </c>
      <c r="F925" s="1">
        <v>45247</v>
      </c>
      <c r="G925" s="1">
        <v>46126</v>
      </c>
      <c r="H925" s="3">
        <v>46126</v>
      </c>
      <c r="I925" t="s">
        <v>4324</v>
      </c>
    </row>
    <row r="926" spans="1:10" x14ac:dyDescent="0.3">
      <c r="A926" t="s">
        <v>160</v>
      </c>
      <c r="B926" s="6" t="s">
        <v>161</v>
      </c>
      <c r="C926" t="s">
        <v>162</v>
      </c>
      <c r="D926" t="s">
        <v>163</v>
      </c>
      <c r="E926" s="1">
        <v>45959</v>
      </c>
      <c r="F926" s="1">
        <v>45959</v>
      </c>
      <c r="G926" s="1">
        <v>46129</v>
      </c>
      <c r="H926" s="3">
        <v>46129</v>
      </c>
      <c r="I926" t="s">
        <v>164</v>
      </c>
    </row>
    <row r="927" spans="1:10" x14ac:dyDescent="0.3">
      <c r="A927" t="s">
        <v>2205</v>
      </c>
      <c r="B927" s="12" t="s">
        <v>2206</v>
      </c>
      <c r="C927" t="s">
        <v>2207</v>
      </c>
      <c r="D927" t="s">
        <v>2208</v>
      </c>
      <c r="E927" s="1">
        <v>45008</v>
      </c>
      <c r="F927" s="1">
        <v>45008</v>
      </c>
      <c r="G927" s="1">
        <v>46129</v>
      </c>
      <c r="H927" s="3">
        <v>46129</v>
      </c>
      <c r="I927" t="s">
        <v>2209</v>
      </c>
    </row>
    <row r="928" spans="1:10" x14ac:dyDescent="0.3">
      <c r="A928" t="s">
        <v>2988</v>
      </c>
      <c r="B928" s="7" t="s">
        <v>2989</v>
      </c>
      <c r="C928" t="s">
        <v>2990</v>
      </c>
      <c r="D928" t="s">
        <v>2991</v>
      </c>
      <c r="E928" s="1">
        <v>45928</v>
      </c>
      <c r="F928" s="1">
        <v>45928</v>
      </c>
      <c r="G928" s="1">
        <v>46129</v>
      </c>
      <c r="H928" s="3">
        <v>46129</v>
      </c>
      <c r="I928" t="s">
        <v>2992</v>
      </c>
    </row>
    <row r="929" spans="1:9" x14ac:dyDescent="0.3">
      <c r="A929" t="s">
        <v>3341</v>
      </c>
      <c r="B929" s="12" t="s">
        <v>3342</v>
      </c>
      <c r="C929" t="s">
        <v>3343</v>
      </c>
      <c r="D929" t="s">
        <v>3344</v>
      </c>
      <c r="E929" s="1">
        <v>45763</v>
      </c>
      <c r="F929" s="1">
        <v>45763</v>
      </c>
      <c r="G929" s="1">
        <v>46129</v>
      </c>
      <c r="H929" s="3">
        <v>46129</v>
      </c>
      <c r="I929" t="s">
        <v>3345</v>
      </c>
    </row>
    <row r="930" spans="1:9" x14ac:dyDescent="0.3">
      <c r="A930" t="s">
        <v>4719</v>
      </c>
      <c r="B930" s="8" t="s">
        <v>4720</v>
      </c>
      <c r="C930" t="s">
        <v>4721</v>
      </c>
      <c r="D930" t="s">
        <v>4722</v>
      </c>
      <c r="E930" s="1">
        <v>45771</v>
      </c>
      <c r="F930" s="1">
        <v>45771</v>
      </c>
      <c r="G930" s="1">
        <v>46129</v>
      </c>
      <c r="H930" s="3">
        <v>46129</v>
      </c>
      <c r="I930" t="s">
        <v>4723</v>
      </c>
    </row>
    <row r="931" spans="1:9" x14ac:dyDescent="0.3">
      <c r="A931" t="s">
        <v>2267</v>
      </c>
      <c r="B931" s="11" t="s">
        <v>2268</v>
      </c>
      <c r="C931" t="s">
        <v>2269</v>
      </c>
      <c r="D931" t="s">
        <v>2270</v>
      </c>
      <c r="E931" s="1">
        <v>45044</v>
      </c>
      <c r="F931" s="1">
        <v>45044</v>
      </c>
      <c r="G931" s="1">
        <v>46133</v>
      </c>
      <c r="H931" s="3">
        <v>46133</v>
      </c>
      <c r="I931" t="s">
        <v>2271</v>
      </c>
    </row>
    <row r="932" spans="1:9" x14ac:dyDescent="0.3">
      <c r="A932" t="s">
        <v>3486</v>
      </c>
      <c r="B932" s="10" t="s">
        <v>3487</v>
      </c>
      <c r="C932" t="s">
        <v>3488</v>
      </c>
      <c r="D932" t="s">
        <v>3489</v>
      </c>
      <c r="E932" s="1">
        <v>45860</v>
      </c>
      <c r="F932" s="1">
        <v>45860</v>
      </c>
      <c r="G932" s="1">
        <v>46133</v>
      </c>
      <c r="H932" s="3">
        <v>46133</v>
      </c>
      <c r="I932" t="s">
        <v>3490</v>
      </c>
    </row>
    <row r="933" spans="1:9" x14ac:dyDescent="0.3">
      <c r="A933" t="s">
        <v>3920</v>
      </c>
      <c r="B933" s="9" t="s">
        <v>3921</v>
      </c>
      <c r="C933" t="s">
        <v>3922</v>
      </c>
      <c r="D933" t="s">
        <v>3923</v>
      </c>
      <c r="E933" s="1">
        <v>46007</v>
      </c>
      <c r="F933" s="1">
        <v>46007</v>
      </c>
      <c r="G933" s="1">
        <v>46133</v>
      </c>
      <c r="H933" s="3">
        <v>46133</v>
      </c>
      <c r="I933" t="s">
        <v>3924</v>
      </c>
    </row>
    <row r="934" spans="1:9" x14ac:dyDescent="0.3">
      <c r="A934" t="s">
        <v>4482</v>
      </c>
      <c r="B934" s="7" t="s">
        <v>4483</v>
      </c>
      <c r="C934" t="s">
        <v>1580</v>
      </c>
      <c r="D934" t="s">
        <v>4484</v>
      </c>
      <c r="E934" s="1">
        <v>45965</v>
      </c>
      <c r="F934" s="1">
        <v>45965</v>
      </c>
      <c r="G934" s="1">
        <v>46133</v>
      </c>
      <c r="H934" s="3">
        <v>46133</v>
      </c>
      <c r="I934" t="s">
        <v>4485</v>
      </c>
    </row>
    <row r="935" spans="1:9" x14ac:dyDescent="0.3">
      <c r="A935" t="s">
        <v>4146</v>
      </c>
      <c r="B935" s="8" t="s">
        <v>4147</v>
      </c>
      <c r="C935" t="s">
        <v>4148</v>
      </c>
      <c r="D935" t="s">
        <v>4149</v>
      </c>
      <c r="F935" s="1">
        <v>45965</v>
      </c>
      <c r="G935" s="1">
        <v>46140</v>
      </c>
      <c r="H935" s="3">
        <v>46140</v>
      </c>
      <c r="I935" t="s">
        <v>4150</v>
      </c>
    </row>
  </sheetData>
  <sortState xmlns:xlrd2="http://schemas.microsoft.com/office/spreadsheetml/2017/richdata2" ref="A3:J935">
    <sortCondition ref="H2:H93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BC1A6-209D-48EB-BB2B-ED372D2245ED}">
  <dimension ref="A2:P70"/>
  <sheetViews>
    <sheetView topLeftCell="A34" zoomScale="70" zoomScaleNormal="70" workbookViewId="0">
      <selection activeCell="D72" sqref="D72"/>
    </sheetView>
  </sheetViews>
  <sheetFormatPr baseColWidth="10" defaultRowHeight="14.4" x14ac:dyDescent="0.3"/>
  <cols>
    <col min="1" max="1" width="20" style="4" bestFit="1" customWidth="1"/>
    <col min="2" max="2" width="17.6640625" style="4" bestFit="1" customWidth="1"/>
    <col min="3" max="3" width="11.21875" customWidth="1"/>
    <col min="10" max="10" width="12.77734375" customWidth="1"/>
    <col min="12" max="12" width="31.33203125" customWidth="1"/>
    <col min="13" max="13" width="31.6640625" customWidth="1"/>
    <col min="14" max="14" width="25.6640625" customWidth="1"/>
    <col min="15" max="15" width="19.5546875" customWidth="1"/>
  </cols>
  <sheetData>
    <row r="2" spans="1:2" s="4" customFormat="1" x14ac:dyDescent="0.3">
      <c r="A2" s="44" t="s">
        <v>4847</v>
      </c>
      <c r="B2" s="44" t="s">
        <v>4849</v>
      </c>
    </row>
    <row r="3" spans="1:2" x14ac:dyDescent="0.3">
      <c r="A3" s="22">
        <v>2020</v>
      </c>
      <c r="B3" s="22">
        <v>28</v>
      </c>
    </row>
    <row r="4" spans="1:2" x14ac:dyDescent="0.3">
      <c r="A4" s="22">
        <v>2021</v>
      </c>
      <c r="B4" s="22">
        <v>138</v>
      </c>
    </row>
    <row r="5" spans="1:2" x14ac:dyDescent="0.3">
      <c r="A5" s="22">
        <v>2022</v>
      </c>
      <c r="B5" s="22">
        <v>95</v>
      </c>
    </row>
    <row r="6" spans="1:2" x14ac:dyDescent="0.3">
      <c r="A6" s="22">
        <v>2023</v>
      </c>
      <c r="B6" s="22">
        <v>127</v>
      </c>
    </row>
    <row r="7" spans="1:2" x14ac:dyDescent="0.3">
      <c r="A7" s="22">
        <v>2024</v>
      </c>
      <c r="B7" s="22">
        <v>177</v>
      </c>
    </row>
    <row r="8" spans="1:2" x14ac:dyDescent="0.3">
      <c r="A8" s="22">
        <v>2025</v>
      </c>
      <c r="B8" s="22">
        <v>263</v>
      </c>
    </row>
    <row r="9" spans="1:2" x14ac:dyDescent="0.3">
      <c r="A9" s="43">
        <v>46113</v>
      </c>
      <c r="B9" s="22">
        <v>105</v>
      </c>
    </row>
    <row r="10" spans="1:2" x14ac:dyDescent="0.3">
      <c r="A10" s="23" t="s">
        <v>4848</v>
      </c>
      <c r="B10" s="23">
        <f>SUM(B3:B9)</f>
        <v>933</v>
      </c>
    </row>
    <row r="20" spans="1:11" x14ac:dyDescent="0.3">
      <c r="A20" s="24"/>
      <c r="B20" s="25">
        <v>2026</v>
      </c>
      <c r="C20" s="25">
        <v>2025</v>
      </c>
      <c r="D20" s="25">
        <v>2024</v>
      </c>
      <c r="E20" s="25">
        <v>2023</v>
      </c>
      <c r="F20" s="25">
        <v>2022</v>
      </c>
      <c r="G20" s="25">
        <v>2021</v>
      </c>
      <c r="H20" s="25">
        <v>2020</v>
      </c>
      <c r="I20" s="26" t="s">
        <v>4848</v>
      </c>
      <c r="J20" s="45" t="s">
        <v>4850</v>
      </c>
      <c r="K20" s="24"/>
    </row>
    <row r="21" spans="1:11" x14ac:dyDescent="0.3">
      <c r="A21" s="27" t="s">
        <v>4851</v>
      </c>
      <c r="B21" s="28">
        <v>28</v>
      </c>
      <c r="C21" s="28">
        <v>57</v>
      </c>
      <c r="D21" s="28">
        <v>41</v>
      </c>
      <c r="E21" s="28">
        <v>34</v>
      </c>
      <c r="F21" s="28">
        <v>24</v>
      </c>
      <c r="G21" s="28">
        <v>36</v>
      </c>
      <c r="H21" s="28">
        <v>8</v>
      </c>
      <c r="I21" s="29">
        <f>SUM(B21:H21)</f>
        <v>228</v>
      </c>
      <c r="J21" s="30">
        <f>I21/$I$26</f>
        <v>0.24437299035369775</v>
      </c>
      <c r="K21" s="24"/>
    </row>
    <row r="22" spans="1:11" x14ac:dyDescent="0.3">
      <c r="A22" s="31" t="s">
        <v>4852</v>
      </c>
      <c r="B22" s="32">
        <v>21</v>
      </c>
      <c r="C22" s="32">
        <v>34</v>
      </c>
      <c r="D22" s="32">
        <v>20</v>
      </c>
      <c r="E22" s="32">
        <v>22</v>
      </c>
      <c r="F22" s="32">
        <v>14</v>
      </c>
      <c r="G22" s="32">
        <v>14</v>
      </c>
      <c r="H22" s="32">
        <v>4</v>
      </c>
      <c r="I22" s="29">
        <f t="shared" ref="I22:I25" si="0">SUM(B22:H22)</f>
        <v>129</v>
      </c>
      <c r="J22" s="30">
        <f t="shared" ref="J22:J25" si="1">I22/$I$26</f>
        <v>0.13826366559485531</v>
      </c>
      <c r="K22" s="24"/>
    </row>
    <row r="23" spans="1:11" x14ac:dyDescent="0.3">
      <c r="A23" s="33" t="s">
        <v>4853</v>
      </c>
      <c r="B23" s="32">
        <v>28</v>
      </c>
      <c r="C23" s="32">
        <v>69</v>
      </c>
      <c r="D23" s="32">
        <v>51</v>
      </c>
      <c r="E23" s="32">
        <v>27</v>
      </c>
      <c r="F23" s="32">
        <v>29</v>
      </c>
      <c r="G23" s="32">
        <v>53</v>
      </c>
      <c r="H23" s="32">
        <v>9</v>
      </c>
      <c r="I23" s="29">
        <f t="shared" si="0"/>
        <v>266</v>
      </c>
      <c r="J23" s="30">
        <f t="shared" si="1"/>
        <v>0.28510182207931406</v>
      </c>
      <c r="K23" s="24"/>
    </row>
    <row r="24" spans="1:11" x14ac:dyDescent="0.3">
      <c r="A24" s="34" t="s">
        <v>4854</v>
      </c>
      <c r="B24" s="32">
        <v>13</v>
      </c>
      <c r="C24" s="32">
        <v>31</v>
      </c>
      <c r="D24" s="32">
        <v>16</v>
      </c>
      <c r="E24" s="32">
        <v>23</v>
      </c>
      <c r="F24" s="32">
        <v>11</v>
      </c>
      <c r="G24" s="32">
        <v>13</v>
      </c>
      <c r="H24" s="32">
        <v>0</v>
      </c>
      <c r="I24" s="29">
        <f t="shared" si="0"/>
        <v>107</v>
      </c>
      <c r="J24" s="30">
        <f t="shared" si="1"/>
        <v>0.11468381564844587</v>
      </c>
      <c r="K24" s="24"/>
    </row>
    <row r="25" spans="1:11" x14ac:dyDescent="0.3">
      <c r="A25" s="35" t="s">
        <v>4855</v>
      </c>
      <c r="B25" s="32">
        <v>15</v>
      </c>
      <c r="C25" s="32">
        <v>72</v>
      </c>
      <c r="D25" s="32">
        <v>49</v>
      </c>
      <c r="E25" s="32">
        <v>21</v>
      </c>
      <c r="F25" s="32">
        <v>17</v>
      </c>
      <c r="G25" s="32">
        <v>22</v>
      </c>
      <c r="H25" s="32">
        <v>7</v>
      </c>
      <c r="I25" s="29">
        <f t="shared" si="0"/>
        <v>203</v>
      </c>
      <c r="J25" s="30">
        <f t="shared" si="1"/>
        <v>0.21757770632368703</v>
      </c>
      <c r="K25" s="24"/>
    </row>
    <row r="26" spans="1:11" x14ac:dyDescent="0.3">
      <c r="A26" s="24" t="s">
        <v>4856</v>
      </c>
      <c r="B26" s="36">
        <f>SUM(B21:B25)</f>
        <v>105</v>
      </c>
      <c r="C26" s="36">
        <f t="shared" ref="C26:H26" si="2">SUM(C21:C25)</f>
        <v>263</v>
      </c>
      <c r="D26" s="36">
        <f t="shared" si="2"/>
        <v>177</v>
      </c>
      <c r="E26" s="36">
        <f t="shared" si="2"/>
        <v>127</v>
      </c>
      <c r="F26" s="36">
        <f t="shared" si="2"/>
        <v>95</v>
      </c>
      <c r="G26" s="36">
        <f t="shared" si="2"/>
        <v>138</v>
      </c>
      <c r="H26" s="36">
        <f t="shared" si="2"/>
        <v>28</v>
      </c>
      <c r="I26" s="37">
        <f>SUM(B26:H26)</f>
        <v>933</v>
      </c>
      <c r="J26" s="38">
        <f>SUM(J21:J25)</f>
        <v>1</v>
      </c>
      <c r="K26" s="24"/>
    </row>
    <row r="27" spans="1:11" x14ac:dyDescent="0.3">
      <c r="A27" s="24" t="s">
        <v>4857</v>
      </c>
      <c r="B27" s="39">
        <f>B26/$I$26</f>
        <v>0.11254019292604502</v>
      </c>
      <c r="C27" s="39">
        <f t="shared" ref="C27:H27" si="3">C26/$I$26</f>
        <v>0.28188638799571275</v>
      </c>
      <c r="D27" s="39">
        <f t="shared" si="3"/>
        <v>0.18971061093247588</v>
      </c>
      <c r="E27" s="39">
        <f t="shared" si="3"/>
        <v>0.13612004287245444</v>
      </c>
      <c r="F27" s="39">
        <f t="shared" si="3"/>
        <v>0.10182207931404073</v>
      </c>
      <c r="G27" s="39">
        <f t="shared" si="3"/>
        <v>0.14790996784565916</v>
      </c>
      <c r="H27" s="39">
        <f t="shared" si="3"/>
        <v>3.0010718113612004E-2</v>
      </c>
      <c r="I27" s="40"/>
      <c r="J27" s="24"/>
      <c r="K27" s="24"/>
    </row>
    <row r="28" spans="1:11" x14ac:dyDescent="0.3">
      <c r="A28" s="24"/>
      <c r="B28" s="40"/>
      <c r="C28" s="40"/>
      <c r="D28" s="40"/>
      <c r="E28" s="40"/>
      <c r="F28" s="40"/>
      <c r="G28" s="40"/>
      <c r="H28" s="40"/>
      <c r="I28" s="40"/>
      <c r="J28" s="24"/>
      <c r="K28" s="24"/>
    </row>
    <row r="29" spans="1:11" x14ac:dyDescent="0.3">
      <c r="A29" s="41" t="s">
        <v>4858</v>
      </c>
      <c r="B29" s="40">
        <f>B30-SUM(B21:B25)</f>
        <v>0</v>
      </c>
      <c r="C29" s="40">
        <f t="shared" ref="C29:H29" si="4">C30-SUM(C21:C25)</f>
        <v>0</v>
      </c>
      <c r="D29" s="40">
        <f t="shared" si="4"/>
        <v>0</v>
      </c>
      <c r="E29" s="40">
        <f t="shared" si="4"/>
        <v>0</v>
      </c>
      <c r="F29" s="40">
        <f t="shared" si="4"/>
        <v>0</v>
      </c>
      <c r="G29" s="40">
        <f t="shared" si="4"/>
        <v>0</v>
      </c>
      <c r="H29" s="40">
        <f t="shared" si="4"/>
        <v>0</v>
      </c>
      <c r="I29" s="40"/>
      <c r="J29" s="24"/>
      <c r="K29" s="24"/>
    </row>
    <row r="30" spans="1:11" x14ac:dyDescent="0.3">
      <c r="A30" s="24"/>
      <c r="B30" s="40">
        <v>105</v>
      </c>
      <c r="C30" s="40">
        <v>263</v>
      </c>
      <c r="D30" s="40">
        <v>177</v>
      </c>
      <c r="E30" s="40">
        <v>127</v>
      </c>
      <c r="F30" s="40">
        <v>95</v>
      </c>
      <c r="G30" s="40">
        <v>138</v>
      </c>
      <c r="H30" s="40">
        <v>28</v>
      </c>
      <c r="I30" s="42">
        <f>SUM(B30:H30)</f>
        <v>933</v>
      </c>
      <c r="J30" s="24"/>
      <c r="K30" s="24"/>
    </row>
    <row r="31" spans="1:11" x14ac:dyDescent="0.3">
      <c r="A31" s="24"/>
      <c r="B31" s="40"/>
      <c r="C31" s="40"/>
      <c r="D31" s="40"/>
      <c r="E31" s="40"/>
      <c r="F31" s="40"/>
      <c r="G31" s="40"/>
      <c r="H31" s="40"/>
      <c r="I31" s="40"/>
      <c r="J31" s="24"/>
      <c r="K31" s="24"/>
    </row>
    <row r="33" spans="1:16" x14ac:dyDescent="0.3">
      <c r="B33" s="84" t="s">
        <v>4859</v>
      </c>
      <c r="D33" s="46" t="s">
        <v>4869</v>
      </c>
    </row>
    <row r="34" spans="1:16" ht="14.4" customHeight="1" x14ac:dyDescent="0.3">
      <c r="B34" s="107" t="s">
        <v>4868</v>
      </c>
      <c r="D34" t="s">
        <v>4870</v>
      </c>
    </row>
    <row r="35" spans="1:16" x14ac:dyDescent="0.3">
      <c r="B35" s="107"/>
      <c r="D35" t="s">
        <v>4871</v>
      </c>
    </row>
    <row r="36" spans="1:16" x14ac:dyDescent="0.3">
      <c r="B36" s="107"/>
      <c r="D36" t="s">
        <v>4872</v>
      </c>
    </row>
    <row r="37" spans="1:16" x14ac:dyDescent="0.3">
      <c r="A37" s="112" t="s">
        <v>4860</v>
      </c>
      <c r="B37" s="112"/>
      <c r="C37" s="112"/>
      <c r="D37" s="112"/>
      <c r="F37" s="50" t="s">
        <v>4873</v>
      </c>
      <c r="I37" s="110" t="s">
        <v>4893</v>
      </c>
      <c r="J37" s="111"/>
      <c r="K37" s="101" t="s">
        <v>5013</v>
      </c>
      <c r="L37" s="110" t="s">
        <v>4899</v>
      </c>
      <c r="M37" s="111"/>
      <c r="N37" s="100" t="s">
        <v>5004</v>
      </c>
      <c r="O37" s="50" t="s">
        <v>4903</v>
      </c>
      <c r="P37" s="67" t="s">
        <v>4910</v>
      </c>
    </row>
    <row r="38" spans="1:16" x14ac:dyDescent="0.3">
      <c r="B38" s="46" t="s">
        <v>4861</v>
      </c>
      <c r="C38" s="113" t="s">
        <v>4862</v>
      </c>
      <c r="D38" s="47">
        <v>2020</v>
      </c>
      <c r="F38" s="22" t="s">
        <v>4874</v>
      </c>
      <c r="G38" s="22" t="s">
        <v>4884</v>
      </c>
      <c r="H38" s="22">
        <v>811</v>
      </c>
      <c r="I38" s="108" t="s">
        <v>4894</v>
      </c>
      <c r="J38" s="109"/>
      <c r="K38" s="83">
        <v>5</v>
      </c>
      <c r="L38" s="116" t="s">
        <v>4900</v>
      </c>
      <c r="M38" s="117"/>
      <c r="N38" s="82">
        <f>K38/$K$43</f>
        <v>5.3590568060021436E-3</v>
      </c>
      <c r="O38" t="s">
        <v>4904</v>
      </c>
      <c r="P38" t="s">
        <v>4909</v>
      </c>
    </row>
    <row r="39" spans="1:16" x14ac:dyDescent="0.3">
      <c r="C39" s="114"/>
      <c r="D39" s="49">
        <v>2026</v>
      </c>
      <c r="F39" s="22" t="s">
        <v>4875</v>
      </c>
      <c r="G39" s="22" t="s">
        <v>4885</v>
      </c>
      <c r="H39" s="22">
        <v>67</v>
      </c>
      <c r="I39" s="108" t="s">
        <v>4895</v>
      </c>
      <c r="J39" s="109"/>
      <c r="K39" s="83">
        <v>613</v>
      </c>
      <c r="L39" s="116" t="s">
        <v>4901</v>
      </c>
      <c r="M39" s="117"/>
      <c r="N39" s="82">
        <f>K39/$K$43</f>
        <v>0.65702036441586276</v>
      </c>
      <c r="O39" t="s">
        <v>4905</v>
      </c>
      <c r="P39" t="s">
        <v>4911</v>
      </c>
    </row>
    <row r="40" spans="1:16" x14ac:dyDescent="0.3">
      <c r="C40" s="48" t="s">
        <v>4863</v>
      </c>
      <c r="D40" s="115" t="s">
        <v>4864</v>
      </c>
      <c r="E40" s="116"/>
      <c r="F40" s="22" t="s">
        <v>4876</v>
      </c>
      <c r="G40" s="22" t="s">
        <v>4886</v>
      </c>
      <c r="H40" s="22">
        <v>38</v>
      </c>
      <c r="I40" s="52" t="s">
        <v>4896</v>
      </c>
      <c r="J40" s="52"/>
      <c r="K40" s="83">
        <v>314</v>
      </c>
      <c r="L40" s="116" t="s">
        <v>4902</v>
      </c>
      <c r="M40" s="117"/>
      <c r="N40" s="82">
        <f>K40/$K$43</f>
        <v>0.33654876741693462</v>
      </c>
      <c r="O40" t="s">
        <v>4906</v>
      </c>
    </row>
    <row r="41" spans="1:16" ht="14.4" customHeight="1" x14ac:dyDescent="0.3">
      <c r="C41" s="48" t="s">
        <v>4865</v>
      </c>
      <c r="D41" s="115" t="s">
        <v>5005</v>
      </c>
      <c r="E41" s="116"/>
      <c r="F41" s="22" t="s">
        <v>4877</v>
      </c>
      <c r="G41" s="22" t="s">
        <v>4887</v>
      </c>
      <c r="H41" s="22">
        <v>5</v>
      </c>
      <c r="I41" s="108" t="s">
        <v>4897</v>
      </c>
      <c r="J41" s="109"/>
      <c r="K41" s="83">
        <v>1</v>
      </c>
      <c r="L41" s="118" t="s">
        <v>5003</v>
      </c>
      <c r="M41" s="119"/>
      <c r="N41" s="102">
        <f>K41/$K$43</f>
        <v>1.0718113612004287E-3</v>
      </c>
      <c r="O41" t="s">
        <v>4907</v>
      </c>
    </row>
    <row r="42" spans="1:16" x14ac:dyDescent="0.3">
      <c r="C42" s="48" t="s">
        <v>4866</v>
      </c>
      <c r="D42" s="115" t="s">
        <v>4867</v>
      </c>
      <c r="E42" s="116"/>
      <c r="F42" s="22" t="s">
        <v>4878</v>
      </c>
      <c r="G42" s="22" t="s">
        <v>4888</v>
      </c>
      <c r="H42" s="22">
        <v>5</v>
      </c>
      <c r="I42" s="108" t="s">
        <v>4898</v>
      </c>
      <c r="J42" s="109"/>
      <c r="K42" s="83">
        <v>0</v>
      </c>
      <c r="L42" s="120"/>
      <c r="M42" s="121"/>
      <c r="N42" s="102"/>
      <c r="O42" t="s">
        <v>4908</v>
      </c>
      <c r="P42" s="79"/>
    </row>
    <row r="43" spans="1:16" x14ac:dyDescent="0.3">
      <c r="F43" s="22" t="s">
        <v>4879</v>
      </c>
      <c r="G43" s="22" t="s">
        <v>4889</v>
      </c>
      <c r="H43" s="22">
        <v>3</v>
      </c>
      <c r="I43" s="51"/>
      <c r="K43" s="81">
        <f>SUM(K38:K42)</f>
        <v>933</v>
      </c>
      <c r="N43" s="81">
        <f>N38+N39+N40+N41</f>
        <v>0.99999999999999989</v>
      </c>
      <c r="O43" s="79"/>
    </row>
    <row r="44" spans="1:16" x14ac:dyDescent="0.3">
      <c r="F44" s="22" t="s">
        <v>4880</v>
      </c>
      <c r="G44" s="22" t="s">
        <v>4890</v>
      </c>
      <c r="H44" s="22">
        <v>2</v>
      </c>
      <c r="N44" s="79"/>
    </row>
    <row r="45" spans="1:16" x14ac:dyDescent="0.3">
      <c r="A45" s="103" t="s">
        <v>4934</v>
      </c>
      <c r="B45" s="103"/>
      <c r="F45" s="22" t="s">
        <v>4881</v>
      </c>
      <c r="G45" s="22" t="s">
        <v>4891</v>
      </c>
      <c r="H45" s="22">
        <v>1</v>
      </c>
      <c r="N45" s="79"/>
    </row>
    <row r="46" spans="1:16" x14ac:dyDescent="0.3">
      <c r="A46" s="57" t="s">
        <v>4922</v>
      </c>
      <c r="B46" s="57" t="s">
        <v>4923</v>
      </c>
      <c r="F46" s="22" t="s">
        <v>4882</v>
      </c>
      <c r="G46" s="22" t="s">
        <v>4892</v>
      </c>
      <c r="H46" s="22">
        <v>1</v>
      </c>
      <c r="N46" s="105" t="s">
        <v>4912</v>
      </c>
    </row>
    <row r="47" spans="1:16" ht="20.399999999999999" customHeight="1" x14ac:dyDescent="0.3">
      <c r="A47" s="56" t="s">
        <v>4924</v>
      </c>
      <c r="B47" s="56" t="s">
        <v>4925</v>
      </c>
      <c r="G47" t="s">
        <v>4883</v>
      </c>
      <c r="N47" s="105"/>
    </row>
    <row r="48" spans="1:16" x14ac:dyDescent="0.3">
      <c r="A48" s="56" t="s">
        <v>4926</v>
      </c>
      <c r="B48" s="56" t="s">
        <v>4927</v>
      </c>
      <c r="N48" s="105"/>
    </row>
    <row r="49" spans="1:14" x14ac:dyDescent="0.3">
      <c r="A49" s="56" t="s">
        <v>4928</v>
      </c>
      <c r="B49" s="56" t="s">
        <v>4929</v>
      </c>
      <c r="L49" s="50" t="s">
        <v>4913</v>
      </c>
      <c r="M49" s="54" t="s">
        <v>4918</v>
      </c>
      <c r="N49" s="105"/>
    </row>
    <row r="50" spans="1:14" x14ac:dyDescent="0.3">
      <c r="A50" s="56" t="s">
        <v>4930</v>
      </c>
      <c r="B50" s="56" t="s">
        <v>4931</v>
      </c>
      <c r="L50" s="52" t="s">
        <v>4874</v>
      </c>
      <c r="M50" s="22" t="s">
        <v>4914</v>
      </c>
      <c r="N50" s="106"/>
    </row>
    <row r="51" spans="1:14" x14ac:dyDescent="0.3">
      <c r="A51" s="56" t="s">
        <v>4932</v>
      </c>
      <c r="B51" s="56" t="s">
        <v>4933</v>
      </c>
      <c r="L51" s="52" t="s">
        <v>4875</v>
      </c>
      <c r="M51" s="22" t="s">
        <v>4915</v>
      </c>
      <c r="N51" s="104" t="s">
        <v>4919</v>
      </c>
    </row>
    <row r="52" spans="1:14" x14ac:dyDescent="0.3">
      <c r="L52" s="52" t="s">
        <v>4876</v>
      </c>
      <c r="M52" s="22" t="s">
        <v>4916</v>
      </c>
      <c r="N52" s="104"/>
    </row>
    <row r="53" spans="1:14" ht="14.4" customHeight="1" x14ac:dyDescent="0.3">
      <c r="L53" s="52" t="s">
        <v>4880</v>
      </c>
      <c r="M53" s="22" t="s">
        <v>4917</v>
      </c>
      <c r="N53" s="104"/>
    </row>
    <row r="54" spans="1:14" x14ac:dyDescent="0.3">
      <c r="N54" s="104"/>
    </row>
    <row r="55" spans="1:14" x14ac:dyDescent="0.3">
      <c r="L55" s="55" t="s">
        <v>4920</v>
      </c>
    </row>
    <row r="56" spans="1:14" ht="57.6" x14ac:dyDescent="0.3">
      <c r="L56" s="75" t="s">
        <v>4921</v>
      </c>
      <c r="M56" s="76"/>
    </row>
    <row r="57" spans="1:14" x14ac:dyDescent="0.3">
      <c r="L57" s="77"/>
      <c r="M57" s="78"/>
    </row>
    <row r="60" spans="1:14" x14ac:dyDescent="0.3">
      <c r="C60" s="74"/>
    </row>
    <row r="61" spans="1:14" x14ac:dyDescent="0.3">
      <c r="C61" s="59"/>
      <c r="H61" s="50" t="s">
        <v>4873</v>
      </c>
    </row>
    <row r="62" spans="1:14" x14ac:dyDescent="0.3">
      <c r="C62" s="59"/>
      <c r="H62" s="22" t="s">
        <v>4874</v>
      </c>
      <c r="I62" s="22" t="s">
        <v>4884</v>
      </c>
      <c r="J62" s="22">
        <v>811</v>
      </c>
    </row>
    <row r="63" spans="1:14" x14ac:dyDescent="0.3">
      <c r="H63" s="22" t="s">
        <v>4875</v>
      </c>
      <c r="I63" s="22" t="s">
        <v>4885</v>
      </c>
      <c r="J63" s="22">
        <v>67</v>
      </c>
    </row>
    <row r="64" spans="1:14" x14ac:dyDescent="0.3">
      <c r="C64" s="59"/>
      <c r="H64" s="22" t="s">
        <v>4876</v>
      </c>
      <c r="I64" s="22" t="s">
        <v>4886</v>
      </c>
      <c r="J64" s="22">
        <v>38</v>
      </c>
    </row>
    <row r="65" spans="3:10" x14ac:dyDescent="0.3">
      <c r="H65" s="22" t="s">
        <v>4877</v>
      </c>
      <c r="I65" s="22" t="s">
        <v>4887</v>
      </c>
      <c r="J65" s="22">
        <v>5</v>
      </c>
    </row>
    <row r="66" spans="3:10" x14ac:dyDescent="0.3">
      <c r="C66" s="74"/>
      <c r="H66" s="22" t="s">
        <v>4878</v>
      </c>
      <c r="I66" s="22" t="s">
        <v>4888</v>
      </c>
      <c r="J66" s="22">
        <v>5</v>
      </c>
    </row>
    <row r="67" spans="3:10" x14ac:dyDescent="0.3">
      <c r="H67" s="22" t="s">
        <v>4879</v>
      </c>
      <c r="I67" s="22" t="s">
        <v>4889</v>
      </c>
      <c r="J67" s="22">
        <v>3</v>
      </c>
    </row>
    <row r="68" spans="3:10" x14ac:dyDescent="0.3">
      <c r="H68" s="22" t="s">
        <v>4880</v>
      </c>
      <c r="I68" s="22" t="s">
        <v>4890</v>
      </c>
      <c r="J68" s="22">
        <v>2</v>
      </c>
    </row>
    <row r="69" spans="3:10" x14ac:dyDescent="0.3">
      <c r="H69" s="22" t="s">
        <v>4881</v>
      </c>
      <c r="I69" s="22" t="s">
        <v>4891</v>
      </c>
      <c r="J69" s="22">
        <v>1</v>
      </c>
    </row>
    <row r="70" spans="3:10" x14ac:dyDescent="0.3">
      <c r="H70" s="22" t="s">
        <v>4882</v>
      </c>
      <c r="I70" s="22" t="s">
        <v>4892</v>
      </c>
      <c r="J70" s="22">
        <v>1</v>
      </c>
    </row>
  </sheetData>
  <mergeCells count="20">
    <mergeCell ref="L38:M38"/>
    <mergeCell ref="L39:M39"/>
    <mergeCell ref="L40:M40"/>
    <mergeCell ref="L41:M42"/>
    <mergeCell ref="N41:N42"/>
    <mergeCell ref="A45:B45"/>
    <mergeCell ref="N51:N54"/>
    <mergeCell ref="N46:N50"/>
    <mergeCell ref="B34:B36"/>
    <mergeCell ref="I38:J38"/>
    <mergeCell ref="I39:J39"/>
    <mergeCell ref="I41:J41"/>
    <mergeCell ref="I42:J42"/>
    <mergeCell ref="I37:J37"/>
    <mergeCell ref="A37:D37"/>
    <mergeCell ref="C38:C39"/>
    <mergeCell ref="D41:E41"/>
    <mergeCell ref="D40:E40"/>
    <mergeCell ref="D42:E42"/>
    <mergeCell ref="L37:M37"/>
  </mergeCells>
  <pageMargins left="0.7" right="0.7" top="0.75" bottom="0.75" header="0.3" footer="0.3"/>
  <ignoredErrors>
    <ignoredError sqref="B29:H29 B26:H26" formulaRange="1"/>
    <ignoredError sqref="I26" formula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7F5A1-E022-4389-9205-6238244C09F0}">
  <dimension ref="A1:E66"/>
  <sheetViews>
    <sheetView topLeftCell="A40" workbookViewId="0">
      <selection activeCell="D3" sqref="D3"/>
    </sheetView>
  </sheetViews>
  <sheetFormatPr baseColWidth="10" defaultRowHeight="14.4" x14ac:dyDescent="0.3"/>
  <cols>
    <col min="1" max="1" width="29.33203125" customWidth="1"/>
    <col min="2" max="2" width="19.44140625" customWidth="1"/>
    <col min="3" max="3" width="38.33203125" customWidth="1"/>
    <col min="4" max="4" width="82.109375" customWidth="1"/>
    <col min="5" max="5" width="11.5546875" style="4"/>
    <col min="6" max="7" width="38.21875" customWidth="1"/>
    <col min="8" max="8" width="31.5546875" bestFit="1" customWidth="1"/>
    <col min="9" max="9" width="8.88671875" customWidth="1"/>
  </cols>
  <sheetData>
    <row r="1" spans="1:4" x14ac:dyDescent="0.3">
      <c r="A1" s="58" t="s">
        <v>4935</v>
      </c>
      <c r="B1" s="58" t="s">
        <v>4936</v>
      </c>
      <c r="C1" s="58" t="s">
        <v>4937</v>
      </c>
      <c r="D1" s="58" t="s">
        <v>5002</v>
      </c>
    </row>
    <row r="2" spans="1:4" x14ac:dyDescent="0.3">
      <c r="A2" s="92" t="s">
        <v>4938</v>
      </c>
      <c r="B2" s="62">
        <v>0.189</v>
      </c>
      <c r="C2" t="s">
        <v>4939</v>
      </c>
      <c r="D2" t="s">
        <v>4984</v>
      </c>
    </row>
    <row r="3" spans="1:4" x14ac:dyDescent="0.3">
      <c r="A3" s="80" t="s">
        <v>4924</v>
      </c>
      <c r="B3" s="65">
        <v>0.124</v>
      </c>
      <c r="C3" t="s">
        <v>4940</v>
      </c>
      <c r="D3" t="s">
        <v>4985</v>
      </c>
    </row>
    <row r="4" spans="1:4" x14ac:dyDescent="0.3">
      <c r="A4" s="80" t="s">
        <v>4941</v>
      </c>
      <c r="B4" s="65">
        <v>6.7000000000000004E-2</v>
      </c>
      <c r="C4" t="s">
        <v>4942</v>
      </c>
      <c r="D4" t="s">
        <v>4986</v>
      </c>
    </row>
    <row r="5" spans="1:4" x14ac:dyDescent="0.3">
      <c r="A5" s="80" t="s">
        <v>4943</v>
      </c>
      <c r="B5" s="65">
        <v>0.128</v>
      </c>
      <c r="C5" t="s">
        <v>4944</v>
      </c>
      <c r="D5" t="s">
        <v>4987</v>
      </c>
    </row>
    <row r="6" spans="1:4" x14ac:dyDescent="0.3">
      <c r="A6" s="93" t="s">
        <v>4945</v>
      </c>
      <c r="B6" s="62">
        <v>3.1E-2</v>
      </c>
      <c r="C6" t="s">
        <v>4946</v>
      </c>
      <c r="D6" t="s">
        <v>4988</v>
      </c>
    </row>
    <row r="7" spans="1:4" x14ac:dyDescent="0.3">
      <c r="A7" s="94" t="s">
        <v>4928</v>
      </c>
      <c r="B7" s="63">
        <v>5.1999999999999998E-2</v>
      </c>
      <c r="C7" t="s">
        <v>4947</v>
      </c>
      <c r="D7" t="s">
        <v>4989</v>
      </c>
    </row>
    <row r="8" spans="1:4" x14ac:dyDescent="0.3">
      <c r="A8" s="94" t="s">
        <v>4948</v>
      </c>
      <c r="B8" s="63">
        <v>6.8000000000000005E-2</v>
      </c>
      <c r="C8" t="s">
        <v>4949</v>
      </c>
      <c r="D8" t="s">
        <v>4971</v>
      </c>
    </row>
    <row r="9" spans="1:4" x14ac:dyDescent="0.3">
      <c r="A9" s="95" t="s">
        <v>4950</v>
      </c>
      <c r="B9" s="64">
        <v>5.7000000000000002E-2</v>
      </c>
      <c r="C9" t="s">
        <v>4951</v>
      </c>
      <c r="D9" t="s">
        <v>4990</v>
      </c>
    </row>
    <row r="10" spans="1:4" x14ac:dyDescent="0.3">
      <c r="A10" s="95" t="s">
        <v>4952</v>
      </c>
      <c r="B10" s="64">
        <v>4.8000000000000001E-2</v>
      </c>
      <c r="C10" t="s">
        <v>4953</v>
      </c>
      <c r="D10" t="s">
        <v>4991</v>
      </c>
    </row>
    <row r="11" spans="1:4" x14ac:dyDescent="0.3">
      <c r="A11" s="4" t="s">
        <v>4954</v>
      </c>
      <c r="B11" s="60">
        <v>0.02</v>
      </c>
      <c r="C11" s="66" t="s">
        <v>4955</v>
      </c>
      <c r="D11" t="s">
        <v>4992</v>
      </c>
    </row>
    <row r="12" spans="1:4" x14ac:dyDescent="0.3">
      <c r="A12" s="4" t="s">
        <v>4956</v>
      </c>
      <c r="B12" s="60">
        <v>1.9E-2</v>
      </c>
      <c r="C12" s="66" t="s">
        <v>4957</v>
      </c>
      <c r="D12" t="s">
        <v>4993</v>
      </c>
    </row>
    <row r="13" spans="1:4" x14ac:dyDescent="0.3">
      <c r="A13" s="4" t="s">
        <v>4958</v>
      </c>
      <c r="B13" s="60">
        <v>2.7E-2</v>
      </c>
      <c r="C13" s="66" t="s">
        <v>4959</v>
      </c>
      <c r="D13" t="s">
        <v>4994</v>
      </c>
    </row>
    <row r="14" spans="1:4" x14ac:dyDescent="0.3">
      <c r="A14" s="95" t="s">
        <v>4926</v>
      </c>
      <c r="B14" s="64">
        <v>2.5999999999999999E-2</v>
      </c>
      <c r="C14" t="s">
        <v>4960</v>
      </c>
      <c r="D14" t="s">
        <v>4995</v>
      </c>
    </row>
    <row r="15" spans="1:4" x14ac:dyDescent="0.3">
      <c r="A15" s="4" t="s">
        <v>4961</v>
      </c>
      <c r="B15" s="60">
        <v>3.4000000000000002E-2</v>
      </c>
      <c r="C15" s="66" t="s">
        <v>4962</v>
      </c>
      <c r="D15" t="s">
        <v>4996</v>
      </c>
    </row>
    <row r="16" spans="1:4" x14ac:dyDescent="0.3">
      <c r="A16" s="4" t="s">
        <v>4932</v>
      </c>
      <c r="B16" s="60">
        <v>2.7E-2</v>
      </c>
      <c r="C16" t="s">
        <v>4963</v>
      </c>
      <c r="D16" t="s">
        <v>4997</v>
      </c>
    </row>
    <row r="17" spans="1:4" x14ac:dyDescent="0.3">
      <c r="A17" s="4" t="s">
        <v>4964</v>
      </c>
      <c r="B17" s="60">
        <v>2.4E-2</v>
      </c>
      <c r="C17" s="66" t="s">
        <v>4965</v>
      </c>
      <c r="D17" t="s">
        <v>4998</v>
      </c>
    </row>
    <row r="18" spans="1:4" x14ac:dyDescent="0.3">
      <c r="A18" s="94" t="s">
        <v>4930</v>
      </c>
      <c r="B18" s="63">
        <v>2.4E-2</v>
      </c>
      <c r="C18" t="s">
        <v>4966</v>
      </c>
      <c r="D18" t="s">
        <v>4999</v>
      </c>
    </row>
    <row r="19" spans="1:4" x14ac:dyDescent="0.3">
      <c r="A19" s="94" t="s">
        <v>4967</v>
      </c>
      <c r="B19" s="63">
        <v>2.3E-2</v>
      </c>
      <c r="C19" t="s">
        <v>4968</v>
      </c>
      <c r="D19" t="s">
        <v>5000</v>
      </c>
    </row>
    <row r="20" spans="1:4" x14ac:dyDescent="0.3">
      <c r="A20" s="4" t="s">
        <v>4969</v>
      </c>
      <c r="B20" s="60">
        <v>1.2E-2</v>
      </c>
      <c r="C20" s="66" t="s">
        <v>4970</v>
      </c>
      <c r="D20" t="s">
        <v>5001</v>
      </c>
    </row>
    <row r="21" spans="1:4" x14ac:dyDescent="0.3">
      <c r="B21" s="73">
        <f>SUM(B2:B20)</f>
        <v>1.0000000000000002</v>
      </c>
    </row>
    <row r="22" spans="1:4" x14ac:dyDescent="0.3">
      <c r="A22" s="68" t="s">
        <v>4972</v>
      </c>
    </row>
    <row r="23" spans="1:4" x14ac:dyDescent="0.3">
      <c r="B23" s="67" t="s">
        <v>4974</v>
      </c>
      <c r="C23" s="67" t="s">
        <v>4982</v>
      </c>
    </row>
    <row r="24" spans="1:4" x14ac:dyDescent="0.3">
      <c r="A24" s="53" t="s">
        <v>4973</v>
      </c>
      <c r="B24" s="69" t="s">
        <v>4975</v>
      </c>
      <c r="C24" s="70">
        <f>B7+B8+B18+B19</f>
        <v>0.16699999999999998</v>
      </c>
    </row>
    <row r="25" spans="1:4" x14ac:dyDescent="0.3">
      <c r="A25" s="53" t="s">
        <v>4976</v>
      </c>
      <c r="B25" s="71" t="s">
        <v>4977</v>
      </c>
      <c r="C25" s="72">
        <f>B9+B10+B14</f>
        <v>0.13100000000000001</v>
      </c>
    </row>
    <row r="26" spans="1:4" x14ac:dyDescent="0.3">
      <c r="A26" s="143" t="s">
        <v>4978</v>
      </c>
      <c r="B26" s="144" t="s">
        <v>4979</v>
      </c>
      <c r="C26" s="146">
        <f>B3+B4+B5</f>
        <v>0.31900000000000001</v>
      </c>
    </row>
    <row r="27" spans="1:4" x14ac:dyDescent="0.3">
      <c r="A27" s="143"/>
      <c r="B27" s="144"/>
      <c r="C27" s="147"/>
    </row>
    <row r="28" spans="1:4" x14ac:dyDescent="0.3">
      <c r="A28" s="104" t="s">
        <v>4980</v>
      </c>
      <c r="B28" s="145" t="s">
        <v>4981</v>
      </c>
      <c r="C28" s="146">
        <f>B2+B6</f>
        <v>0.22</v>
      </c>
    </row>
    <row r="29" spans="1:4" x14ac:dyDescent="0.3">
      <c r="A29" s="104"/>
      <c r="B29" s="145"/>
      <c r="C29" s="147"/>
    </row>
    <row r="30" spans="1:4" x14ac:dyDescent="0.3">
      <c r="A30" s="130" t="s">
        <v>4855</v>
      </c>
      <c r="B30" s="138" t="s">
        <v>4983</v>
      </c>
      <c r="C30" s="139">
        <f>1-SUM(C24:C29)</f>
        <v>0.16300000000000003</v>
      </c>
    </row>
    <row r="31" spans="1:4" x14ac:dyDescent="0.3">
      <c r="A31" s="130"/>
      <c r="B31" s="138"/>
      <c r="C31" s="130"/>
    </row>
    <row r="32" spans="1:4" x14ac:dyDescent="0.3">
      <c r="A32" s="4"/>
      <c r="B32" s="56"/>
      <c r="C32" s="4"/>
    </row>
    <row r="33" spans="1:5" s="81" customFormat="1" x14ac:dyDescent="0.3">
      <c r="A33" s="81" t="s">
        <v>4937</v>
      </c>
      <c r="B33" s="81" t="s">
        <v>5006</v>
      </c>
      <c r="C33" s="129" t="s">
        <v>5002</v>
      </c>
      <c r="D33" s="129"/>
      <c r="E33" s="81" t="s">
        <v>5008</v>
      </c>
    </row>
    <row r="34" spans="1:5" x14ac:dyDescent="0.3">
      <c r="A34" s="140" t="s">
        <v>5009</v>
      </c>
      <c r="B34" s="88" t="s">
        <v>4930</v>
      </c>
      <c r="C34" s="127" t="s">
        <v>4999</v>
      </c>
      <c r="D34" s="127"/>
      <c r="E34" s="96">
        <v>2.4E-2</v>
      </c>
    </row>
    <row r="35" spans="1:5" x14ac:dyDescent="0.3">
      <c r="A35" s="141"/>
      <c r="B35" s="88" t="s">
        <v>4967</v>
      </c>
      <c r="C35" s="127" t="s">
        <v>5000</v>
      </c>
      <c r="D35" s="127"/>
      <c r="E35" s="96">
        <v>2.3E-2</v>
      </c>
    </row>
    <row r="36" spans="1:5" x14ac:dyDescent="0.3">
      <c r="A36" s="141"/>
      <c r="B36" s="88" t="s">
        <v>4928</v>
      </c>
      <c r="C36" s="125" t="s">
        <v>4989</v>
      </c>
      <c r="D36" s="126"/>
      <c r="E36" s="96">
        <v>6.8000000000000005E-2</v>
      </c>
    </row>
    <row r="37" spans="1:5" x14ac:dyDescent="0.3">
      <c r="A37" s="142"/>
      <c r="B37" s="88" t="s">
        <v>4948</v>
      </c>
      <c r="C37" s="127" t="s">
        <v>4971</v>
      </c>
      <c r="D37" s="127"/>
      <c r="E37" s="96">
        <v>5.1999999999999998E-2</v>
      </c>
    </row>
    <row r="38" spans="1:5" x14ac:dyDescent="0.3">
      <c r="A38" s="122" t="s">
        <v>5010</v>
      </c>
      <c r="B38" s="89" t="s">
        <v>4952</v>
      </c>
      <c r="C38" s="128" t="s">
        <v>4991</v>
      </c>
      <c r="D38" s="128"/>
      <c r="E38" s="97">
        <v>4.8000000000000001E-2</v>
      </c>
    </row>
    <row r="39" spans="1:5" x14ac:dyDescent="0.3">
      <c r="A39" s="123"/>
      <c r="B39" s="89" t="s">
        <v>4926</v>
      </c>
      <c r="C39" s="128" t="s">
        <v>4995</v>
      </c>
      <c r="D39" s="128"/>
      <c r="E39" s="97">
        <v>2.5999999999999999E-2</v>
      </c>
    </row>
    <row r="40" spans="1:5" x14ac:dyDescent="0.3">
      <c r="A40" s="124"/>
      <c r="B40" s="89" t="s">
        <v>4950</v>
      </c>
      <c r="C40" s="128" t="s">
        <v>4990</v>
      </c>
      <c r="D40" s="128"/>
      <c r="E40" s="97">
        <v>5.7000000000000002E-2</v>
      </c>
    </row>
    <row r="41" spans="1:5" x14ac:dyDescent="0.3">
      <c r="A41" s="134" t="s">
        <v>5011</v>
      </c>
      <c r="B41" s="90" t="s">
        <v>4943</v>
      </c>
      <c r="C41" s="137" t="s">
        <v>4987</v>
      </c>
      <c r="D41" s="137"/>
      <c r="E41" s="98">
        <v>0.128</v>
      </c>
    </row>
    <row r="42" spans="1:5" x14ac:dyDescent="0.3">
      <c r="A42" s="134"/>
      <c r="B42" s="90" t="s">
        <v>4941</v>
      </c>
      <c r="C42" s="137" t="s">
        <v>4986</v>
      </c>
      <c r="D42" s="137"/>
      <c r="E42" s="98">
        <v>6.7000000000000004E-2</v>
      </c>
    </row>
    <row r="43" spans="1:5" x14ac:dyDescent="0.3">
      <c r="A43" s="134"/>
      <c r="B43" s="90" t="s">
        <v>4924</v>
      </c>
      <c r="C43" s="137" t="s">
        <v>4985</v>
      </c>
      <c r="D43" s="137"/>
      <c r="E43" s="98">
        <v>0.124</v>
      </c>
    </row>
    <row r="44" spans="1:5" x14ac:dyDescent="0.3">
      <c r="A44" s="135" t="s">
        <v>5012</v>
      </c>
      <c r="B44" s="91" t="s">
        <v>4938</v>
      </c>
      <c r="C44" s="136" t="s">
        <v>4984</v>
      </c>
      <c r="D44" s="136"/>
      <c r="E44" s="99">
        <v>0.189</v>
      </c>
    </row>
    <row r="45" spans="1:5" x14ac:dyDescent="0.3">
      <c r="A45" s="135"/>
      <c r="B45" s="91" t="s">
        <v>4945</v>
      </c>
      <c r="C45" s="136" t="s">
        <v>4988</v>
      </c>
      <c r="D45" s="136"/>
      <c r="E45" s="99">
        <v>3.1E-2</v>
      </c>
    </row>
    <row r="46" spans="1:5" x14ac:dyDescent="0.3">
      <c r="A46" s="130" t="s">
        <v>4855</v>
      </c>
      <c r="B46" s="132" t="s">
        <v>4983</v>
      </c>
      <c r="C46" s="118" t="s">
        <v>5007</v>
      </c>
      <c r="D46" s="119"/>
      <c r="E46" s="131">
        <v>0.16</v>
      </c>
    </row>
    <row r="47" spans="1:5" x14ac:dyDescent="0.3">
      <c r="A47" s="130"/>
      <c r="B47" s="133"/>
      <c r="C47" s="120"/>
      <c r="D47" s="121"/>
      <c r="E47" s="131"/>
    </row>
    <row r="48" spans="1:5" x14ac:dyDescent="0.3">
      <c r="B48" s="61" t="s">
        <v>4938</v>
      </c>
      <c r="C48" t="s">
        <v>4984</v>
      </c>
    </row>
    <row r="49" spans="2:3" x14ac:dyDescent="0.3">
      <c r="B49" s="85" t="s">
        <v>4924</v>
      </c>
      <c r="C49" t="s">
        <v>4985</v>
      </c>
    </row>
    <row r="50" spans="2:3" x14ac:dyDescent="0.3">
      <c r="B50" s="85" t="s">
        <v>4941</v>
      </c>
      <c r="C50" t="s">
        <v>4986</v>
      </c>
    </row>
    <row r="51" spans="2:3" x14ac:dyDescent="0.3">
      <c r="B51" s="85" t="s">
        <v>4943</v>
      </c>
      <c r="C51" t="s">
        <v>4987</v>
      </c>
    </row>
    <row r="52" spans="2:3" x14ac:dyDescent="0.3">
      <c r="B52" s="86" t="s">
        <v>4945</v>
      </c>
      <c r="C52" t="s">
        <v>4988</v>
      </c>
    </row>
    <row r="53" spans="2:3" x14ac:dyDescent="0.3">
      <c r="B53" s="2" t="s">
        <v>4928</v>
      </c>
      <c r="C53" t="s">
        <v>4989</v>
      </c>
    </row>
    <row r="54" spans="2:3" x14ac:dyDescent="0.3">
      <c r="B54" s="2" t="s">
        <v>4948</v>
      </c>
      <c r="C54" t="s">
        <v>4971</v>
      </c>
    </row>
    <row r="55" spans="2:3" x14ac:dyDescent="0.3">
      <c r="B55" s="87" t="s">
        <v>4950</v>
      </c>
      <c r="C55" t="s">
        <v>4990</v>
      </c>
    </row>
    <row r="56" spans="2:3" x14ac:dyDescent="0.3">
      <c r="B56" s="87" t="s">
        <v>4952</v>
      </c>
      <c r="C56" t="s">
        <v>4991</v>
      </c>
    </row>
    <row r="57" spans="2:3" x14ac:dyDescent="0.3">
      <c r="B57" t="s">
        <v>4954</v>
      </c>
      <c r="C57" t="s">
        <v>4992</v>
      </c>
    </row>
    <row r="58" spans="2:3" x14ac:dyDescent="0.3">
      <c r="B58" t="s">
        <v>4956</v>
      </c>
      <c r="C58" t="s">
        <v>4993</v>
      </c>
    </row>
    <row r="59" spans="2:3" x14ac:dyDescent="0.3">
      <c r="B59" t="s">
        <v>4958</v>
      </c>
      <c r="C59" t="s">
        <v>4994</v>
      </c>
    </row>
    <row r="60" spans="2:3" x14ac:dyDescent="0.3">
      <c r="B60" s="87" t="s">
        <v>4926</v>
      </c>
      <c r="C60" t="s">
        <v>4995</v>
      </c>
    </row>
    <row r="61" spans="2:3" x14ac:dyDescent="0.3">
      <c r="B61" t="s">
        <v>4961</v>
      </c>
      <c r="C61" t="s">
        <v>4996</v>
      </c>
    </row>
    <row r="62" spans="2:3" x14ac:dyDescent="0.3">
      <c r="B62" t="s">
        <v>4932</v>
      </c>
      <c r="C62" t="s">
        <v>4997</v>
      </c>
    </row>
    <row r="63" spans="2:3" x14ac:dyDescent="0.3">
      <c r="B63" t="s">
        <v>4964</v>
      </c>
      <c r="C63" t="s">
        <v>4998</v>
      </c>
    </row>
    <row r="64" spans="2:3" x14ac:dyDescent="0.3">
      <c r="B64" s="2" t="s">
        <v>4930</v>
      </c>
      <c r="C64" t="s">
        <v>4999</v>
      </c>
    </row>
    <row r="65" spans="2:3" x14ac:dyDescent="0.3">
      <c r="B65" s="2" t="s">
        <v>4967</v>
      </c>
      <c r="C65" t="s">
        <v>5000</v>
      </c>
    </row>
    <row r="66" spans="2:3" x14ac:dyDescent="0.3">
      <c r="B66" t="s">
        <v>4969</v>
      </c>
      <c r="C66" t="s">
        <v>5001</v>
      </c>
    </row>
  </sheetData>
  <mergeCells count="30">
    <mergeCell ref="A26:A27"/>
    <mergeCell ref="A28:A29"/>
    <mergeCell ref="B26:B27"/>
    <mergeCell ref="B28:B29"/>
    <mergeCell ref="C28:C29"/>
    <mergeCell ref="C26:C27"/>
    <mergeCell ref="B30:B31"/>
    <mergeCell ref="A30:A31"/>
    <mergeCell ref="C30:C31"/>
    <mergeCell ref="C34:D34"/>
    <mergeCell ref="C35:D35"/>
    <mergeCell ref="A34:A37"/>
    <mergeCell ref="C33:D33"/>
    <mergeCell ref="A46:A47"/>
    <mergeCell ref="E46:E47"/>
    <mergeCell ref="B46:B47"/>
    <mergeCell ref="C46:D47"/>
    <mergeCell ref="A41:A43"/>
    <mergeCell ref="A44:A45"/>
    <mergeCell ref="C45:D45"/>
    <mergeCell ref="C44:D44"/>
    <mergeCell ref="C41:D41"/>
    <mergeCell ref="C43:D43"/>
    <mergeCell ref="C42:D42"/>
    <mergeCell ref="A38:A40"/>
    <mergeCell ref="C36:D36"/>
    <mergeCell ref="C37:D37"/>
    <mergeCell ref="C38:D38"/>
    <mergeCell ref="C39:D39"/>
    <mergeCell ref="C40:D4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Filtring gp-search-20260516-205</vt:lpstr>
      <vt:lpstr>Resumen</vt:lpstr>
      <vt:lpstr>Clasificación tecnológica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ENERGETICA20301</dc:creator>
  <cp:lastModifiedBy>Carlos Segundo Cohen Manrique</cp:lastModifiedBy>
  <dcterms:created xsi:type="dcterms:W3CDTF">2026-05-17T04:30:00Z</dcterms:created>
  <dcterms:modified xsi:type="dcterms:W3CDTF">2026-05-22T15:37:18Z</dcterms:modified>
</cp:coreProperties>
</file>
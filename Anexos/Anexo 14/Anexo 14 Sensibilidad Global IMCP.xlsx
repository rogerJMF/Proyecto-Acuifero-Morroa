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Information Ccohen\PC Ccohen Data Rescue\Disk D\ISem26\PhD\Anexos Tesis Phd\Anexo 14\"/>
    </mc:Choice>
  </mc:AlternateContent>
  <xr:revisionPtr revIDLastSave="0" documentId="13_ncr:1_{6FCCDB39-551F-4660-A8AD-52C62EAB6510}" xr6:coauthVersionLast="47" xr6:coauthVersionMax="47" xr10:uidLastSave="{00000000-0000-0000-0000-000000000000}"/>
  <bookViews>
    <workbookView xWindow="19090" yWindow="-110" windowWidth="19420" windowHeight="10300" activeTab="1" xr2:uid="{00000000-000D-0000-FFFF-FFFF00000000}"/>
  </bookViews>
  <sheets>
    <sheet name="Datos" sheetId="1" r:id="rId1"/>
    <sheet name="Cambios" sheetId="2" r:id="rId2"/>
    <sheet name="Sensibilidad" sheetId="3" r:id="rId3"/>
    <sheet name="Ranking" sheetId="4" r:id="rId4"/>
    <sheet name="Spearman" sheetId="5" r:id="rId5"/>
    <sheet name="Bootstrap" sheetId="6" r:id="rId6"/>
    <sheet name="Guía" sheetId="7" r:id="rId7"/>
    <sheet name="Sobol" sheetId="8" r:id="rId8"/>
    <sheet name="Auditoría" sheetId="9" r:id="rId9"/>
    <sheet name="Texto tesis"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8" l="1"/>
  <c r="B9" i="8"/>
  <c r="D6" i="8"/>
  <c r="D5" i="8"/>
  <c r="D4" i="8"/>
  <c r="N18" i="2"/>
  <c r="N17" i="2"/>
  <c r="N16" i="2"/>
  <c r="N15" i="2"/>
  <c r="N14" i="2"/>
  <c r="N13" i="2"/>
  <c r="N12" i="2"/>
  <c r="N11" i="2"/>
  <c r="N10" i="2"/>
  <c r="N9" i="2"/>
  <c r="N8" i="2"/>
  <c r="N7" i="2"/>
  <c r="P6" i="2"/>
  <c r="N6" i="2"/>
  <c r="P5" i="2"/>
  <c r="N5" i="2"/>
  <c r="P4" i="2"/>
  <c r="N4" i="2"/>
  <c r="P3" i="2"/>
  <c r="N3" i="2"/>
  <c r="N2" i="2"/>
</calcChain>
</file>

<file path=xl/sharedStrings.xml><?xml version="1.0" encoding="utf-8"?>
<sst xmlns="http://schemas.openxmlformats.org/spreadsheetml/2006/main" count="357" uniqueCount="167">
  <si>
    <t>Fecha</t>
  </si>
  <si>
    <t>Sampues</t>
  </si>
  <si>
    <t>Finca_Socorro</t>
  </si>
  <si>
    <t>Ovejas</t>
  </si>
  <si>
    <t>Los_Palmitos</t>
  </si>
  <si>
    <t>Morroa_A</t>
  </si>
  <si>
    <t>Bremen_B</t>
  </si>
  <si>
    <t>LasTinas_A</t>
  </si>
  <si>
    <t>LasTinas_B</t>
  </si>
  <si>
    <t>Arroyo_A</t>
  </si>
  <si>
    <t>Arroyo_B</t>
  </si>
  <si>
    <t>Sabanas_PZ02</t>
  </si>
  <si>
    <t>Sabanas_PZ04</t>
  </si>
  <si>
    <t>Basurero</t>
  </si>
  <si>
    <t>Corozal_PO14</t>
  </si>
  <si>
    <t>Corozal_PZ20</t>
  </si>
  <si>
    <t>Corozal_PZ22</t>
  </si>
  <si>
    <t>Cantagallo</t>
  </si>
  <si>
    <t>Resumen IMCP</t>
  </si>
  <si>
    <t>Elemento</t>
  </si>
  <si>
    <t>Configuración</t>
  </si>
  <si>
    <t>Método</t>
  </si>
  <si>
    <t>Sobol Global Sensitivity Analysis</t>
  </si>
  <si>
    <t>Librería</t>
  </si>
  <si>
    <t>SALib</t>
  </si>
  <si>
    <t>Muestreo</t>
  </si>
  <si>
    <t>Saltelli</t>
  </si>
  <si>
    <t>Variables</t>
  </si>
  <si>
    <t>Muestras base</t>
  </si>
  <si>
    <t>Evaluaciones</t>
  </si>
  <si>
    <t>Salida</t>
  </si>
  <si>
    <t>IMCP promedio</t>
  </si>
  <si>
    <t>Índices</t>
  </si>
  <si>
    <t>S1 y ST</t>
  </si>
  <si>
    <t>Dominancia principal</t>
  </si>
  <si>
    <t>Cambio porcentual (65.6%)</t>
  </si>
  <si>
    <t>Robustez</t>
  </si>
  <si>
    <t>Alta</t>
  </si>
  <si>
    <t>Aplicación</t>
  </si>
  <si>
    <t>Evaluación de incertidumbre del IMCP</t>
  </si>
  <si>
    <t>Escala</t>
  </si>
  <si>
    <t>Acuífero Morroa</t>
  </si>
  <si>
    <t>Periodo</t>
  </si>
  <si>
    <t>2010–2025</t>
  </si>
  <si>
    <t>Pozo</t>
  </si>
  <si>
    <t>Nivel 2010</t>
  </si>
  <si>
    <t>Nivel 2025</t>
  </si>
  <si>
    <t>Delta m</t>
  </si>
  <si>
    <t>Gradiente m por año</t>
  </si>
  <si>
    <t>Cambio %</t>
  </si>
  <si>
    <t>Tendencia</t>
  </si>
  <si>
    <t>Intensidad</t>
  </si>
  <si>
    <t>ISH</t>
  </si>
  <si>
    <t>Delta m norm</t>
  </si>
  <si>
    <t>Gradiente m por año norm</t>
  </si>
  <si>
    <t>Cambio % norm</t>
  </si>
  <si>
    <t>IMCP</t>
  </si>
  <si>
    <t>Intrepretación</t>
  </si>
  <si>
    <t>Descenso</t>
  </si>
  <si>
    <t>Moderado</t>
  </si>
  <si>
    <t>Conteo</t>
  </si>
  <si>
    <t># Pozos</t>
  </si>
  <si>
    <t>Leve</t>
  </si>
  <si>
    <t>Critica</t>
  </si>
  <si>
    <t>Recuperación</t>
  </si>
  <si>
    <t>BS</t>
  </si>
  <si>
    <t>SM</t>
  </si>
  <si>
    <t>AS</t>
  </si>
  <si>
    <t>Fuerte</t>
  </si>
  <si>
    <t>Sensibilidad</t>
  </si>
  <si>
    <t>Ranking</t>
  </si>
  <si>
    <t>Spearman</t>
  </si>
  <si>
    <t>Balanceado</t>
  </si>
  <si>
    <t>Magnitud</t>
  </si>
  <si>
    <t>Tasa</t>
  </si>
  <si>
    <t>Bootstrap</t>
  </si>
  <si>
    <t>IMCP_mean</t>
  </si>
  <si>
    <t>IMCP_std</t>
  </si>
  <si>
    <t>Sobol</t>
  </si>
  <si>
    <t>Indices S1</t>
  </si>
  <si>
    <t>w_delta</t>
  </si>
  <si>
    <t>w_gradiente</t>
  </si>
  <si>
    <t>w_porcentaje</t>
  </si>
  <si>
    <t>Indices ST</t>
  </si>
  <si>
    <t>Clasificar pozos para gestión</t>
  </si>
  <si>
    <t>Tipo</t>
  </si>
  <si>
    <t>Acción</t>
  </si>
  <si>
    <t>Estables</t>
  </si>
  <si>
    <t>aptos para explotación</t>
  </si>
  <si>
    <t>Intermedios</t>
  </si>
  <si>
    <t>monitoreo</t>
  </si>
  <si>
    <t>Inestables</t>
  </si>
  <si>
    <t>restricción</t>
  </si>
  <si>
    <t>ANEXO 14. ANÁLISIS DE SENSIBILIDAD GLOBAL DEL IMCP</t>
  </si>
  <si>
    <t>Campo</t>
  </si>
  <si>
    <t>Descripción</t>
  </si>
  <si>
    <t>Propósito</t>
  </si>
  <si>
    <t>Documentar la sensibilidad global, estabilidad y robustez del Índice Multicriterio de Criticidad de Pozos (IMCP).</t>
  </si>
  <si>
    <t>Unidad de análisis</t>
  </si>
  <si>
    <t>17 pozos de monitoreo del acuífero Morroa.</t>
  </si>
  <si>
    <t>Componentes</t>
  </si>
  <si>
    <t>Cambio absoluto (Δ), gradiente temporal y cambio porcentual.</t>
  </si>
  <si>
    <t>Pruebas</t>
  </si>
  <si>
    <t>Escenarios de ponderación, estabilidad del ranking, Spearman, bootstrap e índices de Sobol S1 y ST.</t>
  </si>
  <si>
    <t>Fuente</t>
  </si>
  <si>
    <t>Resultados_Tesis ICMP v2.xlsx y valores Sobol suministrados para la tesis doctoral.</t>
  </si>
  <si>
    <t>Advertencia 1</t>
  </si>
  <si>
    <t>Los escenarios Magnitud y Tasa contienen valores idénticos; se reportan como redundantes y no como validaciones independientes.</t>
  </si>
  <si>
    <t>Advertencia 2</t>
  </si>
  <si>
    <t>La hoja Bootstrap contiene medias y desviaciones estándar, pero no réplicas ni percentiles; no permite reconstruir intervalos de confianza empíricos.</t>
  </si>
  <si>
    <t>ÍNDICES DE SENSIBILIDAD GLOBAL DE SOBOL</t>
  </si>
  <si>
    <t>Parámetro</t>
  </si>
  <si>
    <t>Índice S1</t>
  </si>
  <si>
    <t>Índice ST</t>
  </si>
  <si>
    <t>Interacción (ST − S1)</t>
  </si>
  <si>
    <t>Indicador</t>
  </si>
  <si>
    <t>Resultado</t>
  </si>
  <si>
    <t>Suma S1</t>
  </si>
  <si>
    <t>Suma ST</t>
  </si>
  <si>
    <t>Contribución dominante</t>
  </si>
  <si>
    <t>Interpretación S1</t>
  </si>
  <si>
    <t>El cambio porcentual explica la mayor proporción individual de la variabilidad del IMCP.</t>
  </si>
  <si>
    <t>Interpretación ST</t>
  </si>
  <si>
    <t>Los efectos totales confirman el predominio del cambio porcentual y evidencian interacciones moderadas de Δ y gradiente.</t>
  </si>
  <si>
    <t>TRAZABILIDAD Y CONTROL DE CALIDAD</t>
  </si>
  <si>
    <t>Control</t>
  </si>
  <si>
    <t>Estado</t>
  </si>
  <si>
    <t>Evidencia</t>
  </si>
  <si>
    <t>Implicación</t>
  </si>
  <si>
    <t>Integridad del archivo</t>
  </si>
  <si>
    <t>Conforme</t>
  </si>
  <si>
    <t>Libro reconstruido desde la fuente válida.</t>
  </si>
  <si>
    <t>El contenedor XLSX puede abrirse y auditarse.</t>
  </si>
  <si>
    <t>Número de pozos</t>
  </si>
  <si>
    <t>17 registros en las tablas principales.</t>
  </si>
  <si>
    <t>Cobertura consistente entre las hojas analíticas.</t>
  </si>
  <si>
    <t>Hojas fuente</t>
  </si>
  <si>
    <t>Datos, Cambios, Sensibilidad, Ranking, Spearman y Bootstrap.</t>
  </si>
  <si>
    <t>Se preservó la estructura analítica original.</t>
  </si>
  <si>
    <t>Índices Sobol</t>
  </si>
  <si>
    <t>S1 y ST incorporados para los tres pesos.</t>
  </si>
  <si>
    <t>Permite cuantificar efectos principales y totales.</t>
  </si>
  <si>
    <t>Escenarios Magnitud/Tasa</t>
  </si>
  <si>
    <t>Advertencia</t>
  </si>
  <si>
    <t>Valores idénticos para los 17 pozos.</t>
  </si>
  <si>
    <t>No deben interpretarse como dos validaciones independientes.</t>
  </si>
  <si>
    <t>Solo medias y desviaciones estándar.</t>
  </si>
  <si>
    <t>No se pueden reconstruir percentiles ni IC empíricos.</t>
  </si>
  <si>
    <t>Errores de fórmula</t>
  </si>
  <si>
    <t>Sin referencias rotas en las hojas añadidas.</t>
  </si>
  <si>
    <t>Cálculos auxiliares auditables.</t>
  </si>
  <si>
    <t>Formato numérico</t>
  </si>
  <si>
    <t>Valores almacenados como números y no como texto.</t>
  </si>
  <si>
    <t>Facilita reutilización y análisis posterior.</t>
  </si>
  <si>
    <t>SÍNTESIS INTERPRETATIVA PARA LA TESIS</t>
  </si>
  <si>
    <t>Sección</t>
  </si>
  <si>
    <t>Texto recomendado</t>
  </si>
  <si>
    <t>Resultado principal</t>
  </si>
  <si>
    <t>El análisis de sensibilidad global mostró que el peso asociado al cambio porcentual fue el principal determinante del IMCP, con S1 = 0,6278 y ST = 0,6558. En contraste, los pesos del cambio absoluto y del gradiente presentaron contribuciones individuales menores, aunque sus índices totales evidenciaron interacciones no despreciables con los demás componentes.</t>
  </si>
  <si>
    <t>Estabilidad</t>
  </si>
  <si>
    <t>La elevada concordancia entre el escenario balanceado y los escenarios alternativos (ρ de Spearman = 0,9902) indica que la jerarquización de los pozos es estable ante perturbaciones razonables de las ponderaciones. Diez pozos conservaron exactamente su posición y los siete restantes variaron solo un rango.</t>
  </si>
  <si>
    <t>Lectura metodológica</t>
  </si>
  <si>
    <t>La suma de los efectos de primer orden alcanzó 0,9395, lo que indica que la mayor parte de la variabilidad puede atribuirse a efectos principales. Sin embargo, la diferencia entre ST y S1 confirma la existencia de interacciones, particularmente para el gradiente y el cambio absoluto.</t>
  </si>
  <si>
    <t>Limitación</t>
  </si>
  <si>
    <t>Los escenarios denominados Magnitud y Tasa son numéricamente idénticos y, por tanto, constituyen una prueba redundante. Además, el resumen bootstrap disponible no contiene réplicas, percentiles ni intervalos de confianza, por lo que su interpretación debe limitarse a la comparación descriptiva de medias y desviaciones estándar.</t>
  </si>
  <si>
    <t>Conclusión</t>
  </si>
  <si>
    <t>En conjunto, los resultados respaldan la robustez del IMCP como herramienta de priorización, pero también muestran que su comportamiento está gobernado principalmente por la variación relativa del nivel estático. Esta característica debe explicitarse al utilizar el índice para apoyar decisiones de monitoreo y gestión del acuífero Morroa.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</si>
</sst>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0.0000"/>
  </numFmts>
  <fonts count="10" x14ac:knownFonts="1">
    <font>
      <sz val="11"/>
      <color theme="1"/>
      <name val="Calibri"/>
    </font>
    <font>
      <b/>
      <sz val="11"/>
      <name val="Calibri"/>
    </font>
    <font>
      <b/>
      <sz val="11"/>
      <color theme="1"/>
      <name val="Calibri"/>
    </font>
    <font>
      <b/>
      <sz val="11"/>
      <color rgb="FFFF0000"/>
      <name val="Calibri"/>
    </font>
    <font>
      <b/>
      <sz val="14"/>
      <color rgb="FFFFFFFF"/>
      <name val="Calibri"/>
    </font>
    <font>
      <b/>
      <sz val="11"/>
      <color rgb="FFFFFFFF"/>
      <name val="Calibri"/>
    </font>
    <font>
      <b/>
      <sz val="11"/>
      <color rgb="FF17365D"/>
      <name val="Calibri"/>
    </font>
    <font>
      <sz val="11"/>
      <color rgb="FFFF0000"/>
      <name val="Calibri"/>
      <family val="2"/>
    </font>
    <font>
      <b/>
      <sz val="11"/>
      <color rgb="FFFF0000"/>
      <name val="Calibri"/>
      <family val="2"/>
    </font>
    <font>
      <b/>
      <sz val="11"/>
      <color rgb="FF00B050"/>
      <name val="Calibri"/>
      <family val="2"/>
    </font>
  </fonts>
  <fills count="12">
    <fill>
      <patternFill patternType="none"/>
    </fill>
    <fill>
      <patternFill patternType="gray125"/>
    </fill>
    <fill>
      <patternFill patternType="solid">
        <fgColor theme="0" tint="-4.9989318521683403E-2"/>
        <bgColor indexed="65"/>
      </patternFill>
    </fill>
    <fill>
      <patternFill patternType="solid">
        <fgColor theme="4" tint="0.79995117038483843"/>
        <bgColor indexed="65"/>
      </patternFill>
    </fill>
    <fill>
      <patternFill patternType="solid">
        <fgColor rgb="FF17365D"/>
      </patternFill>
    </fill>
    <fill>
      <patternFill patternType="solid">
        <fgColor rgb="FF2F75B5"/>
      </patternFill>
    </fill>
    <fill>
      <patternFill patternType="solid">
        <fgColor rgb="FFD9EAF7"/>
      </patternFill>
    </fill>
    <fill>
      <patternFill patternType="solid">
        <fgColor rgb="FFFFFF00"/>
        <bgColor indexed="64"/>
      </patternFill>
    </fill>
    <fill>
      <patternFill patternType="solid">
        <fgColor theme="3" tint="0.79998168889431442"/>
        <bgColor indexed="64"/>
      </patternFill>
    </fill>
    <fill>
      <patternFill patternType="solid">
        <fgColor rgb="FF92D050"/>
        <bgColor indexed="64"/>
      </patternFill>
    </fill>
    <fill>
      <patternFill patternType="solid">
        <fgColor theme="9" tint="0.79998168889431442"/>
        <bgColor indexed="64"/>
      </patternFill>
    </fill>
    <fill>
      <patternFill patternType="solid">
        <fgColor theme="6" tint="0.79998168889431442"/>
        <bgColor indexed="64"/>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rgb="FFB4C6E7"/>
      </left>
      <right style="thin">
        <color rgb="FFB4C6E7"/>
      </right>
      <top style="thin">
        <color rgb="FFB4C6E7"/>
      </top>
      <bottom style="thin">
        <color rgb="FFB4C6E7"/>
      </bottom>
      <diagonal/>
    </border>
    <border>
      <left/>
      <right style="thin">
        <color rgb="FFD9E2F3"/>
      </right>
      <top/>
      <bottom style="thin">
        <color rgb="FFD9E2F3"/>
      </bottom>
      <diagonal/>
    </border>
    <border>
      <left style="thin">
        <color rgb="FFD9E2F3"/>
      </left>
      <right/>
      <top/>
      <bottom style="thin">
        <color rgb="FFD9E2F3"/>
      </bottom>
      <diagonal/>
    </border>
    <border>
      <left/>
      <right style="thin">
        <color rgb="FFD9E2F3"/>
      </right>
      <top style="thin">
        <color rgb="FFD9E2F3"/>
      </top>
      <bottom style="thin">
        <color rgb="FFD9E2F3"/>
      </bottom>
      <diagonal/>
    </border>
    <border>
      <left style="thin">
        <color rgb="FFD9E2F3"/>
      </left>
      <right/>
      <top style="thin">
        <color rgb="FFD9E2F3"/>
      </top>
      <bottom style="thin">
        <color rgb="FFD9E2F3"/>
      </bottom>
      <diagonal/>
    </border>
    <border>
      <left/>
      <right style="thin">
        <color rgb="FFD9E2F3"/>
      </right>
      <top style="thin">
        <color rgb="FFD9E2F3"/>
      </top>
      <bottom/>
      <diagonal/>
    </border>
    <border>
      <left style="thin">
        <color rgb="FFD9E2F3"/>
      </left>
      <right/>
      <top style="thin">
        <color rgb="FFD9E2F3"/>
      </top>
      <bottom/>
      <diagonal/>
    </border>
    <border>
      <left style="thin">
        <color rgb="FFD9E2F3"/>
      </left>
      <right style="thin">
        <color rgb="FFD9E2F3"/>
      </right>
      <top/>
      <bottom style="thin">
        <color rgb="FFD9E2F3"/>
      </bottom>
      <diagonal/>
    </border>
    <border>
      <left style="thin">
        <color rgb="FFD9E2F3"/>
      </left>
      <right style="thin">
        <color rgb="FFD9E2F3"/>
      </right>
      <top style="thin">
        <color rgb="FFD9E2F3"/>
      </top>
      <bottom style="thin">
        <color rgb="FFD9E2F3"/>
      </bottom>
      <diagonal/>
    </border>
    <border>
      <left style="thin">
        <color rgb="FFD9E2F3"/>
      </left>
      <right style="thin">
        <color rgb="FFD9E2F3"/>
      </right>
      <top style="thin">
        <color rgb="FFD9E2F3"/>
      </top>
      <bottom/>
      <diagonal/>
    </border>
    <border>
      <left/>
      <right style="thin">
        <color rgb="FFB4C6E7"/>
      </right>
      <top/>
      <bottom style="thin">
        <color rgb="FFB4C6E7"/>
      </bottom>
      <diagonal/>
    </border>
    <border>
      <left style="thin">
        <color rgb="FFB4C6E7"/>
      </left>
      <right/>
      <top/>
      <bottom style="thin">
        <color rgb="FFB4C6E7"/>
      </bottom>
      <diagonal/>
    </border>
    <border>
      <left/>
      <right style="thin">
        <color rgb="FFB4C6E7"/>
      </right>
      <top style="thin">
        <color rgb="FFB4C6E7"/>
      </top>
      <bottom style="thin">
        <color rgb="FFB4C6E7"/>
      </bottom>
      <diagonal/>
    </border>
    <border>
      <left style="thin">
        <color rgb="FFB4C6E7"/>
      </left>
      <right/>
      <top style="thin">
        <color rgb="FFB4C6E7"/>
      </top>
      <bottom style="thin">
        <color rgb="FFB4C6E7"/>
      </bottom>
      <diagonal/>
    </border>
    <border>
      <left/>
      <right style="thin">
        <color rgb="FFB4C6E7"/>
      </right>
      <top style="thin">
        <color rgb="FFB4C6E7"/>
      </top>
      <bottom/>
      <diagonal/>
    </border>
    <border>
      <left style="thin">
        <color rgb="FFB4C6E7"/>
      </left>
      <right/>
      <top style="thin">
        <color rgb="FFB4C6E7"/>
      </top>
      <bottom/>
      <diagonal/>
    </border>
  </borders>
  <cellStyleXfs count="1">
    <xf numFmtId="0" fontId="0" fillId="0" borderId="0"/>
  </cellStyleXfs>
  <cellXfs count="65">
    <xf numFmtId="0" fontId="0" fillId="0" borderId="0" xfId="0"/>
    <xf numFmtId="0" fontId="1" fillId="0" borderId="1" xfId="0" applyFont="1" applyBorder="1" applyAlignment="1">
      <alignment horizontal="center" vertical="top"/>
    </xf>
    <xf numFmtId="164" fontId="0" fillId="0" borderId="0" xfId="0" applyNumberFormat="1"/>
    <xf numFmtId="0" fontId="1" fillId="0" borderId="1" xfId="0" applyFont="1" applyBorder="1" applyAlignment="1">
      <alignment horizontal="center" vertical="center"/>
    </xf>
    <xf numFmtId="0" fontId="0" fillId="0" borderId="0" xfId="0" applyAlignment="1">
      <alignment vertical="center"/>
    </xf>
    <xf numFmtId="0" fontId="0" fillId="0" borderId="0" xfId="0"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0" fillId="0" borderId="1" xfId="0" applyBorder="1"/>
    <xf numFmtId="0" fontId="0" fillId="0" borderId="1" xfId="0" applyBorder="1" applyAlignment="1">
      <alignment horizontal="center" vertical="center"/>
    </xf>
    <xf numFmtId="0" fontId="0" fillId="0" borderId="0" xfId="0" applyAlignment="1">
      <alignment horizontal="left" vertical="center"/>
    </xf>
    <xf numFmtId="0" fontId="0" fillId="0" borderId="0" xfId="0" applyAlignment="1">
      <alignment horizontal="center"/>
    </xf>
    <xf numFmtId="0" fontId="0" fillId="0" borderId="1" xfId="0" applyBorder="1" applyAlignment="1">
      <alignment horizontal="center"/>
    </xf>
    <xf numFmtId="0" fontId="0" fillId="0" borderId="1" xfId="0" applyBorder="1" applyAlignment="1">
      <alignment vertical="center" wrapText="1"/>
    </xf>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0" fillId="0" borderId="1" xfId="0" applyBorder="1" applyAlignment="1">
      <alignment horizontal="left" vertical="center"/>
    </xf>
    <xf numFmtId="0" fontId="5" fillId="5" borderId="5" xfId="0" applyFont="1" applyFill="1" applyBorder="1" applyAlignment="1">
      <alignment horizontal="center" vertical="center" wrapText="1"/>
    </xf>
    <xf numFmtId="0" fontId="0" fillId="0" borderId="6" xfId="0" applyBorder="1" applyAlignment="1">
      <alignment vertical="center"/>
    </xf>
    <xf numFmtId="0" fontId="0" fillId="0" borderId="8" xfId="0" applyBorder="1" applyAlignment="1">
      <alignment vertical="center"/>
    </xf>
    <xf numFmtId="0" fontId="0" fillId="0" borderId="10" xfId="0" applyBorder="1" applyAlignment="1">
      <alignment vertical="center"/>
    </xf>
    <xf numFmtId="0" fontId="6" fillId="6" borderId="6" xfId="0" applyFont="1" applyFill="1" applyBorder="1" applyAlignment="1">
      <alignment vertical="top"/>
    </xf>
    <xf numFmtId="0" fontId="6" fillId="6" borderId="8" xfId="0" applyFont="1" applyFill="1" applyBorder="1" applyAlignment="1">
      <alignment vertical="top"/>
    </xf>
    <xf numFmtId="0" fontId="6" fillId="6" borderId="10" xfId="0" applyFont="1" applyFill="1" applyBorder="1" applyAlignment="1">
      <alignment vertical="top"/>
    </xf>
    <xf numFmtId="0" fontId="0" fillId="0" borderId="7" xfId="0" applyBorder="1" applyAlignment="1">
      <alignment vertical="center" wrapText="1"/>
    </xf>
    <xf numFmtId="0" fontId="0" fillId="0" borderId="9" xfId="0" applyBorder="1" applyAlignment="1">
      <alignment vertical="center" wrapText="1"/>
    </xf>
    <xf numFmtId="0" fontId="0" fillId="0" borderId="11" xfId="0" applyBorder="1" applyAlignment="1">
      <alignment vertical="center" wrapText="1"/>
    </xf>
    <xf numFmtId="165" fontId="0" fillId="0" borderId="12" xfId="0" applyNumberFormat="1" applyBorder="1" applyAlignment="1">
      <alignment vertical="center"/>
    </xf>
    <xf numFmtId="165" fontId="0" fillId="0" borderId="7" xfId="0" applyNumberFormat="1" applyBorder="1" applyAlignment="1">
      <alignment vertical="center"/>
    </xf>
    <xf numFmtId="165" fontId="0" fillId="0" borderId="13" xfId="0" applyNumberFormat="1" applyBorder="1" applyAlignment="1">
      <alignment vertical="center"/>
    </xf>
    <xf numFmtId="165" fontId="0" fillId="0" borderId="9" xfId="0" applyNumberFormat="1" applyBorder="1" applyAlignment="1">
      <alignment vertical="center"/>
    </xf>
    <xf numFmtId="165" fontId="0" fillId="0" borderId="14" xfId="0" applyNumberFormat="1" applyBorder="1" applyAlignment="1">
      <alignment vertical="center"/>
    </xf>
    <xf numFmtId="165" fontId="0" fillId="0" borderId="11" xfId="0" applyNumberFormat="1" applyBorder="1" applyAlignment="1">
      <alignment vertical="center"/>
    </xf>
    <xf numFmtId="0" fontId="6" fillId="6" borderId="0" xfId="0" applyFont="1" applyFill="1" applyAlignment="1">
      <alignment wrapText="1"/>
    </xf>
    <xf numFmtId="0" fontId="0" fillId="0" borderId="0" xfId="0" applyAlignment="1">
      <alignment wrapText="1"/>
    </xf>
    <xf numFmtId="10" fontId="0" fillId="0" borderId="0" xfId="0" applyNumberFormat="1" applyAlignment="1">
      <alignment wrapText="1"/>
    </xf>
    <xf numFmtId="0" fontId="0" fillId="0" borderId="6" xfId="0" applyBorder="1" applyAlignment="1">
      <alignment vertical="center" wrapText="1"/>
    </xf>
    <xf numFmtId="0" fontId="0" fillId="0" borderId="12" xfId="0" applyBorder="1" applyAlignment="1">
      <alignment vertical="center" wrapText="1"/>
    </xf>
    <xf numFmtId="0" fontId="0" fillId="0" borderId="8" xfId="0" applyBorder="1" applyAlignment="1">
      <alignment vertical="center" wrapText="1"/>
    </xf>
    <xf numFmtId="0" fontId="0" fillId="0" borderId="13" xfId="0" applyBorder="1" applyAlignment="1">
      <alignment vertical="center" wrapText="1"/>
    </xf>
    <xf numFmtId="0" fontId="0" fillId="0" borderId="10" xfId="0" applyBorder="1" applyAlignment="1">
      <alignment vertical="center" wrapText="1"/>
    </xf>
    <xf numFmtId="0" fontId="0" fillId="0" borderId="14" xfId="0" applyBorder="1" applyAlignment="1">
      <alignment vertical="center" wrapText="1"/>
    </xf>
    <xf numFmtId="0" fontId="6" fillId="6" borderId="15" xfId="0" applyFont="1" applyFill="1" applyBorder="1" applyAlignment="1">
      <alignment vertical="top" wrapText="1"/>
    </xf>
    <xf numFmtId="0" fontId="0" fillId="0" borderId="16" xfId="0" applyBorder="1" applyAlignment="1">
      <alignment wrapText="1"/>
    </xf>
    <xf numFmtId="0" fontId="6" fillId="6" borderId="17" xfId="0" applyFont="1" applyFill="1" applyBorder="1" applyAlignment="1">
      <alignment vertical="top" wrapText="1"/>
    </xf>
    <xf numFmtId="0" fontId="0" fillId="0" borderId="18" xfId="0" applyBorder="1" applyAlignment="1">
      <alignment wrapText="1"/>
    </xf>
    <xf numFmtId="0" fontId="6" fillId="6" borderId="19" xfId="0" applyFont="1" applyFill="1" applyBorder="1" applyAlignment="1">
      <alignment vertical="top" wrapText="1"/>
    </xf>
    <xf numFmtId="0" fontId="0" fillId="0" borderId="20" xfId="0" applyBorder="1" applyAlignment="1">
      <alignment wrapText="1"/>
    </xf>
    <xf numFmtId="0" fontId="4" fillId="4" borderId="0" xfId="0" applyFont="1" applyFill="1" applyAlignment="1">
      <alignment horizontal="left" vertical="center"/>
    </xf>
    <xf numFmtId="0" fontId="0" fillId="0" borderId="1" xfId="0" applyBorder="1" applyAlignment="1">
      <alignment horizontal="center" vertical="center" wrapText="1"/>
    </xf>
    <xf numFmtId="0" fontId="3" fillId="3" borderId="1" xfId="0" applyFont="1" applyFill="1" applyBorder="1" applyAlignment="1">
      <alignment horizontal="center"/>
    </xf>
    <xf numFmtId="0" fontId="2" fillId="3"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xf>
    <xf numFmtId="0" fontId="0" fillId="0" borderId="2" xfId="0" applyBorder="1" applyAlignment="1">
      <alignment horizontal="center" vertical="center"/>
    </xf>
    <xf numFmtId="0" fontId="3" fillId="0" borderId="0" xfId="0" applyFont="1" applyAlignment="1">
      <alignment horizontal="center" vertical="center"/>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0" fillId="7" borderId="1" xfId="0" applyFill="1" applyBorder="1" applyAlignment="1">
      <alignment horizontal="center" vertical="center"/>
    </xf>
    <xf numFmtId="0" fontId="0" fillId="8" borderId="1" xfId="0" applyFill="1" applyBorder="1" applyAlignment="1">
      <alignment horizontal="center" vertical="center"/>
    </xf>
    <xf numFmtId="0" fontId="0" fillId="9" borderId="1" xfId="0" applyFill="1" applyBorder="1" applyAlignment="1">
      <alignment horizontal="center" vertical="center"/>
    </xf>
    <xf numFmtId="0" fontId="7" fillId="0" borderId="1" xfId="0" applyFont="1" applyBorder="1" applyAlignment="1">
      <alignment horizontal="center" vertical="center"/>
    </xf>
    <xf numFmtId="0" fontId="8" fillId="10" borderId="1" xfId="0" applyFont="1" applyFill="1" applyBorder="1" applyAlignment="1">
      <alignment horizontal="center" vertical="center"/>
    </xf>
    <xf numFmtId="0" fontId="9" fillId="11" borderId="1" xfId="0" applyFont="1" applyFill="1" applyBorder="1" applyAlignment="1">
      <alignment horizontal="center" vertical="center"/>
    </xf>
  </cellXfs>
  <cellStyles count="1">
    <cellStyle name="Normal" xfId="0" builtinId="0"/>
  </cellStyles>
  <dxfs count="12">
    <dxf>
      <font>
        <color rgb="FF9C5700"/>
      </font>
      <fill>
        <patternFill>
          <bgColor rgb="FFFFEB9C"/>
        </patternFill>
      </fill>
    </dxf>
    <dxf>
      <font>
        <color rgb="FF9C0006"/>
      </font>
    </dxf>
    <dxf>
      <font>
        <color rgb="FF9C0006"/>
      </font>
      <fill>
        <patternFill>
          <bgColor rgb="FFFFC7CE"/>
        </patternFill>
      </fill>
    </dxf>
    <dxf>
      <font>
        <color rgb="FF006100"/>
      </font>
      <fill>
        <patternFill>
          <bgColor rgb="FFC6EFCE"/>
        </patternFill>
      </fill>
    </dxf>
    <dxf>
      <font>
        <color rgb="FF9C0006"/>
      </font>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b/>
        <color rgb="FF9C6500"/>
      </font>
      <fill>
        <patternFill patternType="solid">
          <bgColor rgb="FFFFF2CC"/>
        </patternFill>
      </fill>
    </dxf>
    <dxf>
      <font>
        <b/>
        <color rgb="FF006100"/>
      </font>
      <fill>
        <patternFill patternType="solid">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Sensibilidad!$C$27</c:f>
              <c:strCache>
                <c:ptCount val="1"/>
                <c:pt idx="0">
                  <c:v>Indices S1</c:v>
                </c:pt>
              </c:strCache>
            </c:strRef>
          </c:tx>
          <c:spPr>
            <a:solidFill>
              <a:srgbClr val="4F81BD"/>
            </a:solidFill>
            <a:ln>
              <a:noFill/>
            </a:ln>
          </c:spPr>
          <c:invertIfNegative val="1"/>
          <c:cat>
            <c:strRef>
              <c:f>Sensibilidad!$C$28:$C$30</c:f>
              <c:strCache>
                <c:ptCount val="3"/>
                <c:pt idx="0">
                  <c:v>w_delta</c:v>
                </c:pt>
                <c:pt idx="1">
                  <c:v>w_gradiente</c:v>
                </c:pt>
                <c:pt idx="2">
                  <c:v>w_porcentaje</c:v>
                </c:pt>
              </c:strCache>
            </c:strRef>
          </c:cat>
          <c:val>
            <c:numRef>
              <c:f>Sensibilidad!$D$28:$D$30</c:f>
              <c:numCache>
                <c:formatCode>General</c:formatCode>
                <c:ptCount val="3"/>
                <c:pt idx="0">
                  <c:v>0.16467185895137701</c:v>
                </c:pt>
                <c:pt idx="1">
                  <c:v>0.14697871500000001</c:v>
                </c:pt>
                <c:pt idx="2">
                  <c:v>0.62780243499999999</c:v>
                </c:pt>
              </c:numCache>
            </c:numRef>
          </c:val>
          <c:extLst>
            <c:ext xmlns:c14="http://schemas.microsoft.com/office/drawing/2007/8/2/chart" uri="{6F2FDCE9-48DA-4B69-8628-5D25D57E5C99}">
              <c14:invertSolidFillFmt>
                <c14:spPr xmlns:c14="http://schemas.microsoft.com/office/drawing/2007/8/2/chart">
                  <a:solidFill>
                    <a:srgbClr val="FFFFFF"/>
                  </a:solidFill>
                  <a:ln>
                    <a:noFill/>
                  </a:ln>
                </c14:spPr>
              </c14:invertSolidFillFmt>
            </c:ext>
            <c:ext xmlns:c16="http://schemas.microsoft.com/office/drawing/2014/chart" uri="{C3380CC4-5D6E-409C-BE32-E72D297353CC}">
              <c16:uniqueId val="{00000000-3839-439F-BD98-532FB1D97D61}"/>
            </c:ext>
          </c:extLst>
        </c:ser>
        <c:ser>
          <c:idx val="1"/>
          <c:order val="1"/>
          <c:tx>
            <c:strRef>
              <c:f>Sensibilidad!$C$32</c:f>
              <c:strCache>
                <c:ptCount val="1"/>
                <c:pt idx="0">
                  <c:v>Indices ST</c:v>
                </c:pt>
              </c:strCache>
            </c:strRef>
          </c:tx>
          <c:spPr>
            <a:solidFill>
              <a:srgbClr val="C0504D"/>
            </a:solidFill>
            <a:ln>
              <a:noFill/>
            </a:ln>
          </c:spPr>
          <c:invertIfNegative val="1"/>
          <c:cat>
            <mc:AlternateContent xmlns:mc="http://schemas.openxmlformats.org/markup-compatibility/2006">
              <mc:Choice xmlns:c16ac="http://schemas.microsoft.com/office/drawing/2014/chart/ac" Requires="c16ac">
                <c16ac:multiLvlStrLit>
                  <c:ptCount val="0"/>
                </c16ac:multiLvlStrLit>
              </mc:Choice>
              <mc:Fallback>
                <c:strLit/>
              </mc:Fallback>
            </mc:AlternateContent>
          </c:cat>
          <c:val>
            <c:numRef>
              <c:f>Sensibilidad!$D$33:$D$35</c:f>
              <c:numCache>
                <c:formatCode>General</c:formatCode>
                <c:ptCount val="3"/>
                <c:pt idx="0">
                  <c:v>0.20613063500000001</c:v>
                </c:pt>
                <c:pt idx="1">
                  <c:v>0.20988431360000001</c:v>
                </c:pt>
                <c:pt idx="2">
                  <c:v>0.65580708200000004</c:v>
                </c:pt>
              </c:numCache>
            </c:numRef>
          </c:val>
          <c:extLst>
            <c:ext xmlns:c14="http://schemas.microsoft.com/office/drawing/2007/8/2/chart" uri="{6F2FDCE9-48DA-4B69-8628-5D25D57E5C99}">
              <c14:invertSolidFillFmt>
                <c14:spPr xmlns:c14="http://schemas.microsoft.com/office/drawing/2007/8/2/chart">
                  <a:solidFill>
                    <a:srgbClr val="FFFFFF"/>
                  </a:solidFill>
                  <a:ln>
                    <a:noFill/>
                  </a:ln>
                </c14:spPr>
              </c14:invertSolidFillFmt>
            </c:ext>
            <c:ext xmlns:c16="http://schemas.microsoft.com/office/drawing/2014/chart" uri="{C3380CC4-5D6E-409C-BE32-E72D297353CC}">
              <c16:uniqueId val="{00000001-3839-439F-BD98-532FB1D97D61}"/>
            </c:ext>
          </c:extLst>
        </c:ser>
        <c:dLbls>
          <c:showLegendKey val="0"/>
          <c:showVal val="0"/>
          <c:showCatName val="0"/>
          <c:showSerName val="0"/>
          <c:showPercent val="0"/>
          <c:showBubbleSize val="0"/>
        </c:dLbls>
        <c:gapWidth val="150"/>
        <c:axId val="1263488495"/>
        <c:axId val="1263488975"/>
      </c:barChart>
      <c:catAx>
        <c:axId val="1263488495"/>
        <c:scaling>
          <c:orientation val="minMax"/>
        </c:scaling>
        <c:delete val="0"/>
        <c:axPos val="b"/>
        <c:numFmt formatCode="General" sourceLinked="1"/>
        <c:majorTickMark val="none"/>
        <c:minorTickMark val="none"/>
        <c:tickLblPos val="nextTo"/>
        <c:spPr>
          <a:ln>
            <a:noFill/>
          </a:ln>
        </c:spPr>
        <c:txPr>
          <a:bodyPr rot="-60000000" vert="horz" anchor="ctr" anchorCtr="1"/>
          <a:lstStyle/>
          <a:p>
            <a:pPr>
              <a:defRPr sz="1400" b="0" i="0" u="none">
                <a:solidFill>
                  <a:sysClr val="windowText" lastClr="000000"/>
                </a:solidFill>
                <a:latin typeface="+mn-lt"/>
                <a:ea typeface="+mn-lt"/>
                <a:cs typeface="+mn-lt"/>
              </a:defRPr>
            </a:pPr>
            <a:endParaRPr lang="es-CO"/>
          </a:p>
        </c:txPr>
        <c:crossAx val="1263488975"/>
        <c:crosses val="autoZero"/>
        <c:auto val="1"/>
        <c:lblAlgn val="ctr"/>
        <c:lblOffset val="100"/>
        <c:noMultiLvlLbl val="0"/>
      </c:catAx>
      <c:valAx>
        <c:axId val="1263488975"/>
        <c:scaling>
          <c:orientation val="minMax"/>
        </c:scaling>
        <c:delete val="0"/>
        <c:axPos val="l"/>
        <c:majorGridlines>
          <c:spPr>
            <a:ln w="9525" cmpd="sng">
              <a:solidFill>
                <a:schemeClr val="tx1">
                  <a:lumMod val="15000"/>
                  <a:lumOff val="85000"/>
                </a:schemeClr>
              </a:solidFill>
            </a:ln>
          </c:spPr>
        </c:majorGridlines>
        <c:numFmt formatCode="General" sourceLinked="1"/>
        <c:majorTickMark val="none"/>
        <c:minorTickMark val="none"/>
        <c:tickLblPos val="nextTo"/>
        <c:spPr>
          <a:ln>
            <a:noFill/>
          </a:ln>
        </c:spPr>
        <c:txPr>
          <a:bodyPr rot="-60000000" vert="horz" anchor="ctr" anchorCtr="1"/>
          <a:lstStyle/>
          <a:p>
            <a:pPr>
              <a:defRPr sz="1100" b="0" i="0" u="none">
                <a:solidFill>
                  <a:sysClr val="windowText" lastClr="000000"/>
                </a:solidFill>
                <a:latin typeface="+mn-lt"/>
                <a:ea typeface="+mn-lt"/>
                <a:cs typeface="+mn-lt"/>
              </a:defRPr>
            </a:pPr>
            <a:endParaRPr lang="es-CO"/>
          </a:p>
        </c:txPr>
        <c:crossAx val="1263488495"/>
        <c:crosses val="autoZero"/>
        <c:crossBetween val="between"/>
        <c:majorUnit val="0.15000000000000002"/>
      </c:valAx>
      <c:spPr>
        <a:noFill/>
        <a:ln>
          <a:noFill/>
        </a:ln>
      </c:spPr>
    </c:plotArea>
    <c:legend>
      <c:legendPos val="b"/>
      <c:layout>
        <c:manualLayout>
          <c:xMode val="edge"/>
          <c:yMode val="edge"/>
          <c:x val="0.19838530622085601"/>
          <c:y val="0.89547581398110032"/>
          <c:w val="0.58931128389744614"/>
          <c:h val="7.7108147636446064E-2"/>
        </c:manualLayout>
      </c:layout>
      <c:overlay val="0"/>
      <c:spPr>
        <a:noFill/>
      </c:spPr>
      <c:txPr>
        <a:bodyPr rot="0" vert="horz" anchor="ctr" anchorCtr="1"/>
        <a:lstStyle/>
        <a:p>
          <a:pPr>
            <a:defRPr sz="1100" b="0" i="0" u="none">
              <a:solidFill>
                <a:sysClr val="windowText" lastClr="000000"/>
              </a:solidFill>
              <a:latin typeface="+mn-lt"/>
              <a:ea typeface="+mn-lt"/>
              <a:cs typeface="+mn-lt"/>
            </a:defRPr>
          </a:pPr>
          <a:endParaRPr lang="es-CO"/>
        </a:p>
      </c:txPr>
    </c:legend>
    <c:plotVisOnly val="1"/>
    <c:dispBlanksAs val="zero"/>
    <c:showDLblsOverMax val="1"/>
  </c:chart>
  <c:spPr>
    <a:solidFill>
      <a:schemeClr val="bg1"/>
    </a:solidFill>
    <a:ln w="9525" cmpd="sng">
      <a:solidFill>
        <a:schemeClr val="tx1">
          <a:lumMod val="15000"/>
          <a:lumOff val="85000"/>
        </a:schemeClr>
      </a:solid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CO"/>
              <a:t>Sensibilidad global de los pesos del IMCP</a:t>
            </a:r>
          </a:p>
        </c:rich>
      </c:tx>
      <c:layout>
        <c:manualLayout>
          <c:xMode val="edge"/>
          <c:yMode val="edge"/>
          <c:x val="0.12085281332020997"/>
          <c:y val="1.9193857965451054E-2"/>
        </c:manualLayout>
      </c:layout>
      <c:overlay val="1"/>
    </c:title>
    <c:autoTitleDeleted val="0"/>
    <c:plotArea>
      <c:layout/>
      <c:barChart>
        <c:barDir val="col"/>
        <c:grouping val="clustered"/>
        <c:varyColors val="0"/>
        <c:ser>
          <c:idx val="0"/>
          <c:order val="0"/>
          <c:tx>
            <c:v>Índice S1</c:v>
          </c:tx>
          <c:invertIfNegative val="1"/>
          <c:cat>
            <c:strRef>
              <c:f>Sobol!$A$4:$A$6</c:f>
              <c:strCache>
                <c:ptCount val="3"/>
                <c:pt idx="0">
                  <c:v>w_delta</c:v>
                </c:pt>
                <c:pt idx="1">
                  <c:v>w_gradiente</c:v>
                </c:pt>
                <c:pt idx="2">
                  <c:v>w_porcentaje</c:v>
                </c:pt>
              </c:strCache>
            </c:strRef>
          </c:cat>
          <c:val>
            <c:numRef>
              <c:f>Sobol!$B$4:$B$6</c:f>
              <c:numCache>
                <c:formatCode>0.0000</c:formatCode>
                <c:ptCount val="3"/>
                <c:pt idx="0">
                  <c:v>0.164671859</c:v>
                </c:pt>
                <c:pt idx="1">
                  <c:v>0.14697871500000001</c:v>
                </c:pt>
                <c:pt idx="2">
                  <c:v>0.62780243499999999</c:v>
                </c:pt>
              </c:numCache>
            </c:numRef>
          </c:val>
          <c:extLst>
            <c:ext xmlns:c16="http://schemas.microsoft.com/office/drawing/2014/chart" uri="{C3380CC4-5D6E-409C-BE32-E72D297353CC}">
              <c16:uniqueId val="{00000000-3088-4107-ADAA-BB0B6F35F76F}"/>
            </c:ext>
          </c:extLst>
        </c:ser>
        <c:ser>
          <c:idx val="1"/>
          <c:order val="1"/>
          <c:tx>
            <c:v>Índice ST</c:v>
          </c:tx>
          <c:invertIfNegative val="1"/>
          <c:cat>
            <c:strRef>
              <c:f>Sobol!$A$4:$A$6</c:f>
              <c:strCache>
                <c:ptCount val="3"/>
                <c:pt idx="0">
                  <c:v>w_delta</c:v>
                </c:pt>
                <c:pt idx="1">
                  <c:v>w_gradiente</c:v>
                </c:pt>
                <c:pt idx="2">
                  <c:v>w_porcentaje</c:v>
                </c:pt>
              </c:strCache>
            </c:strRef>
          </c:cat>
          <c:val>
            <c:numRef>
              <c:f>Sobol!$C$4:$C$6</c:f>
              <c:numCache>
                <c:formatCode>0.0000</c:formatCode>
                <c:ptCount val="3"/>
                <c:pt idx="0">
                  <c:v>0.20613063500000001</c:v>
                </c:pt>
                <c:pt idx="1">
                  <c:v>0.20988431399999999</c:v>
                </c:pt>
                <c:pt idx="2">
                  <c:v>0.65580708200000004</c:v>
                </c:pt>
              </c:numCache>
            </c:numRef>
          </c:val>
          <c:extLst>
            <c:ext xmlns:c16="http://schemas.microsoft.com/office/drawing/2014/chart" uri="{C3380CC4-5D6E-409C-BE32-E72D297353CC}">
              <c16:uniqueId val="{00000001-3088-4107-ADAA-BB0B6F35F76F}"/>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0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4</xdr:col>
      <xdr:colOff>154305</xdr:colOff>
      <xdr:row>25</xdr:row>
      <xdr:rowOff>98107</xdr:rowOff>
    </xdr:from>
    <xdr:to>
      <xdr:col>10</xdr:col>
      <xdr:colOff>655320</xdr:colOff>
      <xdr:row>40</xdr:row>
      <xdr:rowOff>134302</xdr:rowOff>
    </xdr:to>
    <xdr:graphicFrame macro="">
      <xdr:nvGraphicFramePr>
        <xdr:cNvPr id="2" name="Chart">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670560</xdr:colOff>
      <xdr:row>41</xdr:row>
      <xdr:rowOff>83820</xdr:rowOff>
    </xdr:from>
    <xdr:to>
      <xdr:col>8</xdr:col>
      <xdr:colOff>552450</xdr:colOff>
      <xdr:row>46</xdr:row>
      <xdr:rowOff>70485</xdr:rowOff>
    </xdr:to>
    <xdr:sp macro="" textlink="">
      <xdr:nvSpPr>
        <xdr:cNvPr id="3" name="CuadroTexto 3">
          <a:extLst>
            <a:ext uri="{FF2B5EF4-FFF2-40B4-BE49-F238E27FC236}">
              <a16:creationId xmlns:a16="http://schemas.microsoft.com/office/drawing/2014/main" id="{00000000-0008-0000-0200-000003000000}"/>
            </a:ext>
          </a:extLst>
        </xdr:cNvPr>
        <xdr:cNvSpPr>
          <a:spLocks noGrp="1"/>
        </xdr:cNvSpPr>
      </xdr:nvSpPr>
      <xdr:spPr>
        <a:xfrm>
          <a:off x="4617720" y="7581900"/>
          <a:ext cx="2114550" cy="901065"/>
        </a:xfrm>
        <a:prstGeom prst="rect">
          <a:avLst/>
        </a:prstGeom>
        <a:solidFill>
          <a:schemeClr val="lt1"/>
        </a:solidFill>
        <a:ln w="9525">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anchor="t"/>
        <a:lstStyle/>
        <a:p>
          <a:r>
            <a:rPr sz="1100">
              <a:solidFill>
                <a:schemeClr val="dk1"/>
              </a:solidFill>
              <a:latin typeface="+mn-lt"/>
              <a:ea typeface="+mn-lt"/>
              <a:cs typeface="+mn-lt"/>
            </a:rPr>
            <a:t>SOBOL: Esto justifica que el IMCP es sensible a las condiciones iniciales de cada pozo y no solo a la "fuerza" del descenso</a:t>
          </a:r>
          <a:endParaRPr/>
        </a:p>
      </xdr:txBody>
    </xdr:sp>
    <xdr:clientData/>
  </xdr:twoCellAnchor>
  <xdr:twoCellAnchor editAs="oneCell">
    <xdr:from>
      <xdr:col>8</xdr:col>
      <xdr:colOff>304800</xdr:colOff>
      <xdr:row>26</xdr:row>
      <xdr:rowOff>68580</xdr:rowOff>
    </xdr:from>
    <xdr:to>
      <xdr:col>10</xdr:col>
      <xdr:colOff>662940</xdr:colOff>
      <xdr:row>40</xdr:row>
      <xdr:rowOff>144780</xdr:rowOff>
    </xdr:to>
    <xdr:sp macro="" textlink="">
      <xdr:nvSpPr>
        <xdr:cNvPr id="4" name="Elipse 1">
          <a:extLst>
            <a:ext uri="{FF2B5EF4-FFF2-40B4-BE49-F238E27FC236}">
              <a16:creationId xmlns:a16="http://schemas.microsoft.com/office/drawing/2014/main" id="{00000000-0008-0000-0200-000004000000}"/>
            </a:ext>
          </a:extLst>
        </xdr:cNvPr>
        <xdr:cNvSpPr>
          <a:spLocks noGrp="1"/>
        </xdr:cNvSpPr>
      </xdr:nvSpPr>
      <xdr:spPr>
        <a:xfrm>
          <a:off x="6484620" y="4823460"/>
          <a:ext cx="1577340" cy="2636520"/>
        </a:xfrm>
        <a:prstGeom prst="ellipse">
          <a:avLst/>
        </a:prstGeom>
        <a:noFill/>
        <a:ln>
          <a:solidFill>
            <a:srgbClr val="00B050"/>
          </a:solidFill>
          <a:prstDash val="lgDash"/>
        </a:ln>
      </xdr:spPr>
      <xdr:style>
        <a:lnRef idx="2">
          <a:schemeClr val="accent1">
            <a:shade val="15000"/>
          </a:schemeClr>
        </a:lnRef>
        <a:fillRef idx="1">
          <a:schemeClr val="accent1"/>
        </a:fillRef>
        <a:effectRef idx="0">
          <a:schemeClr val="accent1"/>
        </a:effectRef>
        <a:fontRef idx="minor">
          <a:schemeClr val="lt1"/>
        </a:fontRef>
      </xdr:style>
      <xdr:txBody>
        <a:bodyPr anchor="t"/>
        <a:lstStyle/>
        <a:p>
          <a:pPr algn="l">
            <a:buNone/>
          </a:pPr>
          <a:endParaRPr/>
        </a:p>
      </xdr:txBody>
    </xdr:sp>
    <xdr:clientData/>
  </xdr:twoCellAnchor>
  <xdr:twoCellAnchor editAs="oneCell">
    <xdr:from>
      <xdr:col>6</xdr:col>
      <xdr:colOff>327660</xdr:colOff>
      <xdr:row>28</xdr:row>
      <xdr:rowOff>53340</xdr:rowOff>
    </xdr:from>
    <xdr:to>
      <xdr:col>8</xdr:col>
      <xdr:colOff>15240</xdr:colOff>
      <xdr:row>31</xdr:row>
      <xdr:rowOff>91440</xdr:rowOff>
    </xdr:to>
    <xdr:sp macro="" textlink="">
      <xdr:nvSpPr>
        <xdr:cNvPr id="5" name="CuadroTexto 4">
          <a:extLst>
            <a:ext uri="{FF2B5EF4-FFF2-40B4-BE49-F238E27FC236}">
              <a16:creationId xmlns:a16="http://schemas.microsoft.com/office/drawing/2014/main" id="{00000000-0008-0000-0200-000005000000}"/>
            </a:ext>
          </a:extLst>
        </xdr:cNvPr>
        <xdr:cNvSpPr>
          <a:spLocks noGrp="1"/>
        </xdr:cNvSpPr>
      </xdr:nvSpPr>
      <xdr:spPr>
        <a:xfrm>
          <a:off x="5158740" y="5173980"/>
          <a:ext cx="1036320" cy="586740"/>
        </a:xfrm>
        <a:prstGeom prst="rect">
          <a:avLst/>
        </a:prstGeom>
        <a:solidFill>
          <a:schemeClr val="lt1"/>
        </a:solidFill>
        <a:ln w="9525">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anchor="t"/>
        <a:lstStyle/>
        <a:p>
          <a:r>
            <a:rPr sz="1400">
              <a:ln>
                <a:noFill/>
              </a:ln>
              <a:solidFill>
                <a:schemeClr val="tx2"/>
              </a:solidFill>
            </a:rPr>
            <a:t>Término de mayor peso</a:t>
          </a:r>
          <a:endParaRPr/>
        </a:p>
      </xdr:txBody>
    </xdr:sp>
    <xdr:clientData/>
  </xdr:twoCellAnchor>
  <xdr:twoCellAnchor editAs="oneCell">
    <xdr:from>
      <xdr:col>8</xdr:col>
      <xdr:colOff>22860</xdr:colOff>
      <xdr:row>29</xdr:row>
      <xdr:rowOff>144780</xdr:rowOff>
    </xdr:from>
    <xdr:to>
      <xdr:col>8</xdr:col>
      <xdr:colOff>327660</xdr:colOff>
      <xdr:row>30</xdr:row>
      <xdr:rowOff>129540</xdr:rowOff>
    </xdr:to>
    <xdr:sp macro="" textlink="">
      <xdr:nvSpPr>
        <xdr:cNvPr id="6" name="Conector recto de flecha 6">
          <a:extLst>
            <a:ext uri="{FF2B5EF4-FFF2-40B4-BE49-F238E27FC236}">
              <a16:creationId xmlns:a16="http://schemas.microsoft.com/office/drawing/2014/main" id="{00000000-0008-0000-0200-000006000000}"/>
            </a:ext>
          </a:extLst>
        </xdr:cNvPr>
        <xdr:cNvSpPr>
          <a:spLocks noGrp="1"/>
        </xdr:cNvSpPr>
      </xdr:nvSpPr>
      <xdr:spPr>
        <a:xfrm>
          <a:off x="6202680" y="5448300"/>
          <a:ext cx="304800" cy="167640"/>
        </a:xfrm>
        <a:prstGeom prst="straightConnector1">
          <a:avLst/>
        </a:prstGeom>
        <a:ln>
          <a:solidFill>
            <a:srgbClr val="00B050"/>
          </a:solidFill>
          <a:tailEnd type="triangle"/>
        </a:ln>
      </xdr:spPr>
      <xdr:style>
        <a:lnRef idx="1">
          <a:schemeClr val="accent1"/>
        </a:lnRef>
        <a:fillRef idx="0">
          <a:schemeClr val="accent1"/>
        </a:fillRef>
        <a:effectRef idx="0">
          <a:schemeClr val="accent1"/>
        </a:effectRef>
        <a:fontRef idx="minor">
          <a:schemeClr val="tx1"/>
        </a:fontRef>
      </xdr:style>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17</xdr:col>
      <xdr:colOff>53340</xdr:colOff>
      <xdr:row>5</xdr:row>
      <xdr:rowOff>30480</xdr:rowOff>
    </xdr:from>
    <xdr:to>
      <xdr:col>29</xdr:col>
      <xdr:colOff>190500</xdr:colOff>
      <xdr:row>25</xdr:row>
      <xdr:rowOff>160020</xdr:rowOff>
    </xdr:to>
    <xdr:sp macro="" textlink="">
      <xdr:nvSpPr>
        <xdr:cNvPr id="2" name="Rectángulo 51">
          <a:extLst>
            <a:ext uri="{FF2B5EF4-FFF2-40B4-BE49-F238E27FC236}">
              <a16:creationId xmlns:a16="http://schemas.microsoft.com/office/drawing/2014/main" id="{00000000-0008-0000-0300-000002000000}"/>
            </a:ext>
          </a:extLst>
        </xdr:cNvPr>
        <xdr:cNvSpPr>
          <a:spLocks noGrp="1"/>
        </xdr:cNvSpPr>
      </xdr:nvSpPr>
      <xdr:spPr>
        <a:xfrm>
          <a:off x="10805160" y="944880"/>
          <a:ext cx="8069580" cy="378714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anchor="t"/>
        <a:lstStyle/>
        <a:p>
          <a:pPr algn="l">
            <a:buNone/>
          </a:pPr>
          <a:endParaRPr/>
        </a:p>
      </xdr:txBody>
    </xdr:sp>
    <xdr:clientData/>
  </xdr:twoCellAnchor>
  <xdr:twoCellAnchor editAs="oneCell">
    <xdr:from>
      <xdr:col>5</xdr:col>
      <xdr:colOff>409575</xdr:colOff>
      <xdr:row>23</xdr:row>
      <xdr:rowOff>104775</xdr:rowOff>
    </xdr:from>
    <xdr:to>
      <xdr:col>8</xdr:col>
      <xdr:colOff>104775</xdr:colOff>
      <xdr:row>25</xdr:row>
      <xdr:rowOff>19050</xdr:rowOff>
    </xdr:to>
    <xdr:sp macro="" textlink="">
      <xdr:nvSpPr>
        <xdr:cNvPr id="3" name="CuadroTexto 4">
          <a:extLst>
            <a:ext uri="{FF2B5EF4-FFF2-40B4-BE49-F238E27FC236}">
              <a16:creationId xmlns:a16="http://schemas.microsoft.com/office/drawing/2014/main" id="{00000000-0008-0000-0300-000003000000}"/>
            </a:ext>
          </a:extLst>
        </xdr:cNvPr>
        <xdr:cNvSpPr>
          <a:spLocks noGrp="1"/>
        </xdr:cNvSpPr>
      </xdr:nvSpPr>
      <xdr:spPr>
        <a:xfrm>
          <a:off x="3848100" y="4267200"/>
          <a:ext cx="1524000" cy="276225"/>
        </a:xfrm>
        <a:prstGeom prst="rect">
          <a:avLst/>
        </a:prstGeom>
        <a:solidFill>
          <a:schemeClr val="lt1"/>
        </a:solidFill>
        <a:ln w="9525">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anchor="t"/>
        <a:lstStyle/>
        <a:p>
          <a:pPr algn="ctr">
            <a:buNone/>
          </a:pPr>
          <a:r>
            <a:rPr sz="1100"/>
            <a:t>Transiciones por pozo</a:t>
          </a:r>
          <a:endParaRPr/>
        </a:p>
      </xdr:txBody>
    </xdr:sp>
    <xdr:clientData/>
  </xdr:twoCellAnchor>
  <xdr:twoCellAnchor editAs="oneCell">
    <xdr:from>
      <xdr:col>0</xdr:col>
      <xdr:colOff>281940</xdr:colOff>
      <xdr:row>18</xdr:row>
      <xdr:rowOff>121920</xdr:rowOff>
    </xdr:from>
    <xdr:to>
      <xdr:col>3</xdr:col>
      <xdr:colOff>586740</xdr:colOff>
      <xdr:row>22</xdr:row>
      <xdr:rowOff>106680</xdr:rowOff>
    </xdr:to>
    <xdr:sp macro="" textlink="">
      <xdr:nvSpPr>
        <xdr:cNvPr id="4" name="CuadroTexto 5">
          <a:extLst>
            <a:ext uri="{FF2B5EF4-FFF2-40B4-BE49-F238E27FC236}">
              <a16:creationId xmlns:a16="http://schemas.microsoft.com/office/drawing/2014/main" id="{00000000-0008-0000-0300-000004000000}"/>
            </a:ext>
          </a:extLst>
        </xdr:cNvPr>
        <xdr:cNvSpPr>
          <a:spLocks noGrp="1"/>
        </xdr:cNvSpPr>
      </xdr:nvSpPr>
      <xdr:spPr>
        <a:xfrm>
          <a:off x="281940" y="3413760"/>
          <a:ext cx="2522220" cy="716280"/>
        </a:xfrm>
        <a:prstGeom prst="rect">
          <a:avLst/>
        </a:prstGeom>
        <a:solidFill>
          <a:schemeClr val="lt1"/>
        </a:solidFill>
        <a:ln w="9525">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anchor="t"/>
        <a:lstStyle/>
        <a:p>
          <a:r>
            <a:rPr>
              <a:solidFill>
                <a:schemeClr val="tx2"/>
              </a:solidFill>
            </a:rPr>
            <a:t>Clasificación relativa del comportamiento dinámico de cada pozo basada en el índice sintético ICMP.</a:t>
          </a:r>
          <a:endParaRPr/>
        </a:p>
      </xdr:txBody>
    </xdr:sp>
    <xdr:clientData/>
  </xdr:twoCellAnchor>
  <xdr:twoCellAnchor editAs="oneCell">
    <xdr:from>
      <xdr:col>0</xdr:col>
      <xdr:colOff>289560</xdr:colOff>
      <xdr:row>23</xdr:row>
      <xdr:rowOff>0</xdr:rowOff>
    </xdr:from>
    <xdr:to>
      <xdr:col>3</xdr:col>
      <xdr:colOff>579120</xdr:colOff>
      <xdr:row>30</xdr:row>
      <xdr:rowOff>15240</xdr:rowOff>
    </xdr:to>
    <xdr:sp macro="" textlink="">
      <xdr:nvSpPr>
        <xdr:cNvPr id="5" name="CuadroTexto 6">
          <a:extLst>
            <a:ext uri="{FF2B5EF4-FFF2-40B4-BE49-F238E27FC236}">
              <a16:creationId xmlns:a16="http://schemas.microsoft.com/office/drawing/2014/main" id="{00000000-0008-0000-0300-000005000000}"/>
            </a:ext>
          </a:extLst>
        </xdr:cNvPr>
        <xdr:cNvSpPr>
          <a:spLocks noGrp="1"/>
        </xdr:cNvSpPr>
      </xdr:nvSpPr>
      <xdr:spPr>
        <a:xfrm>
          <a:off x="289560" y="4206240"/>
          <a:ext cx="2506980" cy="1295400"/>
        </a:xfrm>
        <a:prstGeom prst="rect">
          <a:avLst/>
        </a:prstGeom>
        <a:solidFill>
          <a:schemeClr val="lt1"/>
        </a:solidFill>
        <a:ln w="9525">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anchor="t"/>
        <a:lstStyle/>
        <a:p>
          <a:r>
            <a:rPr>
              <a:solidFill>
                <a:srgbClr val="7030A0"/>
              </a:solidFill>
            </a:rPr>
            <a:t>Cada valor (1–17) representa una posición dentro de un espectro de estabilidad–variabilidad.</a:t>
          </a:r>
          <a:endParaRPr/>
        </a:p>
        <a:p>
          <a:r>
            <a:rPr>
              <a:solidFill>
                <a:srgbClr val="7030A0"/>
              </a:solidFill>
            </a:rPr>
            <a:t>Valores similares → comportamiento similar </a:t>
          </a:r>
          <a:endParaRPr/>
        </a:p>
        <a:p>
          <a:r>
            <a:rPr>
              <a:solidFill>
                <a:srgbClr val="7030A0"/>
              </a:solidFill>
            </a:rPr>
            <a:t>Valores extremos → comportamientos contrastantes</a:t>
          </a:r>
          <a:endParaRPr/>
        </a:p>
      </xdr:txBody>
    </xdr:sp>
    <xdr:clientData/>
  </xdr:twoCellAnchor>
  <xdr:twoCellAnchor editAs="oneCell">
    <xdr:from>
      <xdr:col>4</xdr:col>
      <xdr:colOff>220980</xdr:colOff>
      <xdr:row>25</xdr:row>
      <xdr:rowOff>129540</xdr:rowOff>
    </xdr:from>
    <xdr:to>
      <xdr:col>8</xdr:col>
      <xdr:colOff>312420</xdr:colOff>
      <xdr:row>30</xdr:row>
      <xdr:rowOff>167640</xdr:rowOff>
    </xdr:to>
    <xdr:sp macro="" textlink="">
      <xdr:nvSpPr>
        <xdr:cNvPr id="6" name="CuadroTexto 7">
          <a:extLst>
            <a:ext uri="{FF2B5EF4-FFF2-40B4-BE49-F238E27FC236}">
              <a16:creationId xmlns:a16="http://schemas.microsoft.com/office/drawing/2014/main" id="{00000000-0008-0000-0300-000006000000}"/>
            </a:ext>
          </a:extLst>
        </xdr:cNvPr>
        <xdr:cNvSpPr>
          <a:spLocks noGrp="1"/>
        </xdr:cNvSpPr>
      </xdr:nvSpPr>
      <xdr:spPr>
        <a:xfrm>
          <a:off x="3048000" y="4701540"/>
          <a:ext cx="2529840" cy="952500"/>
        </a:xfrm>
        <a:prstGeom prst="rect">
          <a:avLst/>
        </a:prstGeom>
        <a:solidFill>
          <a:schemeClr val="lt1"/>
        </a:solidFill>
        <a:ln w="9525">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anchor="t"/>
        <a:lstStyle/>
        <a:p>
          <a:r>
            <a:t>Permite identificar una radiografía dinámica del acuífero:</a:t>
          </a:r>
        </a:p>
        <a:p>
          <a:r>
            <a:t>a. Pozos estables </a:t>
          </a:r>
        </a:p>
        <a:p>
          <a:r>
            <a:t>b. Pozos sensibles </a:t>
          </a:r>
        </a:p>
        <a:p>
          <a:r>
            <a:t>c.  Pozos críticos</a:t>
          </a:r>
        </a:p>
        <a:p>
          <a:endParaRPr/>
        </a:p>
      </xdr:txBody>
    </xdr:sp>
    <xdr:clientData/>
  </xdr:twoCellAnchor>
  <xdr:twoCellAnchor editAs="oneCell">
    <xdr:from>
      <xdr:col>0</xdr:col>
      <xdr:colOff>327660</xdr:colOff>
      <xdr:row>31</xdr:row>
      <xdr:rowOff>60960</xdr:rowOff>
    </xdr:from>
    <xdr:to>
      <xdr:col>8</xdr:col>
      <xdr:colOff>266700</xdr:colOff>
      <xdr:row>49</xdr:row>
      <xdr:rowOff>53340</xdr:rowOff>
    </xdr:to>
    <xdr:sp macro="" textlink="">
      <xdr:nvSpPr>
        <xdr:cNvPr id="7" name="CuadroTexto 8">
          <a:extLst>
            <a:ext uri="{FF2B5EF4-FFF2-40B4-BE49-F238E27FC236}">
              <a16:creationId xmlns:a16="http://schemas.microsoft.com/office/drawing/2014/main" id="{00000000-0008-0000-0300-000007000000}"/>
            </a:ext>
          </a:extLst>
        </xdr:cNvPr>
        <xdr:cNvSpPr>
          <a:spLocks noGrp="1"/>
        </xdr:cNvSpPr>
      </xdr:nvSpPr>
      <xdr:spPr>
        <a:xfrm>
          <a:off x="327660" y="5730240"/>
          <a:ext cx="5204460" cy="3284220"/>
        </a:xfrm>
        <a:prstGeom prst="rect">
          <a:avLst/>
        </a:prstGeom>
        <a:solidFill>
          <a:schemeClr val="lt1"/>
        </a:solidFill>
        <a:ln w="9525">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anchor="t"/>
        <a:lstStyle/>
        <a:p>
          <a:r>
            <a:rPr sz="1100"/>
            <a:t>¿Qué significa cada dimensión?</a:t>
          </a:r>
          <a:endParaRPr/>
        </a:p>
        <a:p>
          <a:r>
            <a:rPr sz="1100"/>
            <a:t>1. Balanceado: Representa el estado global del sistema (</a:t>
          </a:r>
          <a:r>
            <a:t>integra todas las variables y refleja estabilidad general)</a:t>
          </a:r>
        </a:p>
        <a:p>
          <a:r>
            <a:t>Interpretación:</a:t>
          </a:r>
        </a:p>
        <a:p>
          <a:r>
            <a:t>Alto (ej: 13–17) → sistema estable </a:t>
          </a:r>
        </a:p>
        <a:p>
          <a:r>
            <a:t>Bajo (ej: 1–5) → sistema muy dinámico/inestable</a:t>
          </a:r>
        </a:p>
        <a:p>
          <a:endParaRPr/>
        </a:p>
        <a:p>
          <a:r>
            <a:rPr sz="1100"/>
            <a:t>2. Magnitud: Representa la intensidad del comportamiento (asociado con </a:t>
          </a:r>
          <a:r>
            <a:t>amplitud de variación y cambios absolutos)</a:t>
          </a:r>
        </a:p>
        <a:p>
          <a:r>
            <a:t>Interpretación:</a:t>
          </a:r>
        </a:p>
        <a:p>
          <a:r>
            <a:t>Alto → grandes fluctuaciones </a:t>
          </a:r>
        </a:p>
        <a:p>
          <a:r>
            <a:t>Bajo → comportamiento contenido</a:t>
          </a:r>
        </a:p>
        <a:p>
          <a:endParaRPr/>
        </a:p>
        <a:p>
          <a:r>
            <a:rPr sz="1100"/>
            <a:t>3. Tasa: Representa la velocidad del cambio (</a:t>
          </a:r>
          <a:r>
            <a:t>Relacionado con tendencia y rapidez de respuesta</a:t>
          </a:r>
          <a:r>
            <a:rPr sz="1100"/>
            <a:t>)</a:t>
          </a:r>
          <a:endParaRPr/>
        </a:p>
        <a:p>
          <a:r>
            <a:t>Interpretación:</a:t>
          </a:r>
        </a:p>
        <a:p>
          <a:r>
            <a:t>Alto → cambios rápidos (riesgo) </a:t>
          </a:r>
        </a:p>
        <a:p>
          <a:r>
            <a:t>Bajo → evolución lenta</a:t>
          </a:r>
        </a:p>
        <a:p>
          <a:endParaRPr/>
        </a:p>
      </xdr:txBody>
    </xdr:sp>
    <xdr:clientData/>
  </xdr:twoCellAnchor>
  <xdr:twoCellAnchor editAs="oneCell">
    <xdr:from>
      <xdr:col>9</xdr:col>
      <xdr:colOff>175260</xdr:colOff>
      <xdr:row>26</xdr:row>
      <xdr:rowOff>99060</xdr:rowOff>
    </xdr:from>
    <xdr:to>
      <xdr:col>18</xdr:col>
      <xdr:colOff>167640</xdr:colOff>
      <xdr:row>44</xdr:row>
      <xdr:rowOff>15240</xdr:rowOff>
    </xdr:to>
    <xdr:sp macro="" textlink="">
      <xdr:nvSpPr>
        <xdr:cNvPr id="8" name="CuadroTexto 9">
          <a:extLst>
            <a:ext uri="{FF2B5EF4-FFF2-40B4-BE49-F238E27FC236}">
              <a16:creationId xmlns:a16="http://schemas.microsoft.com/office/drawing/2014/main" id="{00000000-0008-0000-0300-000008000000}"/>
            </a:ext>
          </a:extLst>
        </xdr:cNvPr>
        <xdr:cNvSpPr>
          <a:spLocks noGrp="1"/>
        </xdr:cNvSpPr>
      </xdr:nvSpPr>
      <xdr:spPr>
        <a:xfrm>
          <a:off x="6050280" y="4853940"/>
          <a:ext cx="5478780" cy="3208020"/>
        </a:xfrm>
        <a:prstGeom prst="rect">
          <a:avLst/>
        </a:prstGeom>
        <a:solidFill>
          <a:schemeClr val="lt1"/>
        </a:solidFill>
        <a:ln w="9525">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anchor="t"/>
        <a:lstStyle/>
        <a:p>
          <a:r>
            <a:rPr sz="1100" b="1"/>
            <a:t>Análisis de cambios y transiciones:</a:t>
          </a:r>
          <a:endParaRPr/>
        </a:p>
        <a:p>
          <a:endParaRPr/>
        </a:p>
        <a:p>
          <a:r>
            <a:rPr sz="1100" b="0"/>
            <a:t>1. </a:t>
          </a:r>
          <a:r>
            <a:rPr sz="1100" b="0">
              <a:solidFill>
                <a:schemeClr val="dk1"/>
              </a:solidFill>
              <a:latin typeface="+mn-lt"/>
              <a:ea typeface="+mn-lt"/>
              <a:cs typeface="+mn-lt"/>
            </a:rPr>
            <a:t>Caso 1</a:t>
          </a:r>
          <a:r>
            <a:rPr sz="1100" b="0"/>
            <a:t> (</a:t>
          </a:r>
          <a:r>
            <a:rPr sz="1100" b="0">
              <a:solidFill>
                <a:schemeClr val="dk1"/>
              </a:solidFill>
              <a:latin typeface="+mn-lt"/>
              <a:ea typeface="+mn-lt"/>
              <a:cs typeface="+mn-lt"/>
            </a:rPr>
            <a:t>Sampues</a:t>
          </a:r>
          <a:r>
            <a:rPr sz="1100" b="0"/>
            <a:t>): </a:t>
          </a:r>
          <a:r>
            <a:t>No cambia (13 → 13 → 13)</a:t>
          </a:r>
        </a:p>
        <a:p>
          <a:r>
            <a:rPr sz="1100" b="0"/>
            <a:t>Interpretación: </a:t>
          </a:r>
          <a:r>
            <a:t>El pozo tiene comportamiento robusto independientemente de cómo se mida (Sistema consistente, Dinámica estable y Sin distorsión entre métricas).</a:t>
          </a:r>
        </a:p>
        <a:p>
          <a:endParaRPr/>
        </a:p>
        <a:p>
          <a:r>
            <a:rPr sz="1100" b="0"/>
            <a:t>2. </a:t>
          </a:r>
          <a:r>
            <a:rPr sz="1100">
              <a:solidFill>
                <a:schemeClr val="dk1"/>
              </a:solidFill>
              <a:latin typeface="+mn-lt"/>
              <a:ea typeface="+mn-lt"/>
              <a:cs typeface="+mn-lt"/>
            </a:rPr>
            <a:t>Caso 2</a:t>
          </a:r>
          <a:r>
            <a:rPr sz="1100" b="0"/>
            <a:t>(</a:t>
          </a:r>
          <a:r>
            <a:rPr sz="1100" b="0">
              <a:solidFill>
                <a:schemeClr val="dk1"/>
              </a:solidFill>
              <a:latin typeface="+mn-lt"/>
              <a:ea typeface="+mn-lt"/>
              <a:cs typeface="+mn-lt"/>
            </a:rPr>
            <a:t>Los_Palmitos</a:t>
          </a:r>
          <a:r>
            <a:t>): Cambios leves (2 → 3 → 3)</a:t>
          </a:r>
        </a:p>
        <a:p>
          <a:r>
            <a:t>Interpretación: Ajuste menor. Hay cierta sensibilidad, pero no crítica.</a:t>
          </a:r>
        </a:p>
        <a:p>
          <a:endParaRPr/>
        </a:p>
        <a:p>
          <a:r>
            <a:rPr sz="1100" b="0"/>
            <a:t>3. </a:t>
          </a:r>
          <a:r>
            <a:rPr sz="1100">
              <a:solidFill>
                <a:schemeClr val="dk1"/>
              </a:solidFill>
              <a:latin typeface="+mn-lt"/>
              <a:ea typeface="+mn-lt"/>
              <a:cs typeface="+mn-lt"/>
            </a:rPr>
            <a:t>Caso 3 </a:t>
          </a:r>
          <a:r>
            <a:rPr sz="1100" b="0"/>
            <a:t>(</a:t>
          </a:r>
          <a:r>
            <a:rPr sz="1100" b="0">
              <a:solidFill>
                <a:schemeClr val="dk1"/>
              </a:solidFill>
              <a:latin typeface="+mn-lt"/>
              <a:ea typeface="+mn-lt"/>
              <a:cs typeface="+mn-lt"/>
            </a:rPr>
            <a:t>Sabanas_PZ02 y Corozal_PO14 </a:t>
          </a:r>
          <a:r>
            <a:rPr sz="1100" b="0"/>
            <a:t>)</a:t>
          </a:r>
          <a:r>
            <a:t>: Cambios fuertes (16 → 17 → 17 o 17 → 16 → 16)</a:t>
          </a:r>
        </a:p>
        <a:p>
          <a:r>
            <a:rPr sz="1100">
              <a:solidFill>
                <a:schemeClr val="dk1"/>
              </a:solidFill>
              <a:latin typeface="+mn-lt"/>
              <a:ea typeface="+mn-lt"/>
              <a:cs typeface="+mn-lt"/>
            </a:rPr>
            <a:t>Interpretación: </a:t>
          </a:r>
          <a:r>
            <a:t>Desacople entre métricas. El sistema responde distinto según: magnitud y  velocidad. Es un comportamiento típico de:</a:t>
          </a:r>
        </a:p>
        <a:p>
          <a:r>
            <a:t>- cambios en bombeo </a:t>
          </a:r>
        </a:p>
        <a:p>
          <a:r>
            <a:t>- eventos de recarga </a:t>
          </a:r>
        </a:p>
        <a:p>
          <a:r>
            <a:t>- heterogeneidad hidráulica</a:t>
          </a:r>
        </a:p>
        <a:p>
          <a:endParaRPr/>
        </a:p>
        <a:p>
          <a:r>
            <a:rPr sz="1100" b="0"/>
            <a:t>4. </a:t>
          </a:r>
          <a:r>
            <a:t>Caso crítico (Bremen_B y Corozal_PZ20): cruces (6 → 5 → 5, 7 ↔ 8)</a:t>
          </a:r>
        </a:p>
        <a:p>
          <a:r>
            <a:rPr sz="1100" b="0"/>
            <a:t>Interpretación: </a:t>
          </a:r>
          <a:r>
            <a:t>El pozo está en zona de transición dinámica.</a:t>
          </a:r>
        </a:p>
      </xdr:txBody>
    </xdr:sp>
    <xdr:clientData/>
  </xdr:twoCellAnchor>
  <xdr:twoCellAnchor editAs="oneCell">
    <xdr:from>
      <xdr:col>18</xdr:col>
      <xdr:colOff>358140</xdr:colOff>
      <xdr:row>34</xdr:row>
      <xdr:rowOff>76200</xdr:rowOff>
    </xdr:from>
    <xdr:to>
      <xdr:col>19</xdr:col>
      <xdr:colOff>190500</xdr:colOff>
      <xdr:row>35</xdr:row>
      <xdr:rowOff>83820</xdr:rowOff>
    </xdr:to>
    <xdr:sp macro="" textlink="">
      <xdr:nvSpPr>
        <xdr:cNvPr id="9" name="Flecha: a la derecha 10">
          <a:extLst>
            <a:ext uri="{FF2B5EF4-FFF2-40B4-BE49-F238E27FC236}">
              <a16:creationId xmlns:a16="http://schemas.microsoft.com/office/drawing/2014/main" id="{00000000-0008-0000-0300-000009000000}"/>
            </a:ext>
          </a:extLst>
        </xdr:cNvPr>
        <xdr:cNvSpPr>
          <a:spLocks noGrp="1"/>
        </xdr:cNvSpPr>
      </xdr:nvSpPr>
      <xdr:spPr>
        <a:xfrm>
          <a:off x="11719560" y="6294120"/>
          <a:ext cx="441960" cy="19050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anchor="t"/>
        <a:lstStyle/>
        <a:p>
          <a:pPr algn="l">
            <a:buNone/>
          </a:pPr>
          <a:endParaRPr/>
        </a:p>
      </xdr:txBody>
    </xdr:sp>
    <xdr:clientData/>
  </xdr:twoCellAnchor>
  <xdr:twoCellAnchor editAs="oneCell">
    <xdr:from>
      <xdr:col>21</xdr:col>
      <xdr:colOff>567690</xdr:colOff>
      <xdr:row>36</xdr:row>
      <xdr:rowOff>118110</xdr:rowOff>
    </xdr:from>
    <xdr:to>
      <xdr:col>21</xdr:col>
      <xdr:colOff>758190</xdr:colOff>
      <xdr:row>39</xdr:row>
      <xdr:rowOff>11430</xdr:rowOff>
    </xdr:to>
    <xdr:sp macro="" textlink="">
      <xdr:nvSpPr>
        <xdr:cNvPr id="10" name="Flecha: a la derecha 11">
          <a:extLst>
            <a:ext uri="{FF2B5EF4-FFF2-40B4-BE49-F238E27FC236}">
              <a16:creationId xmlns:a16="http://schemas.microsoft.com/office/drawing/2014/main" id="{00000000-0008-0000-0300-00000A000000}"/>
            </a:ext>
          </a:extLst>
        </xdr:cNvPr>
        <xdr:cNvSpPr>
          <a:spLocks noGrp="1"/>
        </xdr:cNvSpPr>
      </xdr:nvSpPr>
      <xdr:spPr>
        <a:xfrm>
          <a:off x="13815060" y="6827520"/>
          <a:ext cx="441960" cy="19050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anchor="t"/>
        <a:lstStyle/>
        <a:p>
          <a:pPr algn="l">
            <a:buNone/>
          </a:pPr>
          <a:endParaRPr/>
        </a:p>
      </xdr:txBody>
    </xdr:sp>
    <xdr:clientData/>
  </xdr:twoCellAnchor>
  <xdr:twoCellAnchor editAs="oneCell">
    <xdr:from>
      <xdr:col>22</xdr:col>
      <xdr:colOff>106680</xdr:colOff>
      <xdr:row>36</xdr:row>
      <xdr:rowOff>91440</xdr:rowOff>
    </xdr:from>
    <xdr:to>
      <xdr:col>27</xdr:col>
      <xdr:colOff>83820</xdr:colOff>
      <xdr:row>38</xdr:row>
      <xdr:rowOff>160020</xdr:rowOff>
    </xdr:to>
    <xdr:sp macro="" textlink="">
      <xdr:nvSpPr>
        <xdr:cNvPr id="11" name="CuadroTexto 14">
          <a:extLst>
            <a:ext uri="{FF2B5EF4-FFF2-40B4-BE49-F238E27FC236}">
              <a16:creationId xmlns:a16="http://schemas.microsoft.com/office/drawing/2014/main" id="{00000000-0008-0000-0300-00000B000000}"/>
            </a:ext>
          </a:extLst>
        </xdr:cNvPr>
        <xdr:cNvSpPr>
          <a:spLocks noGrp="1"/>
        </xdr:cNvSpPr>
      </xdr:nvSpPr>
      <xdr:spPr>
        <a:xfrm>
          <a:off x="14523720" y="6675120"/>
          <a:ext cx="3025140" cy="434340"/>
        </a:xfrm>
        <a:prstGeom prst="rect">
          <a:avLst/>
        </a:prstGeom>
        <a:solidFill>
          <a:schemeClr val="lt1"/>
        </a:solidFill>
        <a:ln w="9525">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anchor="t"/>
        <a:lstStyle/>
        <a:p>
          <a:r>
            <a:t>Sistema dinámico controlable basado en estados discretos derivados de datos reales.</a:t>
          </a:r>
        </a:p>
      </xdr:txBody>
    </xdr:sp>
    <xdr:clientData/>
  </xdr:twoCellAnchor>
  <xdr:twoCellAnchor editAs="oneCell">
    <xdr:from>
      <xdr:col>21</xdr:col>
      <xdr:colOff>815340</xdr:colOff>
      <xdr:row>37</xdr:row>
      <xdr:rowOff>121920</xdr:rowOff>
    </xdr:from>
    <xdr:to>
      <xdr:col>22</xdr:col>
      <xdr:colOff>106680</xdr:colOff>
      <xdr:row>37</xdr:row>
      <xdr:rowOff>125730</xdr:rowOff>
    </xdr:to>
    <xdr:sp macro="" textlink="">
      <xdr:nvSpPr>
        <xdr:cNvPr id="12" name="Conector recto de flecha 16">
          <a:extLst>
            <a:ext uri="{FF2B5EF4-FFF2-40B4-BE49-F238E27FC236}">
              <a16:creationId xmlns:a16="http://schemas.microsoft.com/office/drawing/2014/main" id="{00000000-0008-0000-0300-00000C000000}"/>
            </a:ext>
          </a:extLst>
        </xdr:cNvPr>
        <xdr:cNvSpPr>
          <a:spLocks noGrp="1"/>
        </xdr:cNvSpPr>
      </xdr:nvSpPr>
      <xdr:spPr>
        <a:xfrm>
          <a:off x="14188440" y="6888480"/>
          <a:ext cx="335280" cy="3810"/>
        </a:xfrm>
        <a:prstGeom prst="straightConnector1">
          <a:avLst/>
        </a:prstGeom>
        <a:ln w="38100">
          <a:solidFill>
            <a:schemeClr val="accent2"/>
          </a:solidFill>
          <a:tailEnd type="triangle"/>
        </a:ln>
      </xdr:spPr>
      <xdr:style>
        <a:lnRef idx="1">
          <a:schemeClr val="accent1"/>
        </a:lnRef>
        <a:fillRef idx="0">
          <a:schemeClr val="accent1"/>
        </a:fillRef>
        <a:effectRef idx="0">
          <a:schemeClr val="accent1"/>
        </a:effectRef>
        <a:fontRef idx="minor">
          <a:schemeClr val="tx1"/>
        </a:fontRef>
      </xdr:style>
    </xdr:sp>
    <xdr:clientData/>
  </xdr:twoCellAnchor>
  <xdr:twoCellAnchor editAs="oneCell">
    <xdr:from>
      <xdr:col>23</xdr:col>
      <xdr:colOff>350520</xdr:colOff>
      <xdr:row>42</xdr:row>
      <xdr:rowOff>144780</xdr:rowOff>
    </xdr:from>
    <xdr:to>
      <xdr:col>24</xdr:col>
      <xdr:colOff>251460</xdr:colOff>
      <xdr:row>42</xdr:row>
      <xdr:rowOff>144780</xdr:rowOff>
    </xdr:to>
    <xdr:sp macro="" textlink="">
      <xdr:nvSpPr>
        <xdr:cNvPr id="13" name="Conector recto de flecha 17">
          <a:extLst>
            <a:ext uri="{FF2B5EF4-FFF2-40B4-BE49-F238E27FC236}">
              <a16:creationId xmlns:a16="http://schemas.microsoft.com/office/drawing/2014/main" id="{00000000-0008-0000-0300-00000D000000}"/>
            </a:ext>
          </a:extLst>
        </xdr:cNvPr>
        <xdr:cNvSpPr>
          <a:spLocks noGrp="1"/>
        </xdr:cNvSpPr>
      </xdr:nvSpPr>
      <xdr:spPr>
        <a:xfrm>
          <a:off x="15377160" y="7825740"/>
          <a:ext cx="510540" cy="0"/>
        </a:xfrm>
        <a:prstGeom prst="straightConnector1">
          <a:avLst/>
        </a:prstGeom>
        <a:ln w="57150">
          <a:solidFill>
            <a:schemeClr val="accent2"/>
          </a:solidFill>
          <a:tailEnd type="triangle"/>
        </a:ln>
      </xdr:spPr>
      <xdr:style>
        <a:lnRef idx="1">
          <a:schemeClr val="accent1"/>
        </a:lnRef>
        <a:fillRef idx="0">
          <a:schemeClr val="accent1"/>
        </a:fillRef>
        <a:effectRef idx="0">
          <a:schemeClr val="accent1"/>
        </a:effectRef>
        <a:fontRef idx="minor">
          <a:schemeClr val="tx1"/>
        </a:fontRef>
      </xdr:style>
    </xdr:sp>
    <xdr:clientData/>
  </xdr:twoCellAnchor>
  <xdr:twoCellAnchor editAs="oneCell">
    <xdr:from>
      <xdr:col>24</xdr:col>
      <xdr:colOff>312420</xdr:colOff>
      <xdr:row>41</xdr:row>
      <xdr:rowOff>91440</xdr:rowOff>
    </xdr:from>
    <xdr:to>
      <xdr:col>28</xdr:col>
      <xdr:colOff>7620</xdr:colOff>
      <xdr:row>44</xdr:row>
      <xdr:rowOff>0</xdr:rowOff>
    </xdr:to>
    <xdr:sp macro="" textlink="">
      <xdr:nvSpPr>
        <xdr:cNvPr id="14" name="CuadroTexto 20">
          <a:extLst>
            <a:ext uri="{FF2B5EF4-FFF2-40B4-BE49-F238E27FC236}">
              <a16:creationId xmlns:a16="http://schemas.microsoft.com/office/drawing/2014/main" id="{00000000-0008-0000-0300-00000E000000}"/>
            </a:ext>
          </a:extLst>
        </xdr:cNvPr>
        <xdr:cNvSpPr>
          <a:spLocks noGrp="1"/>
        </xdr:cNvSpPr>
      </xdr:nvSpPr>
      <xdr:spPr>
        <a:xfrm>
          <a:off x="15948660" y="7589520"/>
          <a:ext cx="2133600" cy="457200"/>
        </a:xfrm>
        <a:prstGeom prst="rect">
          <a:avLst/>
        </a:prstGeom>
        <a:solidFill>
          <a:schemeClr val="lt1"/>
        </a:solidFill>
        <a:ln w="9525">
          <a:solidFill>
            <a:srgbClr val="002060"/>
          </a:solidFill>
        </a:ln>
      </xdr:spPr>
      <xdr:style>
        <a:lnRef idx="0">
          <a:scrgbClr r="0" g="0" b="0"/>
        </a:lnRef>
        <a:fillRef idx="0">
          <a:scrgbClr r="0" g="0" b="0"/>
        </a:fillRef>
        <a:effectRef idx="0">
          <a:scrgbClr r="0" g="0" b="0"/>
        </a:effectRef>
        <a:fontRef idx="minor">
          <a:schemeClr val="dk1"/>
        </a:fontRef>
      </xdr:style>
      <xdr:txBody>
        <a:bodyPr wrap="square" anchor="t"/>
        <a:lstStyle/>
        <a:p>
          <a:r>
            <a:rPr>
              <a:solidFill>
                <a:schemeClr val="tx2"/>
              </a:solidFill>
            </a:rPr>
            <a:t>Sistema de Control para Gemelos Digitales para la gestión hídrica. </a:t>
          </a:r>
          <a:endParaRPr/>
        </a:p>
      </xdr:txBody>
    </xdr:sp>
    <xdr:clientData/>
  </xdr:twoCellAnchor>
  <xdr:twoCellAnchor editAs="oneCell">
    <xdr:from>
      <xdr:col>21</xdr:col>
      <xdr:colOff>514350</xdr:colOff>
      <xdr:row>28</xdr:row>
      <xdr:rowOff>19050</xdr:rowOff>
    </xdr:from>
    <xdr:to>
      <xdr:col>21</xdr:col>
      <xdr:colOff>704850</xdr:colOff>
      <xdr:row>30</xdr:row>
      <xdr:rowOff>95250</xdr:rowOff>
    </xdr:to>
    <xdr:sp macro="" textlink="">
      <xdr:nvSpPr>
        <xdr:cNvPr id="15" name="Flecha: a la derecha 21">
          <a:extLst>
            <a:ext uri="{FF2B5EF4-FFF2-40B4-BE49-F238E27FC236}">
              <a16:creationId xmlns:a16="http://schemas.microsoft.com/office/drawing/2014/main" id="{00000000-0008-0000-0300-00000F000000}"/>
            </a:ext>
          </a:extLst>
        </xdr:cNvPr>
        <xdr:cNvSpPr>
          <a:spLocks noGrp="1"/>
        </xdr:cNvSpPr>
      </xdr:nvSpPr>
      <xdr:spPr>
        <a:xfrm>
          <a:off x="13761720" y="5265420"/>
          <a:ext cx="441960" cy="19050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anchor="t"/>
        <a:lstStyle/>
        <a:p>
          <a:pPr algn="l">
            <a:buNone/>
          </a:pPr>
          <a:endParaRPr/>
        </a:p>
      </xdr:txBody>
    </xdr:sp>
    <xdr:clientData/>
  </xdr:twoCellAnchor>
  <xdr:twoCellAnchor editAs="oneCell">
    <xdr:from>
      <xdr:col>19</xdr:col>
      <xdr:colOff>419100</xdr:colOff>
      <xdr:row>26</xdr:row>
      <xdr:rowOff>76200</xdr:rowOff>
    </xdr:from>
    <xdr:to>
      <xdr:col>23</xdr:col>
      <xdr:colOff>563880</xdr:colOff>
      <xdr:row>27</xdr:row>
      <xdr:rowOff>167640</xdr:rowOff>
    </xdr:to>
    <xdr:sp macro="" textlink="">
      <xdr:nvSpPr>
        <xdr:cNvPr id="16" name="CuadroTexto 22">
          <a:extLst>
            <a:ext uri="{FF2B5EF4-FFF2-40B4-BE49-F238E27FC236}">
              <a16:creationId xmlns:a16="http://schemas.microsoft.com/office/drawing/2014/main" id="{00000000-0008-0000-0300-000010000000}"/>
            </a:ext>
          </a:extLst>
        </xdr:cNvPr>
        <xdr:cNvSpPr>
          <a:spLocks noGrp="1"/>
        </xdr:cNvSpPr>
      </xdr:nvSpPr>
      <xdr:spPr>
        <a:xfrm>
          <a:off x="12390120" y="4831080"/>
          <a:ext cx="3200400" cy="274320"/>
        </a:xfrm>
        <a:prstGeom prst="rect">
          <a:avLst/>
        </a:prstGeom>
      </xdr:spPr>
      <xdr:style>
        <a:lnRef idx="2">
          <a:schemeClr val="accent2"/>
        </a:lnRef>
        <a:fillRef idx="1">
          <a:schemeClr val="lt1"/>
        </a:fillRef>
        <a:effectRef idx="0">
          <a:schemeClr val="accent2"/>
        </a:effectRef>
        <a:fontRef idx="minor">
          <a:schemeClr val="dk1"/>
        </a:fontRef>
      </xdr:style>
      <xdr:txBody>
        <a:bodyPr wrap="square" anchor="ctr"/>
        <a:lstStyle/>
        <a:p>
          <a:pPr algn="ctr">
            <a:buNone/>
          </a:pPr>
          <a:r>
            <a:rPr sz="1100" b="1"/>
            <a:t>Definición del Modelo Sistemas de Control Óptimo</a:t>
          </a:r>
          <a:endParaRPr/>
        </a:p>
      </xdr:txBody>
    </xdr:sp>
    <xdr:clientData/>
  </xdr:twoCellAnchor>
  <xdr:twoCellAnchor editAs="oneCell">
    <xdr:from>
      <xdr:col>17</xdr:col>
      <xdr:colOff>259080</xdr:colOff>
      <xdr:row>5</xdr:row>
      <xdr:rowOff>144780</xdr:rowOff>
    </xdr:from>
    <xdr:to>
      <xdr:col>26</xdr:col>
      <xdr:colOff>68580</xdr:colOff>
      <xdr:row>25</xdr:row>
      <xdr:rowOff>114300</xdr:rowOff>
    </xdr:to>
    <xdr:sp macro="" textlink="">
      <xdr:nvSpPr>
        <xdr:cNvPr id="17" name="CuadroTexto 23">
          <a:extLst>
            <a:ext uri="{FF2B5EF4-FFF2-40B4-BE49-F238E27FC236}">
              <a16:creationId xmlns:a16="http://schemas.microsoft.com/office/drawing/2014/main" id="{00000000-0008-0000-0300-000011000000}"/>
            </a:ext>
          </a:extLst>
        </xdr:cNvPr>
        <xdr:cNvSpPr>
          <a:spLocks noGrp="1"/>
        </xdr:cNvSpPr>
      </xdr:nvSpPr>
      <xdr:spPr>
        <a:xfrm>
          <a:off x="11010900" y="1059180"/>
          <a:ext cx="5913120" cy="3627120"/>
        </a:xfrm>
        <a:prstGeom prst="rect">
          <a:avLst/>
        </a:prstGeom>
        <a:solidFill>
          <a:schemeClr val="lt1"/>
        </a:solidFill>
        <a:ln w="9525">
          <a:noFill/>
        </a:ln>
      </xdr:spPr>
      <xdr:style>
        <a:lnRef idx="0">
          <a:scrgbClr r="0" g="0" b="0"/>
        </a:lnRef>
        <a:fillRef idx="0">
          <a:scrgbClr r="0" g="0" b="0"/>
        </a:fillRef>
        <a:effectRef idx="0">
          <a:scrgbClr r="0" g="0" b="0"/>
        </a:effectRef>
        <a:fontRef idx="minor">
          <a:schemeClr val="dk1"/>
        </a:fontRef>
      </xdr:style>
      <xdr:txBody>
        <a:bodyPr wrap="square" anchor="t"/>
        <a:lstStyle/>
        <a:p>
          <a:r>
            <a:rPr sz="1100" b="1">
              <a:solidFill>
                <a:schemeClr val="accent2">
                  <a:lumMod val="75000"/>
                </a:schemeClr>
              </a:solidFill>
            </a:rPr>
            <a:t>Diseño modelado del predictivo: </a:t>
          </a:r>
          <a:endParaRPr/>
        </a:p>
        <a:p>
          <a:endParaRPr/>
        </a:p>
        <a:p>
          <a:pPr algn="ctr">
            <a:buNone/>
          </a:pPr>
          <a:r>
            <a:t>xt​=estado del pozo (1–17)  =&gt; ICEHt o ICMP​t</a:t>
          </a:r>
        </a:p>
        <a:p>
          <a:pPr algn="ctr">
            <a:buNone/>
          </a:pPr>
          <a:r>
            <a:rPr sz="1100"/>
            <a:t>Control Discreto: </a:t>
          </a:r>
          <a:r>
            <a:t>(1–17) → máquina de estados</a:t>
          </a:r>
        </a:p>
        <a:p>
          <a:pPr algn="ctr">
            <a:buNone/>
          </a:pPr>
          <a:r>
            <a:rPr sz="1100">
              <a:solidFill>
                <a:schemeClr val="dk1"/>
              </a:solidFill>
              <a:latin typeface="+mn-lt"/>
              <a:ea typeface="+mn-lt"/>
              <a:cs typeface="+mn-lt"/>
            </a:rPr>
            <a:t>Control Continuo (valor del índice) </a:t>
          </a:r>
          <a:r>
            <a:t>→ control más fino</a:t>
          </a:r>
        </a:p>
        <a:p>
          <a:pPr algn="ctr">
            <a:buNone/>
          </a:pPr>
          <a:endParaRPr/>
        </a:p>
        <a:p>
          <a:pPr algn="ctr">
            <a:buNone/>
          </a:pPr>
          <a:r>
            <a:rPr sz="1100">
              <a:solidFill>
                <a:schemeClr val="dk1"/>
              </a:solidFill>
              <a:latin typeface="+mn-lt"/>
              <a:ea typeface="+mn-lt"/>
              <a:cs typeface="+mn-lt"/>
            </a:rPr>
            <a:t> </a:t>
          </a:r>
          <a:endParaRPr/>
        </a:p>
      </xdr:txBody>
    </xdr:sp>
    <xdr:clientData/>
  </xdr:twoCellAnchor>
  <xdr:twoCellAnchor editAs="oneCell">
    <xdr:from>
      <xdr:col>17</xdr:col>
      <xdr:colOff>259080</xdr:colOff>
      <xdr:row>11</xdr:row>
      <xdr:rowOff>83820</xdr:rowOff>
    </xdr:from>
    <xdr:to>
      <xdr:col>19</xdr:col>
      <xdr:colOff>579120</xdr:colOff>
      <xdr:row>13</xdr:row>
      <xdr:rowOff>15240</xdr:rowOff>
    </xdr:to>
    <xdr:sp macro="" textlink="">
      <xdr:nvSpPr>
        <xdr:cNvPr id="18" name="CuadroTexto 37">
          <a:extLst>
            <a:ext uri="{FF2B5EF4-FFF2-40B4-BE49-F238E27FC236}">
              <a16:creationId xmlns:a16="http://schemas.microsoft.com/office/drawing/2014/main" id="{00000000-0008-0000-0300-000012000000}"/>
            </a:ext>
          </a:extLst>
        </xdr:cNvPr>
        <xdr:cNvSpPr>
          <a:spLocks noGrp="1"/>
        </xdr:cNvSpPr>
      </xdr:nvSpPr>
      <xdr:spPr>
        <a:xfrm>
          <a:off x="11010900" y="2095500"/>
          <a:ext cx="1539240" cy="297180"/>
        </a:xfrm>
        <a:prstGeom prst="rect">
          <a:avLst/>
        </a:prstGeom>
        <a:solidFill>
          <a:schemeClr val="lt1"/>
        </a:solidFill>
        <a:ln w="9525">
          <a:noFill/>
        </a:ln>
      </xdr:spPr>
      <xdr:style>
        <a:lnRef idx="0">
          <a:scrgbClr r="0" g="0" b="0"/>
        </a:lnRef>
        <a:fillRef idx="0">
          <a:scrgbClr r="0" g="0" b="0"/>
        </a:fillRef>
        <a:effectRef idx="0">
          <a:scrgbClr r="0" g="0" b="0"/>
        </a:effectRef>
        <a:fontRef idx="minor">
          <a:schemeClr val="dk1"/>
        </a:fontRef>
      </xdr:style>
      <xdr:txBody>
        <a:bodyPr wrap="square" anchor="t"/>
        <a:lstStyle/>
        <a:p>
          <a:r>
            <a:rPr sz="1100" b="1">
              <a:solidFill>
                <a:srgbClr val="7030A0"/>
              </a:solidFill>
            </a:rPr>
            <a:t>Variables de control</a:t>
          </a:r>
          <a:endParaRPr/>
        </a:p>
      </xdr:txBody>
    </xdr:sp>
    <xdr:clientData/>
  </xdr:twoCellAnchor>
  <xdr:twoCellAnchor editAs="oneCell">
    <xdr:from>
      <xdr:col>20</xdr:col>
      <xdr:colOff>434340</xdr:colOff>
      <xdr:row>11</xdr:row>
      <xdr:rowOff>76200</xdr:rowOff>
    </xdr:from>
    <xdr:to>
      <xdr:col>21</xdr:col>
      <xdr:colOff>830580</xdr:colOff>
      <xdr:row>13</xdr:row>
      <xdr:rowOff>7620</xdr:rowOff>
    </xdr:to>
    <xdr:sp macro="" textlink="">
      <xdr:nvSpPr>
        <xdr:cNvPr id="19" name="CuadroTexto 38">
          <a:extLst>
            <a:ext uri="{FF2B5EF4-FFF2-40B4-BE49-F238E27FC236}">
              <a16:creationId xmlns:a16="http://schemas.microsoft.com/office/drawing/2014/main" id="{00000000-0008-0000-0300-000013000000}"/>
            </a:ext>
          </a:extLst>
        </xdr:cNvPr>
        <xdr:cNvSpPr>
          <a:spLocks noGrp="1"/>
        </xdr:cNvSpPr>
      </xdr:nvSpPr>
      <xdr:spPr>
        <a:xfrm>
          <a:off x="13014960" y="2087880"/>
          <a:ext cx="1188720" cy="297180"/>
        </a:xfrm>
        <a:prstGeom prst="rect">
          <a:avLst/>
        </a:prstGeom>
        <a:solidFill>
          <a:schemeClr val="lt1"/>
        </a:solidFill>
        <a:ln w="9525">
          <a:noFill/>
        </a:ln>
      </xdr:spPr>
      <xdr:style>
        <a:lnRef idx="0">
          <a:scrgbClr r="0" g="0" b="0"/>
        </a:lnRef>
        <a:fillRef idx="0">
          <a:scrgbClr r="0" g="0" b="0"/>
        </a:fillRef>
        <a:effectRef idx="0">
          <a:scrgbClr r="0" g="0" b="0"/>
        </a:effectRef>
        <a:fontRef idx="minor">
          <a:schemeClr val="dk1"/>
        </a:fontRef>
      </xdr:style>
      <xdr:txBody>
        <a:bodyPr wrap="square" anchor="t"/>
        <a:lstStyle/>
        <a:p>
          <a:r>
            <a:rPr sz="1100" b="1">
              <a:solidFill>
                <a:srgbClr val="7030A0"/>
              </a:solidFill>
            </a:rPr>
            <a:t>Perturbaciones </a:t>
          </a:r>
          <a:endParaRPr/>
        </a:p>
      </xdr:txBody>
    </xdr:sp>
    <xdr:clientData/>
  </xdr:twoCellAnchor>
  <xdr:twoCellAnchor editAs="oneCell">
    <xdr:from>
      <xdr:col>19</xdr:col>
      <xdr:colOff>114300</xdr:colOff>
      <xdr:row>18</xdr:row>
      <xdr:rowOff>152400</xdr:rowOff>
    </xdr:from>
    <xdr:to>
      <xdr:col>21</xdr:col>
      <xdr:colOff>45720</xdr:colOff>
      <xdr:row>20</xdr:row>
      <xdr:rowOff>91440</xdr:rowOff>
    </xdr:to>
    <xdr:sp macro="" textlink="">
      <xdr:nvSpPr>
        <xdr:cNvPr id="20" name="CuadroTexto 39">
          <a:extLst>
            <a:ext uri="{FF2B5EF4-FFF2-40B4-BE49-F238E27FC236}">
              <a16:creationId xmlns:a16="http://schemas.microsoft.com/office/drawing/2014/main" id="{00000000-0008-0000-0300-000014000000}"/>
            </a:ext>
          </a:extLst>
        </xdr:cNvPr>
        <xdr:cNvSpPr>
          <a:spLocks noGrp="1"/>
        </xdr:cNvSpPr>
      </xdr:nvSpPr>
      <xdr:spPr>
        <a:xfrm>
          <a:off x="12085320" y="3444240"/>
          <a:ext cx="1333500" cy="304800"/>
        </a:xfrm>
        <a:prstGeom prst="rect">
          <a:avLst/>
        </a:prstGeom>
        <a:solidFill>
          <a:schemeClr val="lt1"/>
        </a:solidFill>
        <a:ln w="9525">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anchor="ctr"/>
        <a:lstStyle/>
        <a:p>
          <a:pPr algn="ctr">
            <a:buNone/>
          </a:pPr>
          <a:r>
            <a:rPr sz="1100"/>
            <a:t>Modelo dinámico: </a:t>
          </a:r>
          <a:endParaRPr/>
        </a:p>
      </xdr:txBody>
    </xdr:sp>
    <xdr:clientData/>
  </xdr:twoCellAnchor>
  <xdr:twoCellAnchor editAs="oneCell">
    <xdr:from>
      <xdr:col>17</xdr:col>
      <xdr:colOff>114300</xdr:colOff>
      <xdr:row>23</xdr:row>
      <xdr:rowOff>91440</xdr:rowOff>
    </xdr:from>
    <xdr:to>
      <xdr:col>19</xdr:col>
      <xdr:colOff>251460</xdr:colOff>
      <xdr:row>24</xdr:row>
      <xdr:rowOff>99060</xdr:rowOff>
    </xdr:to>
    <xdr:sp macro="" textlink="">
      <xdr:nvSpPr>
        <xdr:cNvPr id="21" name="CuadroTexto 40">
          <a:extLst>
            <a:ext uri="{FF2B5EF4-FFF2-40B4-BE49-F238E27FC236}">
              <a16:creationId xmlns:a16="http://schemas.microsoft.com/office/drawing/2014/main" id="{00000000-0008-0000-0300-000015000000}"/>
            </a:ext>
          </a:extLst>
        </xdr:cNvPr>
        <xdr:cNvSpPr>
          <a:spLocks noGrp="1"/>
        </xdr:cNvSpPr>
      </xdr:nvSpPr>
      <xdr:spPr>
        <a:xfrm>
          <a:off x="10866120" y="4297680"/>
          <a:ext cx="1356360" cy="190500"/>
        </a:xfrm>
        <a:prstGeom prst="rect">
          <a:avLst/>
        </a:prstGeom>
        <a:solidFill>
          <a:schemeClr val="bg1"/>
        </a:solidFill>
        <a:ln w="9525">
          <a:noFill/>
        </a:ln>
      </xdr:spPr>
      <xdr:style>
        <a:lnRef idx="0">
          <a:scrgbClr r="0" g="0" b="0"/>
        </a:lnRef>
        <a:fillRef idx="0">
          <a:scrgbClr r="0" g="0" b="0"/>
        </a:fillRef>
        <a:effectRef idx="0">
          <a:scrgbClr r="0" g="0" b="0"/>
        </a:effectRef>
        <a:fontRef idx="minor">
          <a:schemeClr val="dk1"/>
        </a:fontRef>
      </xdr:style>
      <xdr:txBody>
        <a:bodyPr wrap="square" anchor="ctr"/>
        <a:lstStyle/>
        <a:p>
          <a:pPr algn="ctr">
            <a:buNone/>
          </a:pPr>
          <a:r>
            <a:rPr b="1">
              <a:solidFill>
                <a:srgbClr val="00B050"/>
              </a:solidFill>
            </a:rPr>
            <a:t>Función objetivo</a:t>
          </a:r>
          <a:endParaRPr/>
        </a:p>
      </xdr:txBody>
    </xdr:sp>
    <xdr:clientData/>
  </xdr:twoCellAnchor>
  <xdr:twoCellAnchor editAs="oneCell">
    <xdr:from>
      <xdr:col>19</xdr:col>
      <xdr:colOff>129540</xdr:colOff>
      <xdr:row>24</xdr:row>
      <xdr:rowOff>0</xdr:rowOff>
    </xdr:from>
    <xdr:to>
      <xdr:col>19</xdr:col>
      <xdr:colOff>487680</xdr:colOff>
      <xdr:row>24</xdr:row>
      <xdr:rowOff>0</xdr:rowOff>
    </xdr:to>
    <xdr:sp macro="" textlink="">
      <xdr:nvSpPr>
        <xdr:cNvPr id="22" name="Conector recto de flecha 42">
          <a:extLst>
            <a:ext uri="{FF2B5EF4-FFF2-40B4-BE49-F238E27FC236}">
              <a16:creationId xmlns:a16="http://schemas.microsoft.com/office/drawing/2014/main" id="{00000000-0008-0000-0300-000016000000}"/>
            </a:ext>
          </a:extLst>
        </xdr:cNvPr>
        <xdr:cNvSpPr>
          <a:spLocks noGrp="1"/>
        </xdr:cNvSpPr>
      </xdr:nvSpPr>
      <xdr:spPr>
        <a:xfrm>
          <a:off x="12100560" y="4389120"/>
          <a:ext cx="358140" cy="0"/>
        </a:xfrm>
        <a:prstGeom prst="straightConnector1">
          <a:avLst/>
        </a:prstGeom>
        <a:ln w="9525">
          <a:tailEnd type="triangle"/>
        </a:ln>
      </xdr:spPr>
      <xdr:style>
        <a:lnRef idx="1">
          <a:schemeClr val="dk1"/>
        </a:lnRef>
        <a:fillRef idx="0">
          <a:schemeClr val="dk1"/>
        </a:fillRef>
        <a:effectRef idx="0">
          <a:schemeClr val="dk1"/>
        </a:effectRef>
        <a:fontRef idx="minor">
          <a:schemeClr val="tx1"/>
        </a:fontRef>
      </xdr:style>
    </xdr:sp>
    <xdr:clientData/>
  </xdr:twoCellAnchor>
  <xdr:twoCellAnchor editAs="oneCell">
    <xdr:from>
      <xdr:col>17</xdr:col>
      <xdr:colOff>312420</xdr:colOff>
      <xdr:row>8</xdr:row>
      <xdr:rowOff>106680</xdr:rowOff>
    </xdr:from>
    <xdr:to>
      <xdr:col>19</xdr:col>
      <xdr:colOff>441960</xdr:colOff>
      <xdr:row>10</xdr:row>
      <xdr:rowOff>0</xdr:rowOff>
    </xdr:to>
    <xdr:sp macro="" textlink="">
      <xdr:nvSpPr>
        <xdr:cNvPr id="23" name="CuadroTexto 45">
          <a:extLst>
            <a:ext uri="{FF2B5EF4-FFF2-40B4-BE49-F238E27FC236}">
              <a16:creationId xmlns:a16="http://schemas.microsoft.com/office/drawing/2014/main" id="{00000000-0008-0000-0300-000017000000}"/>
            </a:ext>
          </a:extLst>
        </xdr:cNvPr>
        <xdr:cNvSpPr>
          <a:spLocks noGrp="1"/>
        </xdr:cNvSpPr>
      </xdr:nvSpPr>
      <xdr:spPr>
        <a:xfrm>
          <a:off x="11064240" y="1569720"/>
          <a:ext cx="1348740" cy="259080"/>
        </a:xfrm>
        <a:prstGeom prst="rect">
          <a:avLst/>
        </a:prstGeom>
        <a:solidFill>
          <a:schemeClr val="bg1"/>
        </a:solidFill>
        <a:ln w="9525">
          <a:noFill/>
        </a:ln>
      </xdr:spPr>
      <xdr:style>
        <a:lnRef idx="0">
          <a:scrgbClr r="0" g="0" b="0"/>
        </a:lnRef>
        <a:fillRef idx="0">
          <a:scrgbClr r="0" g="0" b="0"/>
        </a:fillRef>
        <a:effectRef idx="0">
          <a:scrgbClr r="0" g="0" b="0"/>
        </a:effectRef>
        <a:fontRef idx="minor">
          <a:schemeClr val="dk1"/>
        </a:fontRef>
      </xdr:style>
      <xdr:txBody>
        <a:bodyPr wrap="square" anchor="t"/>
        <a:lstStyle/>
        <a:p>
          <a:pPr algn="l">
            <a:buNone/>
          </a:pPr>
          <a:r>
            <a:rPr sz="1100" b="1">
              <a:solidFill>
                <a:schemeClr val="dk1"/>
              </a:solidFill>
              <a:latin typeface="+mn-lt"/>
              <a:ea typeface="+mn-lt"/>
              <a:cs typeface="+mn-lt"/>
            </a:rPr>
            <a:t>Estado del sistema:</a:t>
          </a:r>
          <a:endParaRPr/>
        </a:p>
      </xdr:txBody>
    </xdr:sp>
    <xdr:clientData/>
  </xdr:twoCellAnchor>
  <xdr:twoCellAnchor editAs="oneCell">
    <xdr:from>
      <xdr:col>19</xdr:col>
      <xdr:colOff>373379</xdr:colOff>
      <xdr:row>7</xdr:row>
      <xdr:rowOff>99060</xdr:rowOff>
    </xdr:from>
    <xdr:to>
      <xdr:col>19</xdr:col>
      <xdr:colOff>449580</xdr:colOff>
      <xdr:row>11</xdr:row>
      <xdr:rowOff>76200</xdr:rowOff>
    </xdr:to>
    <xdr:sp macro="" textlink="">
      <xdr:nvSpPr>
        <xdr:cNvPr id="24" name="Abrir corchete 46">
          <a:extLst>
            <a:ext uri="{FF2B5EF4-FFF2-40B4-BE49-F238E27FC236}">
              <a16:creationId xmlns:a16="http://schemas.microsoft.com/office/drawing/2014/main" id="{00000000-0008-0000-0300-000018000000}"/>
            </a:ext>
          </a:extLst>
        </xdr:cNvPr>
        <xdr:cNvSpPr>
          <a:spLocks noGrp="1"/>
        </xdr:cNvSpPr>
      </xdr:nvSpPr>
      <xdr:spPr>
        <a:xfrm>
          <a:off x="12344399" y="1379220"/>
          <a:ext cx="76201" cy="708660"/>
        </a:xfrm>
        <a:prstGeom prst="leftBracket">
          <a:avLst/>
        </a:prstGeom>
        <a:ln w="9525">
          <a:solidFill>
            <a:schemeClr val="tx1"/>
          </a:solidFill>
        </a:ln>
      </xdr:spPr>
      <xdr:style>
        <a:lnRef idx="1">
          <a:schemeClr val="accent1"/>
        </a:lnRef>
        <a:fillRef idx="0">
          <a:schemeClr val="accent1"/>
        </a:fillRef>
        <a:effectRef idx="0">
          <a:schemeClr val="accent1"/>
        </a:effectRef>
        <a:fontRef idx="minor">
          <a:schemeClr val="tx1"/>
        </a:fontRef>
      </xdr:style>
      <xdr:txBody>
        <a:bodyPr anchor="t"/>
        <a:lstStyle/>
        <a:p>
          <a:pPr algn="l">
            <a:buNone/>
          </a:pPr>
          <a:endParaRPr/>
        </a:p>
      </xdr:txBody>
    </xdr:sp>
    <xdr:clientData/>
  </xdr:twoCellAnchor>
  <xdr:twoCellAnchor editAs="oneCell">
    <xdr:from>
      <xdr:col>23</xdr:col>
      <xdr:colOff>563880</xdr:colOff>
      <xdr:row>7</xdr:row>
      <xdr:rowOff>30480</xdr:rowOff>
    </xdr:from>
    <xdr:to>
      <xdr:col>23</xdr:col>
      <xdr:colOff>609599</xdr:colOff>
      <xdr:row>11</xdr:row>
      <xdr:rowOff>7620</xdr:rowOff>
    </xdr:to>
    <xdr:sp macro="" textlink="">
      <xdr:nvSpPr>
        <xdr:cNvPr id="25" name="Abrir corchete 47">
          <a:extLst>
            <a:ext uri="{FF2B5EF4-FFF2-40B4-BE49-F238E27FC236}">
              <a16:creationId xmlns:a16="http://schemas.microsoft.com/office/drawing/2014/main" id="{00000000-0008-0000-0300-000019000000}"/>
            </a:ext>
          </a:extLst>
        </xdr:cNvPr>
        <xdr:cNvSpPr>
          <a:spLocks noGrp="1"/>
        </xdr:cNvSpPr>
      </xdr:nvSpPr>
      <xdr:spPr>
        <a:xfrm flipH="1">
          <a:off x="15590520" y="1310640"/>
          <a:ext cx="45719" cy="708660"/>
        </a:xfrm>
        <a:prstGeom prst="leftBracket">
          <a:avLst/>
        </a:prstGeom>
        <a:ln w="9525">
          <a:solidFill>
            <a:schemeClr val="tx1"/>
          </a:solidFill>
        </a:ln>
      </xdr:spPr>
      <xdr:style>
        <a:lnRef idx="1">
          <a:schemeClr val="accent1"/>
        </a:lnRef>
        <a:fillRef idx="0">
          <a:schemeClr val="accent1"/>
        </a:fillRef>
        <a:effectRef idx="0">
          <a:schemeClr val="accent1"/>
        </a:effectRef>
        <a:fontRef idx="minor">
          <a:schemeClr val="tx1"/>
        </a:fontRef>
      </xdr:style>
      <xdr:txBody>
        <a:bodyPr anchor="t"/>
        <a:lstStyle/>
        <a:p>
          <a:pPr algn="l">
            <a:buNone/>
          </a:pPr>
          <a:endParaRPr/>
        </a:p>
      </xdr:txBody>
    </xdr:sp>
    <xdr:clientData/>
  </xdr:twoCellAnchor>
  <xdr:twoCellAnchor editAs="oneCell">
    <xdr:from>
      <xdr:col>22</xdr:col>
      <xdr:colOff>53340</xdr:colOff>
      <xdr:row>23</xdr:row>
      <xdr:rowOff>160020</xdr:rowOff>
    </xdr:from>
    <xdr:to>
      <xdr:col>22</xdr:col>
      <xdr:colOff>411480</xdr:colOff>
      <xdr:row>23</xdr:row>
      <xdr:rowOff>160020</xdr:rowOff>
    </xdr:to>
    <xdr:sp macro="" textlink="">
      <xdr:nvSpPr>
        <xdr:cNvPr id="26" name="Conector recto de flecha 49">
          <a:extLst>
            <a:ext uri="{FF2B5EF4-FFF2-40B4-BE49-F238E27FC236}">
              <a16:creationId xmlns:a16="http://schemas.microsoft.com/office/drawing/2014/main" id="{00000000-0008-0000-0300-00001A000000}"/>
            </a:ext>
          </a:extLst>
        </xdr:cNvPr>
        <xdr:cNvSpPr>
          <a:spLocks noGrp="1"/>
        </xdr:cNvSpPr>
      </xdr:nvSpPr>
      <xdr:spPr>
        <a:xfrm>
          <a:off x="14470380" y="4366260"/>
          <a:ext cx="358140" cy="0"/>
        </a:xfrm>
        <a:prstGeom prst="straightConnector1">
          <a:avLst/>
        </a:prstGeom>
        <a:ln w="9525">
          <a:tailEnd type="triangle"/>
        </a:ln>
      </xdr:spPr>
      <xdr:style>
        <a:lnRef idx="1">
          <a:schemeClr val="dk1"/>
        </a:lnRef>
        <a:fillRef idx="0">
          <a:schemeClr val="dk1"/>
        </a:fillRef>
        <a:effectRef idx="0">
          <a:schemeClr val="dk1"/>
        </a:effectRef>
        <a:fontRef idx="minor">
          <a:schemeClr val="tx1"/>
        </a:fontRef>
      </xdr:style>
    </xdr:sp>
    <xdr:clientData/>
  </xdr:twoCellAnchor>
  <xdr:twoCellAnchor editAs="oneCell">
    <xdr:from>
      <xdr:col>22</xdr:col>
      <xdr:colOff>487680</xdr:colOff>
      <xdr:row>22</xdr:row>
      <xdr:rowOff>114300</xdr:rowOff>
    </xdr:from>
    <xdr:to>
      <xdr:col>27</xdr:col>
      <xdr:colOff>434340</xdr:colOff>
      <xdr:row>25</xdr:row>
      <xdr:rowOff>53340</xdr:rowOff>
    </xdr:to>
    <xdr:sp macro="" textlink="">
      <xdr:nvSpPr>
        <xdr:cNvPr id="27" name="CuadroTexto 50">
          <a:extLst>
            <a:ext uri="{FF2B5EF4-FFF2-40B4-BE49-F238E27FC236}">
              <a16:creationId xmlns:a16="http://schemas.microsoft.com/office/drawing/2014/main" id="{00000000-0008-0000-0300-00001B000000}"/>
            </a:ext>
          </a:extLst>
        </xdr:cNvPr>
        <xdr:cNvSpPr>
          <a:spLocks noGrp="1"/>
        </xdr:cNvSpPr>
      </xdr:nvSpPr>
      <xdr:spPr>
        <a:xfrm>
          <a:off x="14904720" y="4137660"/>
          <a:ext cx="2994660" cy="487680"/>
        </a:xfrm>
        <a:prstGeom prst="rect">
          <a:avLst/>
        </a:prstGeom>
        <a:noFill/>
        <a:ln w="9525">
          <a:noFill/>
        </a:ln>
      </xdr:spPr>
      <xdr:style>
        <a:lnRef idx="0">
          <a:scrgbClr r="0" g="0" b="0"/>
        </a:lnRef>
        <a:fillRef idx="0">
          <a:scrgbClr r="0" g="0" b="0"/>
        </a:fillRef>
        <a:effectRef idx="0">
          <a:scrgbClr r="0" g="0" b="0"/>
        </a:effectRef>
        <a:fontRef idx="minor">
          <a:schemeClr val="dk1"/>
        </a:fontRef>
      </xdr:style>
      <xdr:txBody>
        <a:bodyPr wrap="square" anchor="t"/>
        <a:lstStyle/>
        <a:p>
          <a:r>
            <a:rPr sz="1100"/>
            <a:t>primer término → estabilidad </a:t>
          </a:r>
          <a:endParaRPr/>
        </a:p>
        <a:p>
          <a:r>
            <a:rPr sz="1100"/>
            <a:t>segundo término → penaliza sobreexplotación</a:t>
          </a:r>
          <a:endParaRPr/>
        </a:p>
      </xdr:txBody>
    </xdr:sp>
    <xdr:clientData/>
  </xdr:twoCellAnchor>
  <xdr:twoCellAnchor editAs="oneCell">
    <xdr:from>
      <xdr:col>24</xdr:col>
      <xdr:colOff>510540</xdr:colOff>
      <xdr:row>21</xdr:row>
      <xdr:rowOff>45720</xdr:rowOff>
    </xdr:from>
    <xdr:to>
      <xdr:col>24</xdr:col>
      <xdr:colOff>510540</xdr:colOff>
      <xdr:row>22</xdr:row>
      <xdr:rowOff>114840</xdr:rowOff>
    </xdr:to>
    <xdr:sp macro="" textlink="">
      <xdr:nvSpPr>
        <xdr:cNvPr id="28" name="Conector recto de flecha 54">
          <a:extLst>
            <a:ext uri="{FF2B5EF4-FFF2-40B4-BE49-F238E27FC236}">
              <a16:creationId xmlns:a16="http://schemas.microsoft.com/office/drawing/2014/main" id="{00000000-0008-0000-0300-00001C000000}"/>
            </a:ext>
          </a:extLst>
        </xdr:cNvPr>
        <xdr:cNvSpPr>
          <a:spLocks noGrp="1"/>
        </xdr:cNvSpPr>
      </xdr:nvSpPr>
      <xdr:spPr>
        <a:xfrm flipV="1">
          <a:off x="16146780" y="3886200"/>
          <a:ext cx="0" cy="252000"/>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sp>
    <xdr:clientData/>
  </xdr:twoCellAnchor>
  <xdr:twoCellAnchor editAs="oneCell">
    <xdr:from>
      <xdr:col>25</xdr:col>
      <xdr:colOff>7620</xdr:colOff>
      <xdr:row>17</xdr:row>
      <xdr:rowOff>99060</xdr:rowOff>
    </xdr:from>
    <xdr:to>
      <xdr:col>27</xdr:col>
      <xdr:colOff>548640</xdr:colOff>
      <xdr:row>19</xdr:row>
      <xdr:rowOff>30480</xdr:rowOff>
    </xdr:to>
    <xdr:sp macro="" textlink="">
      <xdr:nvSpPr>
        <xdr:cNvPr id="29" name="CuadroTexto 57">
          <a:extLst>
            <a:ext uri="{FF2B5EF4-FFF2-40B4-BE49-F238E27FC236}">
              <a16:creationId xmlns:a16="http://schemas.microsoft.com/office/drawing/2014/main" id="{00000000-0008-0000-0300-00001D000000}"/>
            </a:ext>
          </a:extLst>
        </xdr:cNvPr>
        <xdr:cNvSpPr>
          <a:spLocks noGrp="1"/>
        </xdr:cNvSpPr>
      </xdr:nvSpPr>
      <xdr:spPr>
        <a:xfrm>
          <a:off x="16253460" y="3208020"/>
          <a:ext cx="1760220" cy="297180"/>
        </a:xfrm>
        <a:prstGeom prst="rect">
          <a:avLst/>
        </a:prstGeom>
        <a:solidFill>
          <a:sysClr val="window" lastClr="FFFFFF"/>
        </a:solidFill>
        <a:ln w="9525">
          <a:noFill/>
        </a:ln>
      </xdr:spPr>
      <xdr:style>
        <a:lnRef idx="0">
          <a:scrgbClr r="0" g="0" b="0"/>
        </a:lnRef>
        <a:fillRef idx="0">
          <a:scrgbClr r="0" g="0" b="0"/>
        </a:fillRef>
        <a:effectRef idx="0">
          <a:scrgbClr r="0" g="0" b="0"/>
        </a:effectRef>
        <a:fontRef idx="minor">
          <a:schemeClr val="dk1"/>
        </a:fontRef>
      </xdr:style>
      <xdr:txBody>
        <a:bodyPr wrap="square" anchor="t"/>
        <a:lstStyle/>
        <a:p>
          <a:r>
            <a:rPr sz="1100">
              <a:solidFill>
                <a:schemeClr val="dk1"/>
              </a:solidFill>
              <a:latin typeface="+mn-lt"/>
              <a:ea typeface="+mn-lt"/>
              <a:cs typeface="+mn-lt"/>
            </a:rPr>
            <a:t>xt ≥ xmin  (evitar colapso)</a:t>
          </a:r>
          <a:endParaRPr/>
        </a:p>
      </xdr:txBody>
    </xdr:sp>
    <xdr:clientData/>
  </xdr:twoCellAnchor>
  <xdr:twoCellAnchor editAs="oneCell">
    <xdr:from>
      <xdr:col>25</xdr:col>
      <xdr:colOff>22860</xdr:colOff>
      <xdr:row>18</xdr:row>
      <xdr:rowOff>129540</xdr:rowOff>
    </xdr:from>
    <xdr:to>
      <xdr:col>28</xdr:col>
      <xdr:colOff>342900</xdr:colOff>
      <xdr:row>20</xdr:row>
      <xdr:rowOff>60960</xdr:rowOff>
    </xdr:to>
    <xdr:sp macro="" textlink="">
      <xdr:nvSpPr>
        <xdr:cNvPr id="30" name="CuadroTexto 58">
          <a:extLst>
            <a:ext uri="{FF2B5EF4-FFF2-40B4-BE49-F238E27FC236}">
              <a16:creationId xmlns:a16="http://schemas.microsoft.com/office/drawing/2014/main" id="{00000000-0008-0000-0300-00001E000000}"/>
            </a:ext>
          </a:extLst>
        </xdr:cNvPr>
        <xdr:cNvSpPr>
          <a:spLocks noGrp="1"/>
        </xdr:cNvSpPr>
      </xdr:nvSpPr>
      <xdr:spPr>
        <a:xfrm>
          <a:off x="16268700" y="3421380"/>
          <a:ext cx="2148840" cy="297180"/>
        </a:xfrm>
        <a:prstGeom prst="rect">
          <a:avLst/>
        </a:prstGeom>
        <a:solidFill>
          <a:sysClr val="window" lastClr="FFFFFF"/>
        </a:solidFill>
        <a:ln w="9525">
          <a:noFill/>
        </a:ln>
      </xdr:spPr>
      <xdr:style>
        <a:lnRef idx="0">
          <a:scrgbClr r="0" g="0" b="0"/>
        </a:lnRef>
        <a:fillRef idx="0">
          <a:scrgbClr r="0" g="0" b="0"/>
        </a:fillRef>
        <a:effectRef idx="0">
          <a:scrgbClr r="0" g="0" b="0"/>
        </a:effectRef>
        <a:fontRef idx="minor">
          <a:schemeClr val="dk1"/>
        </a:fontRef>
      </xdr:style>
      <xdr:txBody>
        <a:bodyPr wrap="square" anchor="t"/>
        <a:lstStyle/>
        <a:p>
          <a:r>
            <a:rPr sz="1100">
              <a:solidFill>
                <a:schemeClr val="dk1"/>
              </a:solidFill>
              <a:latin typeface="+mn-lt"/>
              <a:ea typeface="+mn-lt"/>
              <a:cs typeface="+mn-lt"/>
            </a:rPr>
            <a:t>ut ≤ umax  (capacidad de bombeo)</a:t>
          </a:r>
          <a:endParaRPr/>
        </a:p>
      </xdr:txBody>
    </xdr:sp>
    <xdr:clientData/>
  </xdr:twoCellAnchor>
  <xdr:twoCellAnchor editAs="oneCell">
    <xdr:from>
      <xdr:col>25</xdr:col>
      <xdr:colOff>30480</xdr:colOff>
      <xdr:row>19</xdr:row>
      <xdr:rowOff>160020</xdr:rowOff>
    </xdr:from>
    <xdr:to>
      <xdr:col>28</xdr:col>
      <xdr:colOff>220980</xdr:colOff>
      <xdr:row>21</xdr:row>
      <xdr:rowOff>91440</xdr:rowOff>
    </xdr:to>
    <xdr:sp macro="" textlink="">
      <xdr:nvSpPr>
        <xdr:cNvPr id="31" name="CuadroTexto 59">
          <a:extLst>
            <a:ext uri="{FF2B5EF4-FFF2-40B4-BE49-F238E27FC236}">
              <a16:creationId xmlns:a16="http://schemas.microsoft.com/office/drawing/2014/main" id="{00000000-0008-0000-0300-00001F000000}"/>
            </a:ext>
          </a:extLst>
        </xdr:cNvPr>
        <xdr:cNvSpPr>
          <a:spLocks noGrp="1"/>
        </xdr:cNvSpPr>
      </xdr:nvSpPr>
      <xdr:spPr>
        <a:xfrm>
          <a:off x="16276320" y="3634740"/>
          <a:ext cx="2019300" cy="297180"/>
        </a:xfrm>
        <a:prstGeom prst="rect">
          <a:avLst/>
        </a:prstGeom>
        <a:solidFill>
          <a:sysClr val="window" lastClr="FFFFFF"/>
        </a:solidFill>
        <a:ln w="9525">
          <a:noFill/>
        </a:ln>
      </xdr:spPr>
      <xdr:style>
        <a:lnRef idx="0">
          <a:scrgbClr r="0" g="0" b="0"/>
        </a:lnRef>
        <a:fillRef idx="0">
          <a:scrgbClr r="0" g="0" b="0"/>
        </a:fillRef>
        <a:effectRef idx="0">
          <a:scrgbClr r="0" g="0" b="0"/>
        </a:effectRef>
        <a:fontRef idx="minor">
          <a:schemeClr val="dk1"/>
        </a:fontRef>
      </xdr:style>
      <xdr:txBody>
        <a:bodyPr wrap="square" anchor="t"/>
        <a:lstStyle/>
        <a:p>
          <a:r>
            <a:rPr sz="1100">
              <a:solidFill>
                <a:schemeClr val="dk1"/>
              </a:solidFill>
              <a:latin typeface="+mn-lt"/>
              <a:ea typeface="+mn-lt"/>
              <a:cs typeface="+mn-lt"/>
            </a:rPr>
            <a:t>Δxt ≤ ϵ  (evitar cambios bruscos)</a:t>
          </a:r>
          <a:endParaRPr/>
        </a:p>
      </xdr:txBody>
    </xdr:sp>
    <xdr:clientData/>
  </xdr:twoCellAnchor>
  <xdr:twoCellAnchor editAs="oneCell">
    <xdr:from>
      <xdr:col>24</xdr:col>
      <xdr:colOff>464820</xdr:colOff>
      <xdr:row>17</xdr:row>
      <xdr:rowOff>114300</xdr:rowOff>
    </xdr:from>
    <xdr:to>
      <xdr:col>25</xdr:col>
      <xdr:colOff>121920</xdr:colOff>
      <xdr:row>21</xdr:row>
      <xdr:rowOff>68580</xdr:rowOff>
    </xdr:to>
    <xdr:sp macro="" textlink="">
      <xdr:nvSpPr>
        <xdr:cNvPr id="32" name="Abrir llave 56">
          <a:extLst>
            <a:ext uri="{FF2B5EF4-FFF2-40B4-BE49-F238E27FC236}">
              <a16:creationId xmlns:a16="http://schemas.microsoft.com/office/drawing/2014/main" id="{00000000-0008-0000-0300-000020000000}"/>
            </a:ext>
          </a:extLst>
        </xdr:cNvPr>
        <xdr:cNvSpPr>
          <a:spLocks noGrp="1"/>
        </xdr:cNvSpPr>
      </xdr:nvSpPr>
      <xdr:spPr>
        <a:xfrm>
          <a:off x="16101060" y="3223260"/>
          <a:ext cx="266700" cy="685800"/>
        </a:xfrm>
        <a:prstGeom prst="leftBrace">
          <a:avLst/>
        </a:prstGeom>
      </xdr:spPr>
      <xdr:style>
        <a:lnRef idx="1">
          <a:schemeClr val="dk1"/>
        </a:lnRef>
        <a:fillRef idx="0">
          <a:schemeClr val="dk1"/>
        </a:fillRef>
        <a:effectRef idx="0">
          <a:schemeClr val="dk1"/>
        </a:effectRef>
        <a:fontRef idx="minor">
          <a:schemeClr val="tx1"/>
        </a:fontRef>
      </xdr:style>
      <xdr:txBody>
        <a:bodyPr anchor="t"/>
        <a:lstStyle/>
        <a:p>
          <a:pPr algn="l">
            <a:buNone/>
          </a:pPr>
          <a:endParaRPr/>
        </a:p>
      </xdr:txBody>
    </xdr:sp>
    <xdr:clientData/>
  </xdr:twoCellAnchor>
  <xdr:twoCellAnchor editAs="oneCell">
    <xdr:from>
      <xdr:col>23</xdr:col>
      <xdr:colOff>60960</xdr:colOff>
      <xdr:row>18</xdr:row>
      <xdr:rowOff>137160</xdr:rowOff>
    </xdr:from>
    <xdr:to>
      <xdr:col>24</xdr:col>
      <xdr:colOff>441960</xdr:colOff>
      <xdr:row>20</xdr:row>
      <xdr:rowOff>91440</xdr:rowOff>
    </xdr:to>
    <xdr:sp macro="" textlink="">
      <xdr:nvSpPr>
        <xdr:cNvPr id="33" name="CuadroTexto 61">
          <a:extLst>
            <a:ext uri="{FF2B5EF4-FFF2-40B4-BE49-F238E27FC236}">
              <a16:creationId xmlns:a16="http://schemas.microsoft.com/office/drawing/2014/main" id="{00000000-0008-0000-0300-000021000000}"/>
            </a:ext>
          </a:extLst>
        </xdr:cNvPr>
        <xdr:cNvSpPr>
          <a:spLocks noGrp="1"/>
        </xdr:cNvSpPr>
      </xdr:nvSpPr>
      <xdr:spPr>
        <a:xfrm>
          <a:off x="15087600" y="3429000"/>
          <a:ext cx="990600" cy="320040"/>
        </a:xfrm>
        <a:prstGeom prst="rect">
          <a:avLst/>
        </a:prstGeom>
        <a:solidFill>
          <a:sysClr val="window" lastClr="FFFFFF"/>
        </a:solidFill>
        <a:ln w="9525">
          <a:noFill/>
        </a:ln>
      </xdr:spPr>
      <xdr:style>
        <a:lnRef idx="0">
          <a:scrgbClr r="0" g="0" b="0"/>
        </a:lnRef>
        <a:fillRef idx="0">
          <a:scrgbClr r="0" g="0" b="0"/>
        </a:fillRef>
        <a:effectRef idx="0">
          <a:scrgbClr r="0" g="0" b="0"/>
        </a:effectRef>
        <a:fontRef idx="minor">
          <a:schemeClr val="dk1"/>
        </a:fontRef>
      </xdr:style>
      <xdr:txBody>
        <a:bodyPr wrap="square" anchor="t"/>
        <a:lstStyle/>
        <a:p>
          <a:r>
            <a:rPr sz="1100" b="1">
              <a:solidFill>
                <a:srgbClr val="FF0000"/>
              </a:solidFill>
            </a:rPr>
            <a:t>Restricciones:</a:t>
          </a:r>
          <a:endParaRPr/>
        </a:p>
      </xdr:txBody>
    </xdr:sp>
    <xdr:clientData/>
  </xdr:twoCellAnchor>
  <xdr:twoCellAnchor editAs="oneCell">
    <xdr:from>
      <xdr:col>23</xdr:col>
      <xdr:colOff>556260</xdr:colOff>
      <xdr:row>12</xdr:row>
      <xdr:rowOff>60960</xdr:rowOff>
    </xdr:from>
    <xdr:to>
      <xdr:col>27</xdr:col>
      <xdr:colOff>45720</xdr:colOff>
      <xdr:row>13</xdr:row>
      <xdr:rowOff>137160</xdr:rowOff>
    </xdr:to>
    <xdr:sp macro="" textlink="">
      <xdr:nvSpPr>
        <xdr:cNvPr id="34" name="CuadroTexto 4095">
          <a:extLst>
            <a:ext uri="{FF2B5EF4-FFF2-40B4-BE49-F238E27FC236}">
              <a16:creationId xmlns:a16="http://schemas.microsoft.com/office/drawing/2014/main" id="{00000000-0008-0000-0300-000022000000}"/>
            </a:ext>
          </a:extLst>
        </xdr:cNvPr>
        <xdr:cNvSpPr>
          <a:spLocks noGrp="1"/>
        </xdr:cNvSpPr>
      </xdr:nvSpPr>
      <xdr:spPr>
        <a:xfrm>
          <a:off x="15582900" y="2255520"/>
          <a:ext cx="1927860" cy="259080"/>
        </a:xfrm>
        <a:prstGeom prst="rect">
          <a:avLst/>
        </a:prstGeom>
        <a:noFill/>
        <a:ln w="9525">
          <a:noFill/>
        </a:ln>
      </xdr:spPr>
      <xdr:style>
        <a:lnRef idx="0">
          <a:scrgbClr r="0" g="0" b="0"/>
        </a:lnRef>
        <a:fillRef idx="0">
          <a:scrgbClr r="0" g="0" b="0"/>
        </a:fillRef>
        <a:effectRef idx="0">
          <a:scrgbClr r="0" g="0" b="0"/>
        </a:effectRef>
        <a:fontRef idx="minor">
          <a:schemeClr val="dk1"/>
        </a:fontRef>
      </xdr:style>
      <xdr:txBody>
        <a:bodyPr wrap="square" anchor="t"/>
        <a:lstStyle/>
        <a:p>
          <a:r>
            <a:rPr b="1">
              <a:solidFill>
                <a:schemeClr val="accent6">
                  <a:lumMod val="75000"/>
                </a:schemeClr>
              </a:solidFill>
            </a:rPr>
            <a:t>Enfoque: </a:t>
          </a:r>
          <a:r>
            <a:rPr b="0">
              <a:solidFill>
                <a:sysClr val="windowText" lastClr="000000"/>
              </a:solidFill>
            </a:rPr>
            <a:t>O</a:t>
          </a:r>
          <a:r>
            <a:rPr sz="1100" b="0">
              <a:solidFill>
                <a:sysClr val="windowText" lastClr="000000"/>
              </a:solidFill>
              <a:latin typeface="+mn-lt"/>
              <a:ea typeface="+mn-lt"/>
              <a:cs typeface="+mn-lt"/>
            </a:rPr>
            <a:t>pti</a:t>
          </a:r>
          <a:r>
            <a:rPr sz="1100">
              <a:solidFill>
                <a:schemeClr val="dk1"/>
              </a:solidFill>
              <a:latin typeface="+mn-lt"/>
              <a:ea typeface="+mn-lt"/>
              <a:cs typeface="+mn-lt"/>
            </a:rPr>
            <a:t>mizar </a:t>
          </a:r>
          <a:r>
            <a:t>decisiones</a:t>
          </a:r>
        </a:p>
      </xdr:txBody>
    </xdr:sp>
    <xdr:clientData/>
  </xdr:twoCellAnchor>
  <xdr:twoCellAnchor editAs="oneCell">
    <xdr:from>
      <xdr:col>25</xdr:col>
      <xdr:colOff>449580</xdr:colOff>
      <xdr:row>9</xdr:row>
      <xdr:rowOff>137160</xdr:rowOff>
    </xdr:from>
    <xdr:to>
      <xdr:col>28</xdr:col>
      <xdr:colOff>381000</xdr:colOff>
      <xdr:row>11</xdr:row>
      <xdr:rowOff>76200</xdr:rowOff>
    </xdr:to>
    <xdr:sp macro="" textlink="">
      <xdr:nvSpPr>
        <xdr:cNvPr id="35" name="CuadroTexto 4098">
          <a:extLst>
            <a:ext uri="{FF2B5EF4-FFF2-40B4-BE49-F238E27FC236}">
              <a16:creationId xmlns:a16="http://schemas.microsoft.com/office/drawing/2014/main" id="{00000000-0008-0000-0300-000023000000}"/>
            </a:ext>
          </a:extLst>
        </xdr:cNvPr>
        <xdr:cNvSpPr>
          <a:spLocks noGrp="1"/>
        </xdr:cNvSpPr>
      </xdr:nvSpPr>
      <xdr:spPr>
        <a:xfrm>
          <a:off x="16695420" y="1783080"/>
          <a:ext cx="1760220" cy="304800"/>
        </a:xfrm>
        <a:prstGeom prst="rect">
          <a:avLst/>
        </a:prstGeom>
        <a:solidFill>
          <a:schemeClr val="lt1"/>
        </a:solidFill>
        <a:ln w="9525">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anchor="ctr"/>
        <a:lstStyle/>
        <a:p>
          <a:pPr algn="ctr">
            <a:buNone/>
          </a:pPr>
          <a:r>
            <a:rPr sz="1100">
              <a:solidFill>
                <a:schemeClr val="accent2"/>
              </a:solidFill>
            </a:rPr>
            <a:t>Variable Control: Bombeo </a:t>
          </a:r>
          <a:endParaRPr/>
        </a:p>
      </xdr:txBody>
    </xdr:sp>
    <xdr:clientData/>
  </xdr:twoCellAnchor>
  <xdr:twoCellAnchor editAs="oneCell">
    <xdr:from>
      <xdr:col>25</xdr:col>
      <xdr:colOff>243840</xdr:colOff>
      <xdr:row>6</xdr:row>
      <xdr:rowOff>38100</xdr:rowOff>
    </xdr:from>
    <xdr:to>
      <xdr:col>26</xdr:col>
      <xdr:colOff>426720</xdr:colOff>
      <xdr:row>8</xdr:row>
      <xdr:rowOff>106680</xdr:rowOff>
    </xdr:to>
    <xdr:sp macro="" textlink="">
      <xdr:nvSpPr>
        <xdr:cNvPr id="36" name="CuadroTexto 4102">
          <a:extLst>
            <a:ext uri="{FF2B5EF4-FFF2-40B4-BE49-F238E27FC236}">
              <a16:creationId xmlns:a16="http://schemas.microsoft.com/office/drawing/2014/main" id="{00000000-0008-0000-0300-000024000000}"/>
            </a:ext>
          </a:extLst>
        </xdr:cNvPr>
        <xdr:cNvSpPr>
          <a:spLocks noGrp="1"/>
        </xdr:cNvSpPr>
      </xdr:nvSpPr>
      <xdr:spPr>
        <a:xfrm>
          <a:off x="16489680" y="1135380"/>
          <a:ext cx="792480" cy="434340"/>
        </a:xfrm>
        <a:prstGeom prst="rect">
          <a:avLst/>
        </a:prstGeom>
        <a:solidFill>
          <a:schemeClr val="lt1"/>
        </a:solidFill>
        <a:ln w="9525">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anchor="ctr"/>
        <a:lstStyle/>
        <a:p>
          <a:pPr algn="ctr">
            <a:buNone/>
          </a:pPr>
          <a:r>
            <a:rPr sz="1100"/>
            <a:t>Reducir bombeo</a:t>
          </a:r>
          <a:endParaRPr/>
        </a:p>
      </xdr:txBody>
    </xdr:sp>
    <xdr:clientData/>
  </xdr:twoCellAnchor>
  <xdr:twoCellAnchor editAs="oneCell">
    <xdr:from>
      <xdr:col>27</xdr:col>
      <xdr:colOff>251460</xdr:colOff>
      <xdr:row>6</xdr:row>
      <xdr:rowOff>60960</xdr:rowOff>
    </xdr:from>
    <xdr:to>
      <xdr:col>28</xdr:col>
      <xdr:colOff>434340</xdr:colOff>
      <xdr:row>8</xdr:row>
      <xdr:rowOff>129540</xdr:rowOff>
    </xdr:to>
    <xdr:sp macro="" textlink="">
      <xdr:nvSpPr>
        <xdr:cNvPr id="37" name="CuadroTexto 4103">
          <a:extLst>
            <a:ext uri="{FF2B5EF4-FFF2-40B4-BE49-F238E27FC236}">
              <a16:creationId xmlns:a16="http://schemas.microsoft.com/office/drawing/2014/main" id="{00000000-0008-0000-0300-000025000000}"/>
            </a:ext>
          </a:extLst>
        </xdr:cNvPr>
        <xdr:cNvSpPr>
          <a:spLocks noGrp="1"/>
        </xdr:cNvSpPr>
      </xdr:nvSpPr>
      <xdr:spPr>
        <a:xfrm>
          <a:off x="17716500" y="1158240"/>
          <a:ext cx="792480" cy="434340"/>
        </a:xfrm>
        <a:prstGeom prst="rect">
          <a:avLst/>
        </a:prstGeom>
        <a:solidFill>
          <a:schemeClr val="lt1"/>
        </a:solidFill>
        <a:ln w="9525">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anchor="ctr"/>
        <a:lstStyle/>
        <a:p>
          <a:pPr algn="ctr">
            <a:buNone/>
          </a:pPr>
          <a:r>
            <a:rPr sz="1100"/>
            <a:t>Aumentar recarga</a:t>
          </a:r>
          <a:endParaRPr/>
        </a:p>
      </xdr:txBody>
    </xdr:sp>
    <xdr:clientData/>
  </xdr:twoCellAnchor>
  <xdr:twoCellAnchor editAs="oneCell">
    <xdr:from>
      <xdr:col>26</xdr:col>
      <xdr:colOff>45720</xdr:colOff>
      <xdr:row>8</xdr:row>
      <xdr:rowOff>129540</xdr:rowOff>
    </xdr:from>
    <xdr:to>
      <xdr:col>27</xdr:col>
      <xdr:colOff>129540</xdr:colOff>
      <xdr:row>9</xdr:row>
      <xdr:rowOff>129540</xdr:rowOff>
    </xdr:to>
    <xdr:sp macro="" textlink="">
      <xdr:nvSpPr>
        <xdr:cNvPr id="38" name="Conector recto de flecha 4105">
          <a:extLst>
            <a:ext uri="{FF2B5EF4-FFF2-40B4-BE49-F238E27FC236}">
              <a16:creationId xmlns:a16="http://schemas.microsoft.com/office/drawing/2014/main" id="{00000000-0008-0000-0300-000026000000}"/>
            </a:ext>
          </a:extLst>
        </xdr:cNvPr>
        <xdr:cNvSpPr>
          <a:spLocks noGrp="1"/>
        </xdr:cNvSpPr>
      </xdr:nvSpPr>
      <xdr:spPr>
        <a:xfrm flipH="1" flipV="1">
          <a:off x="16901160" y="1592580"/>
          <a:ext cx="693420" cy="18288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sp>
    <xdr:clientData/>
  </xdr:twoCellAnchor>
  <xdr:twoCellAnchor editAs="oneCell">
    <xdr:from>
      <xdr:col>27</xdr:col>
      <xdr:colOff>137160</xdr:colOff>
      <xdr:row>8</xdr:row>
      <xdr:rowOff>129540</xdr:rowOff>
    </xdr:from>
    <xdr:to>
      <xdr:col>28</xdr:col>
      <xdr:colOff>38100</xdr:colOff>
      <xdr:row>9</xdr:row>
      <xdr:rowOff>129540</xdr:rowOff>
    </xdr:to>
    <xdr:sp macro="" textlink="">
      <xdr:nvSpPr>
        <xdr:cNvPr id="39" name="Conector recto de flecha 4106">
          <a:extLst>
            <a:ext uri="{FF2B5EF4-FFF2-40B4-BE49-F238E27FC236}">
              <a16:creationId xmlns:a16="http://schemas.microsoft.com/office/drawing/2014/main" id="{00000000-0008-0000-0300-000027000000}"/>
            </a:ext>
          </a:extLst>
        </xdr:cNvPr>
        <xdr:cNvSpPr>
          <a:spLocks noGrp="1"/>
        </xdr:cNvSpPr>
      </xdr:nvSpPr>
      <xdr:spPr>
        <a:xfrm flipV="1">
          <a:off x="17602200" y="1592580"/>
          <a:ext cx="510540" cy="18288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sp>
    <xdr:clientData/>
  </xdr:twoCellAnchor>
  <xdr:twoCellAnchor editAs="oneCell">
    <xdr:from>
      <xdr:col>26</xdr:col>
      <xdr:colOff>152400</xdr:colOff>
      <xdr:row>16</xdr:row>
      <xdr:rowOff>114300</xdr:rowOff>
    </xdr:from>
    <xdr:to>
      <xdr:col>26</xdr:col>
      <xdr:colOff>152400</xdr:colOff>
      <xdr:row>17</xdr:row>
      <xdr:rowOff>111420</xdr:rowOff>
    </xdr:to>
    <xdr:sp macro="" textlink="">
      <xdr:nvSpPr>
        <xdr:cNvPr id="40" name="Conector recto de flecha 4108">
          <a:extLst>
            <a:ext uri="{FF2B5EF4-FFF2-40B4-BE49-F238E27FC236}">
              <a16:creationId xmlns:a16="http://schemas.microsoft.com/office/drawing/2014/main" id="{00000000-0008-0000-0300-000028000000}"/>
            </a:ext>
          </a:extLst>
        </xdr:cNvPr>
        <xdr:cNvSpPr>
          <a:spLocks noGrp="1"/>
        </xdr:cNvSpPr>
      </xdr:nvSpPr>
      <xdr:spPr>
        <a:xfrm flipV="1">
          <a:off x="17007840" y="3040380"/>
          <a:ext cx="0" cy="180000"/>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sp>
    <xdr:clientData/>
  </xdr:twoCellAnchor>
  <xdr:twoCellAnchor editAs="oneCell">
    <xdr:from>
      <xdr:col>27</xdr:col>
      <xdr:colOff>160020</xdr:colOff>
      <xdr:row>11</xdr:row>
      <xdr:rowOff>99060</xdr:rowOff>
    </xdr:from>
    <xdr:to>
      <xdr:col>27</xdr:col>
      <xdr:colOff>160020</xdr:colOff>
      <xdr:row>13</xdr:row>
      <xdr:rowOff>21300</xdr:rowOff>
    </xdr:to>
    <xdr:sp macro="" textlink="">
      <xdr:nvSpPr>
        <xdr:cNvPr id="41" name="Conector recto de flecha 4109">
          <a:extLst>
            <a:ext uri="{FF2B5EF4-FFF2-40B4-BE49-F238E27FC236}">
              <a16:creationId xmlns:a16="http://schemas.microsoft.com/office/drawing/2014/main" id="{00000000-0008-0000-0300-000029000000}"/>
            </a:ext>
          </a:extLst>
        </xdr:cNvPr>
        <xdr:cNvSpPr>
          <a:spLocks noGrp="1"/>
        </xdr:cNvSpPr>
      </xdr:nvSpPr>
      <xdr:spPr>
        <a:xfrm flipV="1">
          <a:off x="17625060" y="2110740"/>
          <a:ext cx="0" cy="288000"/>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sp>
    <xdr:clientData/>
  </xdr:twoCellAnchor>
  <xdr:twoCellAnchor editAs="oneCell">
    <xdr:from>
      <xdr:col>20</xdr:col>
      <xdr:colOff>335280</xdr:colOff>
      <xdr:row>17</xdr:row>
      <xdr:rowOff>114300</xdr:rowOff>
    </xdr:from>
    <xdr:to>
      <xdr:col>20</xdr:col>
      <xdr:colOff>335280</xdr:colOff>
      <xdr:row>18</xdr:row>
      <xdr:rowOff>111420</xdr:rowOff>
    </xdr:to>
    <xdr:sp macro="" textlink="">
      <xdr:nvSpPr>
        <xdr:cNvPr id="42" name="Conector recto de flecha 4110">
          <a:extLst>
            <a:ext uri="{FF2B5EF4-FFF2-40B4-BE49-F238E27FC236}">
              <a16:creationId xmlns:a16="http://schemas.microsoft.com/office/drawing/2014/main" id="{00000000-0008-0000-0300-00002A000000}"/>
            </a:ext>
          </a:extLst>
        </xdr:cNvPr>
        <xdr:cNvSpPr>
          <a:spLocks noGrp="1"/>
        </xdr:cNvSpPr>
      </xdr:nvSpPr>
      <xdr:spPr>
        <a:xfrm>
          <a:off x="12915900" y="3223260"/>
          <a:ext cx="0" cy="180000"/>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sp>
    <xdr:clientData/>
  </xdr:twoCellAnchor>
  <xdr:twoCellAnchor editAs="oneCell">
    <xdr:from>
      <xdr:col>5</xdr:col>
      <xdr:colOff>114300</xdr:colOff>
      <xdr:row>0</xdr:row>
      <xdr:rowOff>85725</xdr:rowOff>
    </xdr:from>
    <xdr:to>
      <xdr:col>14</xdr:col>
      <xdr:colOff>91440</xdr:colOff>
      <xdr:row>25</xdr:row>
      <xdr:rowOff>73361</xdr:rowOff>
    </xdr:to>
    <xdr:pic>
      <xdr:nvPicPr>
        <xdr:cNvPr id="43" name="/xl/media/image5.png">
          <a:extLst>
            <a:ext uri="{FF2B5EF4-FFF2-40B4-BE49-F238E27FC236}">
              <a16:creationId xmlns:a16="http://schemas.microsoft.com/office/drawing/2014/main" id="{00000000-0008-0000-0300-00002B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5</xdr:col>
      <xdr:colOff>0</xdr:colOff>
      <xdr:row>2</xdr:row>
      <xdr:rowOff>0</xdr:rowOff>
    </xdr:from>
    <xdr:to>
      <xdr:col>13</xdr:col>
      <xdr:colOff>0</xdr:colOff>
      <xdr:row>18</xdr:row>
      <xdr:rowOff>0</xdr:rowOff>
    </xdr:to>
    <xdr:graphicFrame macro="">
      <xdr:nvGraphicFramePr>
        <xdr:cNvPr id="2" name="Chart">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1"/>
  <sheetViews>
    <sheetView workbookViewId="0">
      <selection activeCell="H9" sqref="H9"/>
    </sheetView>
  </sheetViews>
  <sheetFormatPr baseColWidth="10" defaultColWidth="8.88671875" defaultRowHeight="14.4" x14ac:dyDescent="0.3"/>
  <cols>
    <col min="1" max="1" width="18" customWidth="1"/>
  </cols>
  <sheetData>
    <row r="1" spans="1:1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3">
      <c r="A2" s="2">
        <v>40224</v>
      </c>
      <c r="B2">
        <v>34.450000000000003</v>
      </c>
      <c r="C2">
        <v>10.27</v>
      </c>
      <c r="D2">
        <v>8.11</v>
      </c>
      <c r="E2">
        <v>72.08</v>
      </c>
      <c r="F2">
        <v>4.59</v>
      </c>
      <c r="G2">
        <v>4.59</v>
      </c>
      <c r="H2">
        <v>37.630000000000003</v>
      </c>
      <c r="I2">
        <v>2.89</v>
      </c>
      <c r="J2">
        <v>43.56</v>
      </c>
      <c r="K2">
        <v>6.94</v>
      </c>
      <c r="L2">
        <v>89.7</v>
      </c>
      <c r="M2">
        <v>59.55</v>
      </c>
      <c r="N2">
        <v>36.1</v>
      </c>
      <c r="O2">
        <v>61.48</v>
      </c>
      <c r="P2">
        <v>11.7</v>
      </c>
      <c r="Q2">
        <v>66.239999999999995</v>
      </c>
      <c r="R2">
        <v>34.17</v>
      </c>
    </row>
    <row r="3" spans="1:18" x14ac:dyDescent="0.3">
      <c r="A3" s="2">
        <v>45972</v>
      </c>
      <c r="B3">
        <v>49.13</v>
      </c>
      <c r="C3">
        <v>12.55</v>
      </c>
      <c r="D3">
        <v>7.48</v>
      </c>
      <c r="E3">
        <v>74.454999999999998</v>
      </c>
      <c r="F3">
        <v>5.65</v>
      </c>
      <c r="G3">
        <v>6.34</v>
      </c>
      <c r="H3">
        <v>51.95</v>
      </c>
      <c r="I3">
        <v>4.5599999999999996</v>
      </c>
      <c r="J3">
        <v>59.97</v>
      </c>
      <c r="K3">
        <v>9.14</v>
      </c>
      <c r="L3">
        <v>115.37</v>
      </c>
      <c r="M3">
        <v>70.150000000000006</v>
      </c>
      <c r="N3">
        <v>43.72</v>
      </c>
      <c r="O3">
        <v>86.08</v>
      </c>
      <c r="P3">
        <v>14.96</v>
      </c>
      <c r="Q3">
        <v>89.76</v>
      </c>
      <c r="R3">
        <v>45.94</v>
      </c>
    </row>
    <row r="6" spans="1:18" x14ac:dyDescent="0.3">
      <c r="A6" s="50" t="s">
        <v>18</v>
      </c>
      <c r="B6" s="50"/>
      <c r="C6" s="50"/>
      <c r="D6" s="50"/>
    </row>
    <row r="8" spans="1:18" ht="22.95" customHeight="1" x14ac:dyDescent="0.3">
      <c r="A8" s="15" t="s">
        <v>19</v>
      </c>
      <c r="B8" s="51" t="s">
        <v>20</v>
      </c>
      <c r="C8" s="51"/>
      <c r="D8" s="51"/>
    </row>
    <row r="9" spans="1:18" x14ac:dyDescent="0.3">
      <c r="A9" s="13" t="s">
        <v>21</v>
      </c>
      <c r="B9" s="49" t="s">
        <v>22</v>
      </c>
      <c r="C9" s="49"/>
      <c r="D9" s="49"/>
    </row>
    <row r="10" spans="1:18" x14ac:dyDescent="0.3">
      <c r="A10" s="13" t="s">
        <v>23</v>
      </c>
      <c r="B10" s="49" t="s">
        <v>24</v>
      </c>
      <c r="C10" s="49"/>
      <c r="D10" s="49"/>
    </row>
    <row r="11" spans="1:18" x14ac:dyDescent="0.3">
      <c r="A11" s="13" t="s">
        <v>25</v>
      </c>
      <c r="B11" s="49" t="s">
        <v>26</v>
      </c>
      <c r="C11" s="49"/>
      <c r="D11" s="49"/>
    </row>
    <row r="12" spans="1:18" x14ac:dyDescent="0.3">
      <c r="A12" s="13" t="s">
        <v>27</v>
      </c>
      <c r="B12" s="49">
        <v>3</v>
      </c>
      <c r="C12" s="49"/>
      <c r="D12" s="49"/>
    </row>
    <row r="13" spans="1:18" x14ac:dyDescent="0.3">
      <c r="A13" s="13" t="s">
        <v>28</v>
      </c>
      <c r="B13" s="49">
        <v>1024</v>
      </c>
      <c r="C13" s="49"/>
      <c r="D13" s="49"/>
    </row>
    <row r="14" spans="1:18" x14ac:dyDescent="0.3">
      <c r="A14" s="13" t="s">
        <v>29</v>
      </c>
      <c r="B14" s="49">
        <v>8192</v>
      </c>
      <c r="C14" s="49"/>
      <c r="D14" s="49"/>
    </row>
    <row r="15" spans="1:18" x14ac:dyDescent="0.3">
      <c r="A15" s="13" t="s">
        <v>30</v>
      </c>
      <c r="B15" s="49" t="s">
        <v>31</v>
      </c>
      <c r="C15" s="49"/>
      <c r="D15" s="49"/>
    </row>
    <row r="16" spans="1:18" x14ac:dyDescent="0.3">
      <c r="A16" s="13" t="s">
        <v>32</v>
      </c>
      <c r="B16" s="49" t="s">
        <v>33</v>
      </c>
      <c r="C16" s="49"/>
      <c r="D16" s="49"/>
    </row>
    <row r="17" spans="1:4" ht="28.8" x14ac:dyDescent="0.3">
      <c r="A17" s="13" t="s">
        <v>34</v>
      </c>
      <c r="B17" s="49" t="s">
        <v>35</v>
      </c>
      <c r="C17" s="49"/>
      <c r="D17" s="49"/>
    </row>
    <row r="18" spans="1:4" x14ac:dyDescent="0.3">
      <c r="A18" s="13" t="s">
        <v>36</v>
      </c>
      <c r="B18" s="49" t="s">
        <v>37</v>
      </c>
      <c r="C18" s="49"/>
      <c r="D18" s="49"/>
    </row>
    <row r="19" spans="1:4" x14ac:dyDescent="0.3">
      <c r="A19" s="13" t="s">
        <v>38</v>
      </c>
      <c r="B19" s="49" t="s">
        <v>39</v>
      </c>
      <c r="C19" s="49"/>
      <c r="D19" s="49"/>
    </row>
    <row r="20" spans="1:4" x14ac:dyDescent="0.3">
      <c r="A20" s="13" t="s">
        <v>40</v>
      </c>
      <c r="B20" s="49" t="s">
        <v>41</v>
      </c>
      <c r="C20" s="49"/>
      <c r="D20" s="49"/>
    </row>
    <row r="21" spans="1:4" x14ac:dyDescent="0.3">
      <c r="A21" s="13" t="s">
        <v>42</v>
      </c>
      <c r="B21" s="49" t="s">
        <v>43</v>
      </c>
      <c r="C21" s="49"/>
      <c r="D21" s="49"/>
    </row>
  </sheetData>
  <mergeCells count="15">
    <mergeCell ref="B18:D18"/>
    <mergeCell ref="B19:D19"/>
    <mergeCell ref="B20:D20"/>
    <mergeCell ref="B21:D21"/>
    <mergeCell ref="A6:D6"/>
    <mergeCell ref="B17:D17"/>
    <mergeCell ref="B14:D14"/>
    <mergeCell ref="B15:D15"/>
    <mergeCell ref="B16:D16"/>
    <mergeCell ref="B8:D8"/>
    <mergeCell ref="B9:D9"/>
    <mergeCell ref="B10:D10"/>
    <mergeCell ref="B11:D11"/>
    <mergeCell ref="B12:D12"/>
    <mergeCell ref="B13:D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8"/>
  <sheetViews>
    <sheetView tabSelected="1" topLeftCell="B1" zoomScale="90" zoomScaleNormal="90" workbookViewId="0">
      <selection activeCell="P11" sqref="P11"/>
    </sheetView>
  </sheetViews>
  <sheetFormatPr baseColWidth="10" defaultColWidth="8.88671875" defaultRowHeight="14.4" x14ac:dyDescent="0.3"/>
  <cols>
    <col min="1" max="1" width="12.6640625" customWidth="1"/>
    <col min="2" max="3" width="10.21875" style="5" customWidth="1"/>
    <col min="4" max="4" width="8" style="5" customWidth="1"/>
    <col min="5" max="5" width="14.109375" style="5" customWidth="1"/>
    <col min="6" max="6" width="12.6640625" style="5" customWidth="1"/>
    <col min="7" max="7" width="13.6640625" style="5" customWidth="1"/>
    <col min="8" max="8" width="9.88671875" style="5" customWidth="1"/>
    <col min="9" max="9" width="12" style="5" customWidth="1"/>
    <col min="10" max="10" width="13.6640625" style="5" customWidth="1"/>
    <col min="11" max="11" width="16.77734375" style="5" customWidth="1"/>
    <col min="12" max="12" width="14.109375" style="5" customWidth="1"/>
    <col min="13" max="13" width="8.88671875" style="5"/>
    <col min="14" max="14" width="22.21875" customWidth="1"/>
    <col min="16" max="16" width="8.88671875" style="11"/>
  </cols>
  <sheetData>
    <row r="1" spans="1:16" s="4" customFormat="1" ht="28.8" x14ac:dyDescent="0.3">
      <c r="A1" s="6" t="s">
        <v>44</v>
      </c>
      <c r="B1" s="6" t="s">
        <v>45</v>
      </c>
      <c r="C1" s="6" t="s">
        <v>46</v>
      </c>
      <c r="D1" s="6" t="s">
        <v>47</v>
      </c>
      <c r="E1" s="7" t="s">
        <v>48</v>
      </c>
      <c r="F1" s="6" t="s">
        <v>49</v>
      </c>
      <c r="G1" s="6" t="s">
        <v>50</v>
      </c>
      <c r="H1" s="6" t="s">
        <v>51</v>
      </c>
      <c r="I1" s="6" t="s">
        <v>52</v>
      </c>
      <c r="J1" s="6" t="s">
        <v>53</v>
      </c>
      <c r="K1" s="7" t="s">
        <v>54</v>
      </c>
      <c r="L1" s="6" t="s">
        <v>55</v>
      </c>
      <c r="M1" s="6" t="s">
        <v>56</v>
      </c>
      <c r="N1" s="6" t="s">
        <v>57</v>
      </c>
      <c r="O1" s="52" t="s">
        <v>56</v>
      </c>
      <c r="P1" s="52"/>
    </row>
    <row r="2" spans="1:16" x14ac:dyDescent="0.3">
      <c r="A2" s="8" t="s">
        <v>1</v>
      </c>
      <c r="B2" s="9">
        <v>34.450000000000003</v>
      </c>
      <c r="C2" s="9">
        <v>49.13</v>
      </c>
      <c r="D2" s="9">
        <v>14.68</v>
      </c>
      <c r="E2" s="9">
        <v>0.93282359081419619</v>
      </c>
      <c r="F2" s="9">
        <v>42.61248185776487</v>
      </c>
      <c r="G2" s="63" t="s">
        <v>58</v>
      </c>
      <c r="H2" s="59" t="s">
        <v>59</v>
      </c>
      <c r="I2" s="9">
        <v>0.41787072243346018</v>
      </c>
      <c r="J2" s="9">
        <v>0.58212927756653987</v>
      </c>
      <c r="K2" s="9">
        <v>0.58212927756653987</v>
      </c>
      <c r="L2" s="9">
        <v>0.76854097038225222</v>
      </c>
      <c r="M2" s="9">
        <v>0.38058838387031768</v>
      </c>
      <c r="N2" s="9" t="str">
        <f>IF(M2&lt;0.25,"Condicion Critica",IF(M2&lt;0.5,"Baja Sostenibilidad",IF(M2&lt;0.75,"Sostenibilidad Moderada","Alta Sostenibilidad")))</f>
        <v>Baja Sostenibilidad</v>
      </c>
      <c r="O2" s="6" t="s">
        <v>60</v>
      </c>
      <c r="P2" s="6" t="s">
        <v>61</v>
      </c>
    </row>
    <row r="3" spans="1:16" x14ac:dyDescent="0.3">
      <c r="A3" s="8" t="s">
        <v>2</v>
      </c>
      <c r="B3" s="9">
        <v>10.27</v>
      </c>
      <c r="C3" s="9">
        <v>12.55</v>
      </c>
      <c r="D3" s="9">
        <v>2.2800000000000011</v>
      </c>
      <c r="E3" s="9">
        <v>0.14487995824634661</v>
      </c>
      <c r="F3" s="9">
        <v>22.200584225900691</v>
      </c>
      <c r="G3" s="63" t="s">
        <v>58</v>
      </c>
      <c r="H3" s="60" t="s">
        <v>62</v>
      </c>
      <c r="I3" s="9">
        <v>0.88935361216730047</v>
      </c>
      <c r="J3" s="9">
        <v>0.1106463878326996</v>
      </c>
      <c r="K3" s="9">
        <v>0.1106463878326996</v>
      </c>
      <c r="L3" s="9">
        <v>0.45716401097878079</v>
      </c>
      <c r="M3" s="9">
        <v>0.82005008753808406</v>
      </c>
      <c r="N3" s="9" t="str">
        <f t="shared" ref="N3:N18" si="0">IF(M3&lt;0.25,"Condicion Critica",IF(M3&lt;0.5,"Baja Sostenibilidad",IF(M3&lt;0.75,"Sostenibilidad Moderada","Alta Sostenibilidad")))</f>
        <v>Alta Sostenibilidad</v>
      </c>
      <c r="O3" s="12" t="s">
        <v>63</v>
      </c>
      <c r="P3" s="12">
        <f>COUNTIF(N2:N18,"Condicion Critica")</f>
        <v>3</v>
      </c>
    </row>
    <row r="4" spans="1:16" x14ac:dyDescent="0.3">
      <c r="A4" s="8" t="s">
        <v>3</v>
      </c>
      <c r="B4" s="9">
        <v>8.11</v>
      </c>
      <c r="C4" s="9">
        <v>7.48</v>
      </c>
      <c r="D4" s="9">
        <v>-0.62999999999999901</v>
      </c>
      <c r="E4" s="9">
        <v>-4.0032620041753592E-2</v>
      </c>
      <c r="F4" s="9">
        <v>-7.7681874229346377</v>
      </c>
      <c r="G4" s="64" t="s">
        <v>64</v>
      </c>
      <c r="H4" s="60" t="s">
        <v>62</v>
      </c>
      <c r="I4" s="9">
        <v>1</v>
      </c>
      <c r="J4" s="9">
        <v>0</v>
      </c>
      <c r="K4" s="9">
        <v>0</v>
      </c>
      <c r="L4" s="9">
        <v>0</v>
      </c>
      <c r="M4" s="9">
        <v>1</v>
      </c>
      <c r="N4" s="9" t="str">
        <f t="shared" si="0"/>
        <v>Alta Sostenibilidad</v>
      </c>
      <c r="O4" s="12" t="s">
        <v>65</v>
      </c>
      <c r="P4" s="12">
        <f>COUNTIF(N2:N19,"Baja Sostenibilidad")</f>
        <v>4</v>
      </c>
    </row>
    <row r="5" spans="1:16" x14ac:dyDescent="0.3">
      <c r="A5" s="8" t="s">
        <v>4</v>
      </c>
      <c r="B5" s="9">
        <v>72.08</v>
      </c>
      <c r="C5" s="9">
        <v>74.454999999999998</v>
      </c>
      <c r="D5" s="9">
        <v>2.375</v>
      </c>
      <c r="E5" s="9">
        <v>0.1509166231732777</v>
      </c>
      <c r="F5" s="9">
        <v>3.2949500554938962</v>
      </c>
      <c r="G5" s="63" t="s">
        <v>58</v>
      </c>
      <c r="H5" s="60" t="s">
        <v>62</v>
      </c>
      <c r="I5" s="9">
        <v>0.8857414448669203</v>
      </c>
      <c r="J5" s="9">
        <v>0.11425855513307979</v>
      </c>
      <c r="K5" s="9">
        <v>0.11425855513307979</v>
      </c>
      <c r="L5" s="9">
        <v>0.1687646181469242</v>
      </c>
      <c r="M5" s="9">
        <v>0.87484023226415131</v>
      </c>
      <c r="N5" s="9" t="str">
        <f t="shared" si="0"/>
        <v>Alta Sostenibilidad</v>
      </c>
      <c r="O5" s="12" t="s">
        <v>66</v>
      </c>
      <c r="P5" s="12">
        <f>COUNTIF(N2:N20,"Sostenibilidad Moderada")</f>
        <v>3</v>
      </c>
    </row>
    <row r="6" spans="1:16" x14ac:dyDescent="0.3">
      <c r="A6" s="8" t="s">
        <v>5</v>
      </c>
      <c r="B6" s="9">
        <v>4.59</v>
      </c>
      <c r="C6" s="9">
        <v>5.65</v>
      </c>
      <c r="D6" s="9">
        <v>1.06</v>
      </c>
      <c r="E6" s="9">
        <v>6.7356471816283958E-2</v>
      </c>
      <c r="F6" s="9">
        <v>23.093681917211342</v>
      </c>
      <c r="G6" s="63" t="s">
        <v>58</v>
      </c>
      <c r="H6" s="60" t="s">
        <v>62</v>
      </c>
      <c r="I6" s="9">
        <v>0.93574144486692024</v>
      </c>
      <c r="J6" s="9">
        <v>6.4258555133079834E-2</v>
      </c>
      <c r="K6" s="9">
        <v>6.4258555133079834E-2</v>
      </c>
      <c r="L6" s="9">
        <v>0.47078793015503878</v>
      </c>
      <c r="M6" s="9">
        <v>0.85443556986252833</v>
      </c>
      <c r="N6" s="9" t="str">
        <f t="shared" si="0"/>
        <v>Alta Sostenibilidad</v>
      </c>
      <c r="O6" s="12" t="s">
        <v>67</v>
      </c>
      <c r="P6" s="12">
        <f>COUNTIF(N2:N18,"Alta Sostenibilidad")</f>
        <v>7</v>
      </c>
    </row>
    <row r="7" spans="1:16" x14ac:dyDescent="0.3">
      <c r="A7" s="8" t="s">
        <v>6</v>
      </c>
      <c r="B7" s="9">
        <v>4.59</v>
      </c>
      <c r="C7" s="9">
        <v>6.34</v>
      </c>
      <c r="D7" s="9">
        <v>1.75</v>
      </c>
      <c r="E7" s="9">
        <v>0.11120172233820461</v>
      </c>
      <c r="F7" s="9">
        <v>38.126361655773422</v>
      </c>
      <c r="G7" s="63" t="s">
        <v>58</v>
      </c>
      <c r="H7" s="60" t="s">
        <v>62</v>
      </c>
      <c r="I7" s="9">
        <v>0.90950570342205339</v>
      </c>
      <c r="J7" s="9">
        <v>9.0494296577946734E-2</v>
      </c>
      <c r="K7" s="9">
        <v>9.0494296577946734E-2</v>
      </c>
      <c r="L7" s="9">
        <v>0.70010664383370147</v>
      </c>
      <c r="M7" s="9">
        <v>0.78758323397090235</v>
      </c>
      <c r="N7" s="9" t="str">
        <f t="shared" si="0"/>
        <v>Alta Sostenibilidad</v>
      </c>
    </row>
    <row r="8" spans="1:16" x14ac:dyDescent="0.3">
      <c r="A8" s="8" t="s">
        <v>7</v>
      </c>
      <c r="B8" s="9">
        <v>37.630000000000003</v>
      </c>
      <c r="C8" s="9">
        <v>51.95</v>
      </c>
      <c r="D8" s="9">
        <v>14.32</v>
      </c>
      <c r="E8" s="9">
        <v>0.90994780793319419</v>
      </c>
      <c r="F8" s="9">
        <v>38.054743555673667</v>
      </c>
      <c r="G8" s="63" t="s">
        <v>58</v>
      </c>
      <c r="H8" s="59" t="s">
        <v>59</v>
      </c>
      <c r="I8" s="9">
        <v>0.43155893536121681</v>
      </c>
      <c r="J8" s="9">
        <v>0.56844106463878319</v>
      </c>
      <c r="K8" s="9">
        <v>0.56844106463878319</v>
      </c>
      <c r="L8" s="9">
        <v>0.69901413265960544</v>
      </c>
      <c r="M8" s="9">
        <v>0.40544432175705242</v>
      </c>
      <c r="N8" s="9" t="str">
        <f t="shared" si="0"/>
        <v>Baja Sostenibilidad</v>
      </c>
    </row>
    <row r="9" spans="1:16" x14ac:dyDescent="0.3">
      <c r="A9" s="8" t="s">
        <v>8</v>
      </c>
      <c r="B9" s="9">
        <v>2.89</v>
      </c>
      <c r="C9" s="9">
        <v>4.5599999999999996</v>
      </c>
      <c r="D9" s="9">
        <v>1.669999999999999</v>
      </c>
      <c r="E9" s="9">
        <v>0.1061182150313152</v>
      </c>
      <c r="F9" s="9">
        <v>57.785467128027648</v>
      </c>
      <c r="G9" s="63" t="s">
        <v>58</v>
      </c>
      <c r="H9" s="60" t="s">
        <v>62</v>
      </c>
      <c r="I9" s="9">
        <v>0.91254752851711041</v>
      </c>
      <c r="J9" s="9">
        <v>8.7452471482889677E-2</v>
      </c>
      <c r="K9" s="9">
        <v>8.7452471482889677E-2</v>
      </c>
      <c r="L9" s="9">
        <v>1</v>
      </c>
      <c r="M9" s="9">
        <v>0.73003802281368824</v>
      </c>
      <c r="N9" s="9" t="str">
        <f t="shared" si="0"/>
        <v>Sostenibilidad Moderada</v>
      </c>
    </row>
    <row r="10" spans="1:16" x14ac:dyDescent="0.3">
      <c r="A10" s="8" t="s">
        <v>9</v>
      </c>
      <c r="B10" s="9">
        <v>43.56</v>
      </c>
      <c r="C10" s="9">
        <v>59.97</v>
      </c>
      <c r="D10" s="9">
        <v>16.41</v>
      </c>
      <c r="E10" s="9">
        <v>1.042754436325678</v>
      </c>
      <c r="F10" s="9">
        <v>37.672176308539932</v>
      </c>
      <c r="G10" s="63" t="s">
        <v>58</v>
      </c>
      <c r="H10" s="61" t="s">
        <v>68</v>
      </c>
      <c r="I10" s="9">
        <v>0.35209125475285202</v>
      </c>
      <c r="J10" s="9">
        <v>0.64790874524714814</v>
      </c>
      <c r="K10" s="9">
        <v>0.64790874524714803</v>
      </c>
      <c r="L10" s="9">
        <v>0.69317819186035801</v>
      </c>
      <c r="M10" s="9">
        <v>0.34303736543020991</v>
      </c>
      <c r="N10" s="9" t="str">
        <f t="shared" si="0"/>
        <v>Baja Sostenibilidad</v>
      </c>
    </row>
    <row r="11" spans="1:16" x14ac:dyDescent="0.3">
      <c r="A11" s="8" t="s">
        <v>10</v>
      </c>
      <c r="B11" s="9">
        <v>6.94</v>
      </c>
      <c r="C11" s="9">
        <v>9.14</v>
      </c>
      <c r="D11" s="9">
        <v>2.2000000000000002</v>
      </c>
      <c r="E11" s="9">
        <v>0.1397964509394572</v>
      </c>
      <c r="F11" s="9">
        <v>31.70028818443804</v>
      </c>
      <c r="G11" s="63" t="s">
        <v>58</v>
      </c>
      <c r="H11" s="60" t="s">
        <v>62</v>
      </c>
      <c r="I11" s="9">
        <v>0.89239543726235759</v>
      </c>
      <c r="J11" s="9">
        <v>0.1076045627376425</v>
      </c>
      <c r="K11" s="9">
        <v>0.1076045627376426</v>
      </c>
      <c r="L11" s="9">
        <v>0.60207895162716452</v>
      </c>
      <c r="M11" s="9">
        <v>0.79350055948445308</v>
      </c>
      <c r="N11" s="9" t="str">
        <f t="shared" si="0"/>
        <v>Alta Sostenibilidad</v>
      </c>
    </row>
    <row r="12" spans="1:16" x14ac:dyDescent="0.3">
      <c r="A12" s="8" t="s">
        <v>11</v>
      </c>
      <c r="B12" s="9">
        <v>89.7</v>
      </c>
      <c r="C12" s="9">
        <v>115.37</v>
      </c>
      <c r="D12" s="9">
        <v>25.67</v>
      </c>
      <c r="E12" s="9">
        <v>1.631170407098121</v>
      </c>
      <c r="F12" s="9">
        <v>28.617614269788181</v>
      </c>
      <c r="G12" s="63" t="s">
        <v>58</v>
      </c>
      <c r="H12" s="61" t="s">
        <v>68</v>
      </c>
      <c r="I12" s="9">
        <v>0</v>
      </c>
      <c r="J12" s="9">
        <v>1</v>
      </c>
      <c r="K12" s="9">
        <v>1</v>
      </c>
      <c r="L12" s="9">
        <v>0.55505374859667067</v>
      </c>
      <c r="M12" s="9">
        <v>8.8989250280665844E-2</v>
      </c>
      <c r="N12" s="62" t="str">
        <f t="shared" si="0"/>
        <v>Condicion Critica</v>
      </c>
    </row>
    <row r="13" spans="1:16" x14ac:dyDescent="0.3">
      <c r="A13" s="8" t="s">
        <v>12</v>
      </c>
      <c r="B13" s="9">
        <v>59.55</v>
      </c>
      <c r="C13" s="9">
        <v>70.150000000000006</v>
      </c>
      <c r="D13" s="9">
        <v>10.60000000000001</v>
      </c>
      <c r="E13" s="9">
        <v>0.6735647181628398</v>
      </c>
      <c r="F13" s="9">
        <v>17.800167926112529</v>
      </c>
      <c r="G13" s="63" t="s">
        <v>58</v>
      </c>
      <c r="H13" s="59" t="s">
        <v>59</v>
      </c>
      <c r="I13" s="9">
        <v>0.5730038022813686</v>
      </c>
      <c r="J13" s="9">
        <v>0.42699619771863151</v>
      </c>
      <c r="K13" s="9">
        <v>0.42699619771863151</v>
      </c>
      <c r="L13" s="9">
        <v>0.3900370700030153</v>
      </c>
      <c r="M13" s="9">
        <v>0.58039562782449172</v>
      </c>
      <c r="N13" s="9" t="str">
        <f t="shared" si="0"/>
        <v>Sostenibilidad Moderada</v>
      </c>
    </row>
    <row r="14" spans="1:16" x14ac:dyDescent="0.3">
      <c r="A14" s="8" t="s">
        <v>13</v>
      </c>
      <c r="B14" s="9">
        <v>36.1</v>
      </c>
      <c r="C14" s="9">
        <v>43.72</v>
      </c>
      <c r="D14" s="9">
        <v>7.6199999999999974</v>
      </c>
      <c r="E14" s="9">
        <v>0.48420407098121071</v>
      </c>
      <c r="F14" s="9">
        <v>21.108033240997219</v>
      </c>
      <c r="G14" s="63" t="s">
        <v>58</v>
      </c>
      <c r="H14" s="59" t="s">
        <v>59</v>
      </c>
      <c r="I14" s="9">
        <v>0.68631178707224361</v>
      </c>
      <c r="J14" s="9">
        <v>0.3136882129277565</v>
      </c>
      <c r="K14" s="9">
        <v>0.31368821292775662</v>
      </c>
      <c r="L14" s="9">
        <v>0.44049749570381458</v>
      </c>
      <c r="M14" s="9">
        <v>0.66094993051703188</v>
      </c>
      <c r="N14" s="9" t="str">
        <f t="shared" si="0"/>
        <v>Sostenibilidad Moderada</v>
      </c>
    </row>
    <row r="15" spans="1:16" x14ac:dyDescent="0.3">
      <c r="A15" s="8" t="s">
        <v>14</v>
      </c>
      <c r="B15" s="9">
        <v>61.48</v>
      </c>
      <c r="C15" s="9">
        <v>86.08</v>
      </c>
      <c r="D15" s="9">
        <v>24.6</v>
      </c>
      <c r="E15" s="9">
        <v>1.5631784968684761</v>
      </c>
      <c r="F15" s="9">
        <v>40.013012361743662</v>
      </c>
      <c r="G15" s="63" t="s">
        <v>58</v>
      </c>
      <c r="H15" s="61" t="s">
        <v>68</v>
      </c>
      <c r="I15" s="9">
        <v>4.0684410646387878E-2</v>
      </c>
      <c r="J15" s="9">
        <v>0.95931558935361216</v>
      </c>
      <c r="K15" s="9">
        <v>0.95931558935361216</v>
      </c>
      <c r="L15" s="9">
        <v>0.7288868959629482</v>
      </c>
      <c r="M15" s="9">
        <v>8.677014932452054E-2</v>
      </c>
      <c r="N15" s="62" t="str">
        <f t="shared" si="0"/>
        <v>Condicion Critica</v>
      </c>
    </row>
    <row r="16" spans="1:16" x14ac:dyDescent="0.3">
      <c r="A16" s="8" t="s">
        <v>15</v>
      </c>
      <c r="B16" s="9">
        <v>11.7</v>
      </c>
      <c r="C16" s="9">
        <v>14.96</v>
      </c>
      <c r="D16" s="9">
        <v>3.260000000000002</v>
      </c>
      <c r="E16" s="9">
        <v>0.20715292275574121</v>
      </c>
      <c r="F16" s="9">
        <v>27.863247863247881</v>
      </c>
      <c r="G16" s="63" t="s">
        <v>58</v>
      </c>
      <c r="H16" s="60" t="s">
        <v>62</v>
      </c>
      <c r="I16" s="9">
        <v>0.85209125475285175</v>
      </c>
      <c r="J16" s="9">
        <v>0.14790874524714831</v>
      </c>
      <c r="K16" s="9">
        <v>0.14790874524714831</v>
      </c>
      <c r="L16" s="9">
        <v>0.54354613072688673</v>
      </c>
      <c r="M16" s="9">
        <v>0.77296377765690405</v>
      </c>
      <c r="N16" s="9" t="str">
        <f t="shared" si="0"/>
        <v>Alta Sostenibilidad</v>
      </c>
    </row>
    <row r="17" spans="1:14" x14ac:dyDescent="0.3">
      <c r="A17" s="8" t="s">
        <v>16</v>
      </c>
      <c r="B17" s="9">
        <v>66.239999999999995</v>
      </c>
      <c r="C17" s="9">
        <v>89.76</v>
      </c>
      <c r="D17" s="9">
        <v>23.52000000000001</v>
      </c>
      <c r="E17" s="9">
        <v>1.4945511482254701</v>
      </c>
      <c r="F17" s="9">
        <v>35.507246376811622</v>
      </c>
      <c r="G17" s="63" t="s">
        <v>58</v>
      </c>
      <c r="H17" s="61" t="s">
        <v>68</v>
      </c>
      <c r="I17" s="9">
        <v>8.1749049429657494E-2</v>
      </c>
      <c r="J17" s="9">
        <v>0.91825095057034256</v>
      </c>
      <c r="K17" s="9">
        <v>0.91825095057034245</v>
      </c>
      <c r="L17" s="9">
        <v>0.66015287928918365</v>
      </c>
      <c r="M17" s="9">
        <v>0.1333686636858892</v>
      </c>
      <c r="N17" s="62" t="str">
        <f t="shared" si="0"/>
        <v>Condicion Critica</v>
      </c>
    </row>
    <row r="18" spans="1:14" x14ac:dyDescent="0.3">
      <c r="A18" s="8" t="s">
        <v>17</v>
      </c>
      <c r="B18" s="9">
        <v>34.17</v>
      </c>
      <c r="C18" s="9">
        <v>45.94</v>
      </c>
      <c r="D18" s="9">
        <v>11.77</v>
      </c>
      <c r="E18" s="9">
        <v>0.74791101252609582</v>
      </c>
      <c r="F18" s="9">
        <v>34.445419959028371</v>
      </c>
      <c r="G18" s="63" t="s">
        <v>58</v>
      </c>
      <c r="H18" s="59" t="s">
        <v>59</v>
      </c>
      <c r="I18" s="9">
        <v>0.52851711026616</v>
      </c>
      <c r="J18" s="9">
        <v>0.47148288973384012</v>
      </c>
      <c r="K18" s="9">
        <v>0.47148288973384012</v>
      </c>
      <c r="L18" s="9">
        <v>0.64395505744299253</v>
      </c>
      <c r="M18" s="9">
        <v>0.49402267672432942</v>
      </c>
      <c r="N18" s="9" t="str">
        <f t="shared" si="0"/>
        <v>Baja Sostenibilidad</v>
      </c>
    </row>
  </sheetData>
  <mergeCells count="1">
    <mergeCell ref="O1:P1"/>
  </mergeCells>
  <conditionalFormatting sqref="I2:I18">
    <cfRule type="colorScale" priority="13">
      <colorScale>
        <cfvo type="min"/>
        <cfvo type="percentile" val="50"/>
        <cfvo type="max"/>
        <color rgb="FFF8696B"/>
        <color rgb="FFFFEB84"/>
        <color rgb="FF63BE7B"/>
      </colorScale>
    </cfRule>
    <cfRule type="colorScale" priority="12">
      <colorScale>
        <cfvo type="num" val="0"/>
        <cfvo type="num" val="1"/>
        <color theme="0"/>
        <color rgb="FF7030A0"/>
      </colorScale>
    </cfRule>
    <cfRule type="colorScale" priority="10">
      <colorScale>
        <cfvo type="num" val="0"/>
        <cfvo type="num" val="1"/>
        <color rgb="FFFF7128"/>
        <color rgb="FFFFEF9C"/>
      </colorScale>
    </cfRule>
    <cfRule type="colorScale" priority="9">
      <colorScale>
        <cfvo type="num" val="0"/>
        <cfvo type="num" val="1"/>
        <color rgb="FFFF7128"/>
        <color rgb="FFFFEF9C"/>
      </colorScale>
    </cfRule>
    <cfRule type="dataBar" priority="2">
      <dataBar>
        <cfvo type="num" val="0"/>
        <cfvo type="num" val="1"/>
        <color theme="9" tint="-0.249977111117893"/>
      </dataBar>
      <extLst>
        <ext xmlns:x14="http://schemas.microsoft.com/office/spreadsheetml/2009/9/main" uri="{B025F937-C7B1-47D3-B67F-A62EFF666E3E}">
          <x14:id>{7E5E13A9-35A0-4DEA-BB07-12E37443E75F}</x14:id>
        </ext>
      </extLst>
    </cfRule>
    <cfRule type="dataBar" priority="1">
      <dataBar>
        <cfvo type="num" val="0"/>
        <cfvo type="num" val="1"/>
        <color theme="9" tint="-0.249977111117893"/>
      </dataBar>
      <extLst>
        <ext xmlns:x14="http://schemas.microsoft.com/office/spreadsheetml/2009/9/main" uri="{B025F937-C7B1-47D3-B67F-A62EFF666E3E}">
          <x14:id>{3FF42BF3-2472-4741-8CD3-D8ED5ED1FE43}</x14:id>
        </ext>
      </extLst>
    </cfRule>
  </conditionalFormatting>
  <conditionalFormatting sqref="L2:L18">
    <cfRule type="dataBar" priority="11">
      <dataBar>
        <cfvo type="num" val="0"/>
        <cfvo type="num" val="1"/>
        <color rgb="FF00B050"/>
      </dataBar>
      <extLst>
        <ext xmlns:x14="http://schemas.microsoft.com/office/spreadsheetml/2009/9/main" uri="{B025F937-C7B1-47D3-B67F-A62EFF666E3E}">
          <x14:id>{3819BC3E-438F-4F96-BE78-1EB9DE2CB99F}</x14:id>
        </ext>
      </extLst>
    </cfRule>
  </conditionalFormatting>
  <conditionalFormatting sqref="M2:M17">
    <cfRule type="dataBar" priority="8">
      <dataBar>
        <cfvo type="percent" val="0"/>
        <cfvo type="num" val="1"/>
        <color rgb="FF002060"/>
      </dataBar>
      <extLst>
        <ext xmlns:x14="http://schemas.microsoft.com/office/spreadsheetml/2009/9/main" uri="{B025F937-C7B1-47D3-B67F-A62EFF666E3E}">
          <x14:id>{1FE7C515-86B8-4D84-9824-80174FD38636}</x14:id>
        </ext>
      </extLst>
    </cfRule>
  </conditionalFormatting>
  <conditionalFormatting sqref="M2:M18">
    <cfRule type="dataBar" priority="7">
      <dataBar>
        <cfvo type="num" val="0"/>
        <cfvo type="num" val="1"/>
        <color rgb="FF002060"/>
      </dataBar>
      <extLst>
        <ext xmlns:x14="http://schemas.microsoft.com/office/spreadsheetml/2009/9/main" uri="{B025F937-C7B1-47D3-B67F-A62EFF666E3E}">
          <x14:id>{3A12E466-D3B2-4C38-8494-A1E1BF819C6B}</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7E5E13A9-35A0-4DEA-BB07-12E37443E75F}">
            <x14:dataBar minLength="0" maxLength="100" border="1" direction="rightToLeft">
              <x14:cfvo type="num">
                <xm:f>0</xm:f>
              </x14:cfvo>
              <x14:cfvo type="num">
                <xm:f>1</xm:f>
              </x14:cfvo>
              <x14:borderColor rgb="FF000000"/>
              <x14:negativeFillColor rgb="FFFF0000"/>
              <x14:axisColor rgb="FF000000"/>
            </x14:dataBar>
          </x14:cfRule>
          <x14:cfRule type="dataBar" id="{3FF42BF3-2472-4741-8CD3-D8ED5ED1FE43}">
            <x14:dataBar minLength="0" maxLength="100" gradient="0" direction="rightToLeft">
              <x14:cfvo type="num">
                <xm:f>0</xm:f>
              </x14:cfvo>
              <x14:cfvo type="num">
                <xm:f>1</xm:f>
              </x14:cfvo>
              <x14:negativeFillColor rgb="FFFF0000"/>
              <x14:axisColor rgb="FF000000"/>
            </x14:dataBar>
          </x14:cfRule>
          <xm:sqref>I2:I18</xm:sqref>
        </x14:conditionalFormatting>
        <x14:conditionalFormatting xmlns:xm="http://schemas.microsoft.com/office/excel/2006/main">
          <x14:cfRule type="dataBar" id="{3819BC3E-438F-4F96-BE78-1EB9DE2CB99F}">
            <x14:dataBar minLength="0" maxLength="100" direction="rightToLeft">
              <x14:cfvo type="num">
                <xm:f>0</xm:f>
              </x14:cfvo>
              <x14:cfvo type="num">
                <xm:f>1</xm:f>
              </x14:cfvo>
              <x14:negativeFillColor rgb="FFFF0000"/>
              <x14:axisColor rgb="FF000000"/>
            </x14:dataBar>
          </x14:cfRule>
          <xm:sqref>L2:L18</xm:sqref>
        </x14:conditionalFormatting>
        <x14:conditionalFormatting xmlns:xm="http://schemas.microsoft.com/office/excel/2006/main">
          <x14:cfRule type="dataBar" id="{1FE7C515-86B8-4D84-9824-80174FD38636}">
            <x14:dataBar minLength="0" maxLength="100" direction="rightToLeft">
              <x14:cfvo type="percent">
                <xm:f>0</xm:f>
              </x14:cfvo>
              <x14:cfvo type="num">
                <xm:f>1</xm:f>
              </x14:cfvo>
              <x14:negativeFillColor rgb="FFFF0000"/>
              <x14:axisColor rgb="FF000000"/>
            </x14:dataBar>
          </x14:cfRule>
          <xm:sqref>M2:M17</xm:sqref>
        </x14:conditionalFormatting>
        <x14:conditionalFormatting xmlns:xm="http://schemas.microsoft.com/office/excel/2006/main">
          <x14:cfRule type="dataBar" id="{3A12E466-D3B2-4C38-8494-A1E1BF819C6B}">
            <x14:dataBar minLength="0" maxLength="100" direction="rightToLeft">
              <x14:cfvo type="num">
                <xm:f>0</xm:f>
              </x14:cfvo>
              <x14:cfvo type="num">
                <xm:f>1</xm:f>
              </x14:cfvo>
              <x14:negativeFillColor rgb="FFFF0000"/>
              <x14:axisColor rgb="FF000000"/>
            </x14:dataBar>
          </x14:cfRule>
          <xm:sqref>M2:M18</xm:sqref>
        </x14:conditionalFormatting>
        <x14:conditionalFormatting xmlns:xm="http://schemas.microsoft.com/office/excel/2006/main">
          <x14:cfRule type="containsText" priority="6" operator="containsText" id="{79166D14-3D5E-48B7-BBC9-B3210E920F8E}">
            <xm:f>NOT(ISERROR(SEARCH($N$3,N2)))</xm:f>
            <xm:f>$N$3</xm:f>
            <x14:dxf>
              <font>
                <color rgb="FF006100"/>
              </font>
              <fill>
                <patternFill>
                  <bgColor rgb="FFC6EFCE"/>
                </patternFill>
              </fill>
            </x14:dxf>
          </x14:cfRule>
          <xm:sqref>N2:N18</xm:sqref>
        </x14:conditionalFormatting>
        <x14:conditionalFormatting xmlns:xm="http://schemas.microsoft.com/office/excel/2006/main">
          <x14:cfRule type="containsText" priority="5" operator="containsText" id="{0477BD7C-405A-4FD0-8707-FA0F678EDB4E}">
            <xm:f>NOT(ISERROR(SEARCH($N$2,N2)))</xm:f>
            <xm:f>$N$2</xm:f>
            <x14:dxf>
              <font>
                <color rgb="FF9C0006"/>
              </font>
              <fill>
                <patternFill>
                  <bgColor rgb="FFFFC7CE"/>
                </patternFill>
              </fill>
            </x14:dxf>
          </x14:cfRule>
          <xm:sqref>N2 N8:N10 N12:N15 N17:N18</xm:sqref>
        </x14:conditionalFormatting>
        <x14:conditionalFormatting xmlns:xm="http://schemas.microsoft.com/office/excel/2006/main">
          <x14:cfRule type="containsText" priority="4" operator="containsText" id="{A685BE0B-8FE2-4EBF-8770-1626CC8234ED}">
            <xm:f>NOT(ISERROR(SEARCH($N$17,N9)))</xm:f>
            <xm:f>$N$17</xm:f>
            <x14:dxf>
              <font>
                <color rgb="FF9C0006"/>
              </font>
            </x14:dxf>
          </x14:cfRule>
          <xm:sqref>N9 N12:N15 N17</xm:sqref>
        </x14:conditionalFormatting>
        <x14:conditionalFormatting xmlns:xm="http://schemas.microsoft.com/office/excel/2006/main">
          <x14:cfRule type="containsText" priority="3" operator="containsText" id="{2CC5ADFF-0439-4A46-9EBA-7110EC01E3C7}">
            <xm:f>NOT(ISERROR(SEARCH($N$15,N9)))</xm:f>
            <xm:f>$N$15</xm:f>
            <x14:dxf>
              <font>
                <color rgb="FF9C5700"/>
              </font>
              <fill>
                <patternFill>
                  <bgColor rgb="FFFFEB9C"/>
                </patternFill>
              </fill>
            </x14:dxf>
          </x14:cfRule>
          <xm:sqref>N9:N17</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35"/>
  <sheetViews>
    <sheetView topLeftCell="A25" workbookViewId="0">
      <selection sqref="A1:D1"/>
    </sheetView>
  </sheetViews>
  <sheetFormatPr baseColWidth="10" defaultColWidth="8.88671875" defaultRowHeight="14.4" x14ac:dyDescent="0.3"/>
  <cols>
    <col min="1" max="1" width="12.6640625" style="5" customWidth="1"/>
    <col min="2" max="4" width="12" style="5" customWidth="1"/>
    <col min="6" max="6" width="12.88671875" customWidth="1"/>
    <col min="7" max="7" width="10.77734375" customWidth="1"/>
    <col min="11" max="11" width="12.88671875" customWidth="1"/>
    <col min="12" max="14" width="12" customWidth="1"/>
  </cols>
  <sheetData>
    <row r="1" spans="1:14" x14ac:dyDescent="0.3">
      <c r="A1" s="55" t="s">
        <v>69</v>
      </c>
      <c r="B1" s="55"/>
      <c r="C1" s="55"/>
      <c r="D1" s="55"/>
      <c r="F1" s="54" t="s">
        <v>70</v>
      </c>
      <c r="G1" s="54"/>
      <c r="H1" s="54"/>
      <c r="I1" s="54"/>
      <c r="L1" s="54" t="s">
        <v>71</v>
      </c>
      <c r="M1" s="54"/>
      <c r="N1" s="54"/>
    </row>
    <row r="2" spans="1:14" x14ac:dyDescent="0.3">
      <c r="A2" s="3" t="s">
        <v>44</v>
      </c>
      <c r="B2" s="3" t="s">
        <v>72</v>
      </c>
      <c r="C2" s="3" t="s">
        <v>73</v>
      </c>
      <c r="D2" s="3"/>
      <c r="F2" s="3" t="s">
        <v>44</v>
      </c>
      <c r="G2" s="3" t="s">
        <v>72</v>
      </c>
      <c r="H2" s="3" t="s">
        <v>73</v>
      </c>
      <c r="I2" s="3" t="s">
        <v>74</v>
      </c>
      <c r="L2" s="1" t="s">
        <v>72</v>
      </c>
      <c r="M2" s="1" t="s">
        <v>73</v>
      </c>
      <c r="N2" s="1" t="s">
        <v>74</v>
      </c>
    </row>
    <row r="3" spans="1:14" x14ac:dyDescent="0.3">
      <c r="A3" s="10" t="s">
        <v>1</v>
      </c>
      <c r="B3" s="5">
        <v>0.38058838387031768</v>
      </c>
      <c r="C3" s="5">
        <v>0.39922955315188891</v>
      </c>
      <c r="D3" s="5">
        <v>0.39922955315188891</v>
      </c>
      <c r="F3" s="5" t="s">
        <v>1</v>
      </c>
      <c r="G3" s="5">
        <v>13</v>
      </c>
      <c r="H3" s="5">
        <v>13</v>
      </c>
      <c r="I3" s="5">
        <v>13</v>
      </c>
      <c r="K3" s="1" t="s">
        <v>72</v>
      </c>
      <c r="L3">
        <v>1</v>
      </c>
      <c r="M3">
        <v>0.99019607843137269</v>
      </c>
      <c r="N3">
        <v>0.99019607843137303</v>
      </c>
    </row>
    <row r="4" spans="1:14" x14ac:dyDescent="0.3">
      <c r="A4" s="10" t="s">
        <v>2</v>
      </c>
      <c r="B4" s="5">
        <v>0.82005008753808406</v>
      </c>
      <c r="C4" s="5">
        <v>0.85470184985269226</v>
      </c>
      <c r="D4" s="5">
        <v>0.85470184985269226</v>
      </c>
      <c r="F4" s="5" t="s">
        <v>2</v>
      </c>
      <c r="G4" s="5">
        <v>4</v>
      </c>
      <c r="H4" s="5">
        <v>4</v>
      </c>
      <c r="I4" s="5">
        <v>4</v>
      </c>
      <c r="K4" s="1" t="s">
        <v>73</v>
      </c>
      <c r="L4">
        <v>0.99019607843137269</v>
      </c>
      <c r="M4">
        <v>1</v>
      </c>
      <c r="N4">
        <v>1</v>
      </c>
    </row>
    <row r="5" spans="1:14" x14ac:dyDescent="0.3">
      <c r="A5" s="10" t="s">
        <v>3</v>
      </c>
      <c r="B5" s="5">
        <v>1</v>
      </c>
      <c r="C5" s="5">
        <v>1</v>
      </c>
      <c r="D5" s="5">
        <v>1</v>
      </c>
      <c r="F5" s="5" t="s">
        <v>3</v>
      </c>
      <c r="G5" s="5">
        <v>1</v>
      </c>
      <c r="H5" s="5">
        <v>1</v>
      </c>
      <c r="I5" s="5">
        <v>1</v>
      </c>
      <c r="K5" s="1" t="s">
        <v>74</v>
      </c>
      <c r="L5">
        <v>0.99019607843137269</v>
      </c>
      <c r="M5">
        <v>1</v>
      </c>
      <c r="N5">
        <v>1</v>
      </c>
    </row>
    <row r="6" spans="1:14" x14ac:dyDescent="0.3">
      <c r="A6" s="10" t="s">
        <v>4</v>
      </c>
      <c r="B6" s="5">
        <v>0.87484023226415131</v>
      </c>
      <c r="C6" s="5">
        <v>0.8802908385655358</v>
      </c>
      <c r="D6" s="5">
        <v>0.8802908385655358</v>
      </c>
      <c r="F6" s="5" t="s">
        <v>4</v>
      </c>
      <c r="G6" s="5">
        <v>2</v>
      </c>
      <c r="H6" s="5">
        <v>3</v>
      </c>
      <c r="I6" s="5">
        <v>3</v>
      </c>
    </row>
    <row r="7" spans="1:14" x14ac:dyDescent="0.3">
      <c r="A7" s="10" t="s">
        <v>5</v>
      </c>
      <c r="B7" s="5">
        <v>0.85443556986252833</v>
      </c>
      <c r="C7" s="5">
        <v>0.89508850736472423</v>
      </c>
      <c r="D7" s="5">
        <v>0.89508850736472423</v>
      </c>
      <c r="F7" s="5" t="s">
        <v>5</v>
      </c>
      <c r="G7" s="5">
        <v>3</v>
      </c>
      <c r="H7" s="5">
        <v>2</v>
      </c>
      <c r="I7" s="5">
        <v>2</v>
      </c>
      <c r="K7" s="54" t="s">
        <v>75</v>
      </c>
      <c r="L7" s="54"/>
      <c r="M7" s="54"/>
    </row>
    <row r="8" spans="1:14" x14ac:dyDescent="0.3">
      <c r="A8" s="10" t="s">
        <v>6</v>
      </c>
      <c r="B8" s="5">
        <v>0.78758323397090235</v>
      </c>
      <c r="C8" s="5">
        <v>0.84854446869647782</v>
      </c>
      <c r="D8" s="5">
        <v>0.84854446869647782</v>
      </c>
      <c r="F8" s="5" t="s">
        <v>6</v>
      </c>
      <c r="G8" s="5">
        <v>6</v>
      </c>
      <c r="H8" s="5">
        <v>5</v>
      </c>
      <c r="I8" s="5">
        <v>5</v>
      </c>
      <c r="K8" s="1" t="s">
        <v>44</v>
      </c>
      <c r="L8" s="3" t="s">
        <v>76</v>
      </c>
      <c r="M8" s="3" t="s">
        <v>77</v>
      </c>
    </row>
    <row r="9" spans="1:14" x14ac:dyDescent="0.3">
      <c r="A9" s="10" t="s">
        <v>7</v>
      </c>
      <c r="B9" s="5">
        <v>0.40544432175705242</v>
      </c>
      <c r="C9" s="5">
        <v>0.41850162855913448</v>
      </c>
      <c r="D9" s="5">
        <v>0.41850162855913448</v>
      </c>
      <c r="F9" s="5" t="s">
        <v>7</v>
      </c>
      <c r="G9" s="5">
        <v>12</v>
      </c>
      <c r="H9" s="5">
        <v>12</v>
      </c>
      <c r="I9" s="5">
        <v>12</v>
      </c>
      <c r="K9" t="s">
        <v>1</v>
      </c>
      <c r="L9" s="4">
        <v>0.56992840307077286</v>
      </c>
      <c r="M9" s="4">
        <v>0.1910553752991343</v>
      </c>
    </row>
    <row r="10" spans="1:14" x14ac:dyDescent="0.3">
      <c r="A10" s="10" t="s">
        <v>8</v>
      </c>
      <c r="B10" s="5">
        <v>0.73003802281368824</v>
      </c>
      <c r="C10" s="5">
        <v>0.82129277566539927</v>
      </c>
      <c r="D10" s="5">
        <v>0.82129277566539927</v>
      </c>
      <c r="F10" s="5" t="s">
        <v>8</v>
      </c>
      <c r="G10" s="5">
        <v>8</v>
      </c>
      <c r="H10" s="5">
        <v>7</v>
      </c>
      <c r="I10" s="5">
        <v>7</v>
      </c>
      <c r="K10" t="s">
        <v>2</v>
      </c>
      <c r="L10" s="4">
        <v>0.57322552309571839</v>
      </c>
      <c r="M10" s="4">
        <v>0.19268673933777741</v>
      </c>
    </row>
    <row r="11" spans="1:14" x14ac:dyDescent="0.3">
      <c r="A11" s="10" t="s">
        <v>9</v>
      </c>
      <c r="B11" s="5">
        <v>0.34303736543020991</v>
      </c>
      <c r="C11" s="5">
        <v>0.34756431009153088</v>
      </c>
      <c r="D11" s="5">
        <v>0.34756431009153088</v>
      </c>
      <c r="F11" s="5" t="s">
        <v>9</v>
      </c>
      <c r="G11" s="5">
        <v>14</v>
      </c>
      <c r="H11" s="5">
        <v>14</v>
      </c>
      <c r="I11" s="5">
        <v>14</v>
      </c>
      <c r="K11" t="s">
        <v>3</v>
      </c>
      <c r="L11" s="4">
        <v>0.58215619360839665</v>
      </c>
      <c r="M11" s="4">
        <v>0.19547240955928361</v>
      </c>
    </row>
    <row r="12" spans="1:14" x14ac:dyDescent="0.3">
      <c r="A12" s="10" t="s">
        <v>10</v>
      </c>
      <c r="B12" s="5">
        <v>0.79350055948445308</v>
      </c>
      <c r="C12" s="5">
        <v>0.84294799837340528</v>
      </c>
      <c r="D12" s="5">
        <v>0.84294799837340528</v>
      </c>
      <c r="F12" s="5" t="s">
        <v>10</v>
      </c>
      <c r="G12" s="5">
        <v>5</v>
      </c>
      <c r="H12" s="5">
        <v>6</v>
      </c>
      <c r="I12" s="5">
        <v>6</v>
      </c>
      <c r="K12" t="s">
        <v>4</v>
      </c>
      <c r="L12" s="4">
        <v>0.57169536596166748</v>
      </c>
      <c r="M12" s="4">
        <v>0.19180010902255021</v>
      </c>
    </row>
    <row r="13" spans="1:14" x14ac:dyDescent="0.3">
      <c r="A13" s="10" t="s">
        <v>11</v>
      </c>
      <c r="B13" s="5">
        <v>8.8989250280665844E-2</v>
      </c>
      <c r="C13" s="5">
        <v>4.4494625140332977E-2</v>
      </c>
      <c r="D13" s="5">
        <v>4.4494625140332977E-2</v>
      </c>
      <c r="F13" s="5" t="s">
        <v>11</v>
      </c>
      <c r="G13" s="5">
        <v>16</v>
      </c>
      <c r="H13" s="5">
        <v>17</v>
      </c>
      <c r="I13" s="5">
        <v>17</v>
      </c>
      <c r="K13" t="s">
        <v>5</v>
      </c>
      <c r="L13" s="4">
        <v>0.58618805515194072</v>
      </c>
      <c r="M13" s="4">
        <v>0.1891572414839352</v>
      </c>
    </row>
    <row r="14" spans="1:14" x14ac:dyDescent="0.3">
      <c r="A14" s="10" t="s">
        <v>12</v>
      </c>
      <c r="B14" s="5">
        <v>0.58039562782449172</v>
      </c>
      <c r="C14" s="5">
        <v>0.57669971505293016</v>
      </c>
      <c r="D14" s="5">
        <v>0.57669971505293016</v>
      </c>
      <c r="F14" s="5" t="s">
        <v>12</v>
      </c>
      <c r="G14" s="5">
        <v>10</v>
      </c>
      <c r="H14" s="5">
        <v>10</v>
      </c>
      <c r="I14" s="5">
        <v>10</v>
      </c>
      <c r="K14" t="s">
        <v>6</v>
      </c>
      <c r="L14" s="4">
        <v>0.57149155541501706</v>
      </c>
      <c r="M14" s="4">
        <v>0.19131363517553041</v>
      </c>
    </row>
    <row r="15" spans="1:14" x14ac:dyDescent="0.3">
      <c r="A15" s="10" t="s">
        <v>13</v>
      </c>
      <c r="B15" s="5">
        <v>0.66094993051703188</v>
      </c>
      <c r="C15" s="5">
        <v>0.67363085879463769</v>
      </c>
      <c r="D15" s="5">
        <v>0.67363085879463769</v>
      </c>
      <c r="F15" s="5" t="s">
        <v>13</v>
      </c>
      <c r="G15" s="5">
        <v>9</v>
      </c>
      <c r="H15" s="5">
        <v>9</v>
      </c>
      <c r="I15" s="5">
        <v>9</v>
      </c>
      <c r="K15" t="s">
        <v>7</v>
      </c>
      <c r="L15" s="4">
        <v>0.57783706605148344</v>
      </c>
      <c r="M15" s="4">
        <v>0.19143326316636891</v>
      </c>
    </row>
    <row r="16" spans="1:14" x14ac:dyDescent="0.3">
      <c r="A16" s="10" t="s">
        <v>14</v>
      </c>
      <c r="B16" s="5">
        <v>8.677014932452054E-2</v>
      </c>
      <c r="C16" s="5">
        <v>6.3727279985454355E-2</v>
      </c>
      <c r="D16" s="5">
        <v>6.3727279985454355E-2</v>
      </c>
      <c r="F16" s="5" t="s">
        <v>14</v>
      </c>
      <c r="G16" s="5">
        <v>17</v>
      </c>
      <c r="H16" s="5">
        <v>16</v>
      </c>
      <c r="I16" s="5">
        <v>16</v>
      </c>
      <c r="K16" t="s">
        <v>8</v>
      </c>
      <c r="L16" s="4">
        <v>0.5724758771087447</v>
      </c>
      <c r="M16" s="4">
        <v>0.1928665172209777</v>
      </c>
    </row>
    <row r="17" spans="1:13" x14ac:dyDescent="0.3">
      <c r="A17" s="10" t="s">
        <v>15</v>
      </c>
      <c r="B17" s="5">
        <v>0.77296377765690405</v>
      </c>
      <c r="C17" s="5">
        <v>0.81252751620487784</v>
      </c>
      <c r="D17" s="5">
        <v>0.81252751620487784</v>
      </c>
      <c r="F17" s="5" t="s">
        <v>15</v>
      </c>
      <c r="G17" s="5">
        <v>7</v>
      </c>
      <c r="H17" s="5">
        <v>8</v>
      </c>
      <c r="I17" s="5">
        <v>8</v>
      </c>
      <c r="K17" t="s">
        <v>9</v>
      </c>
      <c r="L17" s="4">
        <v>0.57352949813352283</v>
      </c>
      <c r="M17" s="4">
        <v>0.19521359139645911</v>
      </c>
    </row>
    <row r="18" spans="1:13" x14ac:dyDescent="0.3">
      <c r="A18" s="10" t="s">
        <v>16</v>
      </c>
      <c r="B18" s="5">
        <v>0.1333686636858892</v>
      </c>
      <c r="C18" s="5">
        <v>0.10755885655777341</v>
      </c>
      <c r="D18" s="5">
        <v>0.10755885655777341</v>
      </c>
      <c r="F18" s="5" t="s">
        <v>16</v>
      </c>
      <c r="G18" s="5">
        <v>15</v>
      </c>
      <c r="H18" s="5">
        <v>15</v>
      </c>
      <c r="I18" s="5">
        <v>15</v>
      </c>
      <c r="K18" t="s">
        <v>10</v>
      </c>
      <c r="L18" s="4">
        <v>0.57524322615335</v>
      </c>
      <c r="M18" s="4">
        <v>0.18952619582339941</v>
      </c>
    </row>
    <row r="19" spans="1:13" x14ac:dyDescent="0.3">
      <c r="A19" s="10" t="s">
        <v>17</v>
      </c>
      <c r="B19" s="5">
        <v>0.49402267672432942</v>
      </c>
      <c r="C19" s="5">
        <v>0.51126989349524465</v>
      </c>
      <c r="D19" s="5">
        <v>0.51126989349524465</v>
      </c>
      <c r="F19" s="5" t="s">
        <v>17</v>
      </c>
      <c r="G19" s="5">
        <v>11</v>
      </c>
      <c r="H19" s="5">
        <v>11</v>
      </c>
      <c r="I19" s="5">
        <v>11</v>
      </c>
      <c r="K19" t="s">
        <v>11</v>
      </c>
      <c r="L19" s="4">
        <v>0.58243529836158137</v>
      </c>
      <c r="M19" s="4">
        <v>0.18910150230352549</v>
      </c>
    </row>
    <row r="20" spans="1:13" x14ac:dyDescent="0.3">
      <c r="K20" t="s">
        <v>12</v>
      </c>
      <c r="L20" s="4">
        <v>0.57320097670986248</v>
      </c>
      <c r="M20" s="4">
        <v>0.18937279575301899</v>
      </c>
    </row>
    <row r="21" spans="1:13" x14ac:dyDescent="0.3">
      <c r="K21" t="s">
        <v>13</v>
      </c>
      <c r="L21" s="4">
        <v>0.5758109806851841</v>
      </c>
      <c r="M21" s="4">
        <v>0.19221582037647181</v>
      </c>
    </row>
    <row r="22" spans="1:13" x14ac:dyDescent="0.3">
      <c r="K22" t="s">
        <v>14</v>
      </c>
      <c r="L22" s="4">
        <v>0.57394645469129502</v>
      </c>
      <c r="M22" s="4">
        <v>0.19392053540365481</v>
      </c>
    </row>
    <row r="23" spans="1:13" x14ac:dyDescent="0.3">
      <c r="K23" t="s">
        <v>15</v>
      </c>
      <c r="L23" s="4">
        <v>0.58047848802570656</v>
      </c>
      <c r="M23" s="4">
        <v>0.1934980240873187</v>
      </c>
    </row>
    <row r="24" spans="1:13" x14ac:dyDescent="0.3">
      <c r="K24" t="s">
        <v>16</v>
      </c>
      <c r="L24" s="4">
        <v>0.58018024679045355</v>
      </c>
      <c r="M24" s="4">
        <v>0.19224309846952881</v>
      </c>
    </row>
    <row r="25" spans="1:13" x14ac:dyDescent="0.3">
      <c r="C25" s="56" t="s">
        <v>78</v>
      </c>
      <c r="D25" s="56"/>
      <c r="K25" t="s">
        <v>17</v>
      </c>
      <c r="L25" s="4">
        <v>0.57106289912902075</v>
      </c>
      <c r="M25" s="4">
        <v>0.19282563244923279</v>
      </c>
    </row>
    <row r="27" spans="1:13" x14ac:dyDescent="0.3">
      <c r="C27" s="53" t="s">
        <v>79</v>
      </c>
      <c r="D27" s="53"/>
    </row>
    <row r="28" spans="1:13" x14ac:dyDescent="0.3">
      <c r="C28" s="10" t="s">
        <v>80</v>
      </c>
      <c r="D28" s="5">
        <v>0.16467185895137701</v>
      </c>
    </row>
    <row r="29" spans="1:13" x14ac:dyDescent="0.3">
      <c r="C29" s="5" t="s">
        <v>81</v>
      </c>
      <c r="D29" s="5">
        <v>0.14697871500000001</v>
      </c>
    </row>
    <row r="30" spans="1:13" x14ac:dyDescent="0.3">
      <c r="C30" s="5" t="s">
        <v>82</v>
      </c>
      <c r="D30" s="5">
        <v>0.62780243499999999</v>
      </c>
    </row>
    <row r="32" spans="1:13" x14ac:dyDescent="0.3">
      <c r="C32" s="53" t="s">
        <v>83</v>
      </c>
      <c r="D32" s="53"/>
    </row>
    <row r="33" spans="3:4" x14ac:dyDescent="0.3">
      <c r="C33" s="10" t="s">
        <v>80</v>
      </c>
      <c r="D33" s="5">
        <v>0.20613063500000001</v>
      </c>
    </row>
    <row r="34" spans="3:4" x14ac:dyDescent="0.3">
      <c r="C34" s="5" t="s">
        <v>81</v>
      </c>
      <c r="D34" s="5">
        <v>0.20988431360000001</v>
      </c>
    </row>
    <row r="35" spans="3:4" x14ac:dyDescent="0.3">
      <c r="C35" s="5" t="s">
        <v>82</v>
      </c>
      <c r="D35" s="5">
        <v>0.65580708200000004</v>
      </c>
    </row>
  </sheetData>
  <mergeCells count="7">
    <mergeCell ref="C32:D32"/>
    <mergeCell ref="K7:M7"/>
    <mergeCell ref="A1:D1"/>
    <mergeCell ref="F1:I1"/>
    <mergeCell ref="L1:N1"/>
    <mergeCell ref="C25:D25"/>
    <mergeCell ref="C27:D2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36"/>
  <sheetViews>
    <sheetView topLeftCell="L13" workbookViewId="0"/>
  </sheetViews>
  <sheetFormatPr baseColWidth="10" defaultColWidth="8.88671875" defaultRowHeight="14.4" x14ac:dyDescent="0.3"/>
  <cols>
    <col min="1" max="1" width="12.6640625" style="5" customWidth="1"/>
    <col min="2" max="2" width="10.77734375" style="5" customWidth="1"/>
    <col min="3" max="5" width="8.88671875" style="5"/>
    <col min="21" max="21" width="11.5546875" customWidth="1"/>
    <col min="22" max="22" width="15.21875" customWidth="1"/>
  </cols>
  <sheetData>
    <row r="1" spans="1:4" x14ac:dyDescent="0.3">
      <c r="A1" s="6" t="s">
        <v>44</v>
      </c>
      <c r="B1" s="6" t="s">
        <v>72</v>
      </c>
      <c r="C1" s="6" t="s">
        <v>73</v>
      </c>
      <c r="D1" s="6" t="s">
        <v>74</v>
      </c>
    </row>
    <row r="2" spans="1:4" x14ac:dyDescent="0.3">
      <c r="A2" s="16" t="s">
        <v>1</v>
      </c>
      <c r="B2" s="9">
        <v>13</v>
      </c>
      <c r="C2" s="9">
        <v>13</v>
      </c>
      <c r="D2" s="9">
        <v>13</v>
      </c>
    </row>
    <row r="3" spans="1:4" x14ac:dyDescent="0.3">
      <c r="A3" s="16" t="s">
        <v>2</v>
      </c>
      <c r="B3" s="9">
        <v>4</v>
      </c>
      <c r="C3" s="9">
        <v>4</v>
      </c>
      <c r="D3" s="9">
        <v>4</v>
      </c>
    </row>
    <row r="4" spans="1:4" x14ac:dyDescent="0.3">
      <c r="A4" s="16" t="s">
        <v>3</v>
      </c>
      <c r="B4" s="9">
        <v>1</v>
      </c>
      <c r="C4" s="9">
        <v>1</v>
      </c>
      <c r="D4" s="9">
        <v>1</v>
      </c>
    </row>
    <row r="5" spans="1:4" x14ac:dyDescent="0.3">
      <c r="A5" s="16" t="s">
        <v>4</v>
      </c>
      <c r="B5" s="9">
        <v>2</v>
      </c>
      <c r="C5" s="9">
        <v>3</v>
      </c>
      <c r="D5" s="9">
        <v>3</v>
      </c>
    </row>
    <row r="6" spans="1:4" x14ac:dyDescent="0.3">
      <c r="A6" s="16" t="s">
        <v>5</v>
      </c>
      <c r="B6" s="9">
        <v>3</v>
      </c>
      <c r="C6" s="9">
        <v>2</v>
      </c>
      <c r="D6" s="9">
        <v>2</v>
      </c>
    </row>
    <row r="7" spans="1:4" x14ac:dyDescent="0.3">
      <c r="A7" s="16" t="s">
        <v>6</v>
      </c>
      <c r="B7" s="9">
        <v>6</v>
      </c>
      <c r="C7" s="9">
        <v>5</v>
      </c>
      <c r="D7" s="9">
        <v>5</v>
      </c>
    </row>
    <row r="8" spans="1:4" x14ac:dyDescent="0.3">
      <c r="A8" s="16" t="s">
        <v>7</v>
      </c>
      <c r="B8" s="9">
        <v>12</v>
      </c>
      <c r="C8" s="9">
        <v>12</v>
      </c>
      <c r="D8" s="9">
        <v>12</v>
      </c>
    </row>
    <row r="9" spans="1:4" x14ac:dyDescent="0.3">
      <c r="A9" s="16" t="s">
        <v>8</v>
      </c>
      <c r="B9" s="9">
        <v>8</v>
      </c>
      <c r="C9" s="9">
        <v>7</v>
      </c>
      <c r="D9" s="9">
        <v>7</v>
      </c>
    </row>
    <row r="10" spans="1:4" x14ac:dyDescent="0.3">
      <c r="A10" s="16" t="s">
        <v>9</v>
      </c>
      <c r="B10" s="9">
        <v>14</v>
      </c>
      <c r="C10" s="9">
        <v>14</v>
      </c>
      <c r="D10" s="9">
        <v>14</v>
      </c>
    </row>
    <row r="11" spans="1:4" x14ac:dyDescent="0.3">
      <c r="A11" s="16" t="s">
        <v>10</v>
      </c>
      <c r="B11" s="9">
        <v>5</v>
      </c>
      <c r="C11" s="9">
        <v>6</v>
      </c>
      <c r="D11" s="9">
        <v>6</v>
      </c>
    </row>
    <row r="12" spans="1:4" x14ac:dyDescent="0.3">
      <c r="A12" s="16" t="s">
        <v>11</v>
      </c>
      <c r="B12" s="9">
        <v>16</v>
      </c>
      <c r="C12" s="9">
        <v>17</v>
      </c>
      <c r="D12" s="9">
        <v>17</v>
      </c>
    </row>
    <row r="13" spans="1:4" x14ac:dyDescent="0.3">
      <c r="A13" s="16" t="s">
        <v>12</v>
      </c>
      <c r="B13" s="9">
        <v>10</v>
      </c>
      <c r="C13" s="9">
        <v>10</v>
      </c>
      <c r="D13" s="9">
        <v>10</v>
      </c>
    </row>
    <row r="14" spans="1:4" x14ac:dyDescent="0.3">
      <c r="A14" s="16" t="s">
        <v>13</v>
      </c>
      <c r="B14" s="9">
        <v>9</v>
      </c>
      <c r="C14" s="9">
        <v>9</v>
      </c>
      <c r="D14" s="9">
        <v>9</v>
      </c>
    </row>
    <row r="15" spans="1:4" x14ac:dyDescent="0.3">
      <c r="A15" s="16" t="s">
        <v>14</v>
      </c>
      <c r="B15" s="9">
        <v>17</v>
      </c>
      <c r="C15" s="9">
        <v>16</v>
      </c>
      <c r="D15" s="9">
        <v>16</v>
      </c>
    </row>
    <row r="16" spans="1:4" x14ac:dyDescent="0.3">
      <c r="A16" s="16" t="s">
        <v>15</v>
      </c>
      <c r="B16" s="9">
        <v>7</v>
      </c>
      <c r="C16" s="9">
        <v>8</v>
      </c>
      <c r="D16" s="9">
        <v>8</v>
      </c>
    </row>
    <row r="17" spans="1:23" x14ac:dyDescent="0.3">
      <c r="A17" s="16" t="s">
        <v>16</v>
      </c>
      <c r="B17" s="9">
        <v>15</v>
      </c>
      <c r="C17" s="9">
        <v>15</v>
      </c>
      <c r="D17" s="9">
        <v>15</v>
      </c>
    </row>
    <row r="18" spans="1:23" x14ac:dyDescent="0.3">
      <c r="A18" s="16" t="s">
        <v>17</v>
      </c>
      <c r="B18" s="9">
        <v>11</v>
      </c>
      <c r="C18" s="9">
        <v>11</v>
      </c>
      <c r="D18" s="9">
        <v>11</v>
      </c>
    </row>
    <row r="32" spans="1:23" x14ac:dyDescent="0.3">
      <c r="U32" s="56" t="s">
        <v>84</v>
      </c>
      <c r="V32" s="56"/>
      <c r="W32" s="56"/>
    </row>
    <row r="33" spans="21:23" x14ac:dyDescent="0.3">
      <c r="U33" s="14" t="s">
        <v>85</v>
      </c>
      <c r="V33" s="57" t="s">
        <v>86</v>
      </c>
      <c r="W33" s="58"/>
    </row>
    <row r="34" spans="21:23" x14ac:dyDescent="0.3">
      <c r="U34" s="13" t="s">
        <v>87</v>
      </c>
      <c r="V34" s="49" t="s">
        <v>88</v>
      </c>
      <c r="W34" s="49"/>
    </row>
    <row r="35" spans="21:23" x14ac:dyDescent="0.3">
      <c r="U35" s="13" t="s">
        <v>89</v>
      </c>
      <c r="V35" s="49" t="s">
        <v>90</v>
      </c>
      <c r="W35" s="49"/>
    </row>
    <row r="36" spans="21:23" x14ac:dyDescent="0.3">
      <c r="U36" s="13" t="s">
        <v>91</v>
      </c>
      <c r="V36" s="49" t="s">
        <v>92</v>
      </c>
      <c r="W36" s="49"/>
    </row>
  </sheetData>
  <mergeCells count="5">
    <mergeCell ref="U32:W32"/>
    <mergeCell ref="V34:W34"/>
    <mergeCell ref="V35:W35"/>
    <mergeCell ref="V36:W36"/>
    <mergeCell ref="V33:W3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4"/>
  <sheetViews>
    <sheetView workbookViewId="0"/>
  </sheetViews>
  <sheetFormatPr baseColWidth="10" defaultColWidth="8.88671875" defaultRowHeight="14.4" x14ac:dyDescent="0.3"/>
  <cols>
    <col min="1" max="1" width="10.77734375" customWidth="1"/>
    <col min="2" max="3" width="12" customWidth="1"/>
  </cols>
  <sheetData>
    <row r="1" spans="1:4" x14ac:dyDescent="0.3">
      <c r="B1" s="1" t="s">
        <v>72</v>
      </c>
      <c r="C1" s="1" t="s">
        <v>73</v>
      </c>
      <c r="D1" s="1" t="s">
        <v>74</v>
      </c>
    </row>
    <row r="2" spans="1:4" x14ac:dyDescent="0.3">
      <c r="A2" s="1" t="s">
        <v>72</v>
      </c>
      <c r="B2">
        <v>1</v>
      </c>
      <c r="C2">
        <v>0.99019607843137269</v>
      </c>
      <c r="D2">
        <v>0.99019607843137269</v>
      </c>
    </row>
    <row r="3" spans="1:4" x14ac:dyDescent="0.3">
      <c r="A3" s="1" t="s">
        <v>73</v>
      </c>
      <c r="B3">
        <v>0.99019607843137269</v>
      </c>
      <c r="C3">
        <v>1</v>
      </c>
      <c r="D3">
        <v>1</v>
      </c>
    </row>
    <row r="4" spans="1:4" x14ac:dyDescent="0.3">
      <c r="A4" s="1" t="s">
        <v>74</v>
      </c>
      <c r="B4">
        <v>0.99019607843137269</v>
      </c>
      <c r="C4">
        <v>1</v>
      </c>
      <c r="D4">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8"/>
  <sheetViews>
    <sheetView workbookViewId="0"/>
  </sheetViews>
  <sheetFormatPr baseColWidth="10" defaultColWidth="8.88671875" defaultRowHeight="14.4" x14ac:dyDescent="0.3"/>
  <cols>
    <col min="1" max="1" width="12.6640625" customWidth="1"/>
    <col min="2" max="3" width="12" customWidth="1"/>
  </cols>
  <sheetData>
    <row r="1" spans="1:3" x14ac:dyDescent="0.3">
      <c r="A1" s="1" t="s">
        <v>44</v>
      </c>
      <c r="B1" s="3" t="s">
        <v>76</v>
      </c>
      <c r="C1" s="3" t="s">
        <v>77</v>
      </c>
    </row>
    <row r="2" spans="1:3" x14ac:dyDescent="0.3">
      <c r="A2" t="s">
        <v>1</v>
      </c>
      <c r="B2" s="4">
        <v>0.56992840307077286</v>
      </c>
      <c r="C2" s="4">
        <v>0.1910553752991343</v>
      </c>
    </row>
    <row r="3" spans="1:3" x14ac:dyDescent="0.3">
      <c r="A3" t="s">
        <v>2</v>
      </c>
      <c r="B3" s="4">
        <v>0.57322552309571839</v>
      </c>
      <c r="C3" s="4">
        <v>0.19268673933777741</v>
      </c>
    </row>
    <row r="4" spans="1:3" x14ac:dyDescent="0.3">
      <c r="A4" t="s">
        <v>3</v>
      </c>
      <c r="B4" s="4">
        <v>0.58215619360839665</v>
      </c>
      <c r="C4" s="4">
        <v>0.19547240955928361</v>
      </c>
    </row>
    <row r="5" spans="1:3" x14ac:dyDescent="0.3">
      <c r="A5" t="s">
        <v>4</v>
      </c>
      <c r="B5" s="4">
        <v>0.57169536596166748</v>
      </c>
      <c r="C5" s="4">
        <v>0.19180010902255021</v>
      </c>
    </row>
    <row r="6" spans="1:3" x14ac:dyDescent="0.3">
      <c r="A6" t="s">
        <v>5</v>
      </c>
      <c r="B6" s="4">
        <v>0.58618805515194072</v>
      </c>
      <c r="C6" s="4">
        <v>0.1891572414839352</v>
      </c>
    </row>
    <row r="7" spans="1:3" x14ac:dyDescent="0.3">
      <c r="A7" t="s">
        <v>6</v>
      </c>
      <c r="B7" s="4">
        <v>0.57149155541501706</v>
      </c>
      <c r="C7" s="4">
        <v>0.19131363517553041</v>
      </c>
    </row>
    <row r="8" spans="1:3" x14ac:dyDescent="0.3">
      <c r="A8" t="s">
        <v>7</v>
      </c>
      <c r="B8" s="4">
        <v>0.57783706605148344</v>
      </c>
      <c r="C8" s="4">
        <v>0.19143326316636891</v>
      </c>
    </row>
    <row r="9" spans="1:3" x14ac:dyDescent="0.3">
      <c r="A9" t="s">
        <v>8</v>
      </c>
      <c r="B9" s="4">
        <v>0.5724758771087447</v>
      </c>
      <c r="C9" s="4">
        <v>0.1928665172209777</v>
      </c>
    </row>
    <row r="10" spans="1:3" x14ac:dyDescent="0.3">
      <c r="A10" t="s">
        <v>9</v>
      </c>
      <c r="B10" s="4">
        <v>0.57352949813352283</v>
      </c>
      <c r="C10" s="4">
        <v>0.19521359139645911</v>
      </c>
    </row>
    <row r="11" spans="1:3" x14ac:dyDescent="0.3">
      <c r="A11" t="s">
        <v>10</v>
      </c>
      <c r="B11" s="4">
        <v>0.57524322615335</v>
      </c>
      <c r="C11" s="4">
        <v>0.18952619582339941</v>
      </c>
    </row>
    <row r="12" spans="1:3" x14ac:dyDescent="0.3">
      <c r="A12" t="s">
        <v>11</v>
      </c>
      <c r="B12" s="4">
        <v>0.58243529836158137</v>
      </c>
      <c r="C12" s="4">
        <v>0.18910150230352549</v>
      </c>
    </row>
    <row r="13" spans="1:3" x14ac:dyDescent="0.3">
      <c r="A13" t="s">
        <v>12</v>
      </c>
      <c r="B13" s="4">
        <v>0.57320097670986248</v>
      </c>
      <c r="C13" s="4">
        <v>0.18937279575301899</v>
      </c>
    </row>
    <row r="14" spans="1:3" x14ac:dyDescent="0.3">
      <c r="A14" t="s">
        <v>13</v>
      </c>
      <c r="B14" s="4">
        <v>0.5758109806851841</v>
      </c>
      <c r="C14" s="4">
        <v>0.19221582037647181</v>
      </c>
    </row>
    <row r="15" spans="1:3" x14ac:dyDescent="0.3">
      <c r="A15" t="s">
        <v>14</v>
      </c>
      <c r="B15" s="4">
        <v>0.57394645469129502</v>
      </c>
      <c r="C15" s="4">
        <v>0.19392053540365481</v>
      </c>
    </row>
    <row r="16" spans="1:3" x14ac:dyDescent="0.3">
      <c r="A16" t="s">
        <v>15</v>
      </c>
      <c r="B16" s="4">
        <v>0.58047848802570656</v>
      </c>
      <c r="C16" s="4">
        <v>0.1934980240873187</v>
      </c>
    </row>
    <row r="17" spans="1:3" x14ac:dyDescent="0.3">
      <c r="A17" t="s">
        <v>16</v>
      </c>
      <c r="B17" s="4">
        <v>0.58018024679045355</v>
      </c>
      <c r="C17" s="4">
        <v>0.19224309846952881</v>
      </c>
    </row>
    <row r="18" spans="1:3" x14ac:dyDescent="0.3">
      <c r="A18" t="s">
        <v>17</v>
      </c>
      <c r="B18" s="4">
        <v>0.57106289912902075</v>
      </c>
      <c r="C18" s="4">
        <v>0.19282563244923279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0"/>
  <sheetViews>
    <sheetView showGridLines="0" workbookViewId="0">
      <selection sqref="A1:F1"/>
    </sheetView>
  </sheetViews>
  <sheetFormatPr baseColWidth="10" defaultColWidth="8.88671875" defaultRowHeight="14.4" x14ac:dyDescent="0.3"/>
  <cols>
    <col min="1" max="1" width="24" customWidth="1"/>
    <col min="2" max="2" width="92" customWidth="1"/>
  </cols>
  <sheetData>
    <row r="1" spans="1:6" ht="28.05" customHeight="1" x14ac:dyDescent="0.3">
      <c r="A1" s="48" t="s">
        <v>93</v>
      </c>
      <c r="B1" s="48" t="s">
        <v>93</v>
      </c>
      <c r="C1" s="48" t="s">
        <v>93</v>
      </c>
      <c r="D1" s="48" t="s">
        <v>93</v>
      </c>
      <c r="E1" s="48" t="s">
        <v>93</v>
      </c>
      <c r="F1" s="48" t="s">
        <v>93</v>
      </c>
    </row>
    <row r="3" spans="1:6" x14ac:dyDescent="0.3">
      <c r="A3" s="17" t="s">
        <v>94</v>
      </c>
      <c r="B3" s="17" t="s">
        <v>95</v>
      </c>
    </row>
    <row r="4" spans="1:6" x14ac:dyDescent="0.3">
      <c r="A4" s="21" t="s">
        <v>96</v>
      </c>
      <c r="B4" s="24" t="s">
        <v>97</v>
      </c>
    </row>
    <row r="5" spans="1:6" x14ac:dyDescent="0.3">
      <c r="A5" s="22" t="s">
        <v>98</v>
      </c>
      <c r="B5" s="25" t="s">
        <v>99</v>
      </c>
    </row>
    <row r="6" spans="1:6" x14ac:dyDescent="0.3">
      <c r="A6" s="22" t="s">
        <v>100</v>
      </c>
      <c r="B6" s="25" t="s">
        <v>101</v>
      </c>
    </row>
    <row r="7" spans="1:6" x14ac:dyDescent="0.3">
      <c r="A7" s="22" t="s">
        <v>102</v>
      </c>
      <c r="B7" s="25" t="s">
        <v>103</v>
      </c>
    </row>
    <row r="8" spans="1:6" x14ac:dyDescent="0.3">
      <c r="A8" s="22" t="s">
        <v>104</v>
      </c>
      <c r="B8" s="25" t="s">
        <v>105</v>
      </c>
    </row>
    <row r="9" spans="1:6" ht="28.8" x14ac:dyDescent="0.3">
      <c r="A9" s="22" t="s">
        <v>106</v>
      </c>
      <c r="B9" s="25" t="s">
        <v>107</v>
      </c>
    </row>
    <row r="10" spans="1:6" ht="28.8" x14ac:dyDescent="0.3">
      <c r="A10" s="23" t="s">
        <v>108</v>
      </c>
      <c r="B10" s="26" t="s">
        <v>109</v>
      </c>
    </row>
  </sheetData>
  <mergeCells count="1">
    <mergeCell ref="A1:F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3"/>
  <sheetViews>
    <sheetView showGridLines="0" topLeftCell="A13" workbookViewId="0">
      <selection activeCell="B9" sqref="B9:B10"/>
    </sheetView>
  </sheetViews>
  <sheetFormatPr baseColWidth="10" defaultColWidth="8.88671875" defaultRowHeight="14.4" x14ac:dyDescent="0.3"/>
  <cols>
    <col min="1" max="1" width="28" customWidth="1"/>
    <col min="2" max="2" width="70" customWidth="1"/>
    <col min="3" max="4" width="22" customWidth="1"/>
  </cols>
  <sheetData>
    <row r="1" spans="1:6" ht="28.05" customHeight="1" x14ac:dyDescent="0.3">
      <c r="A1" s="48" t="s">
        <v>110</v>
      </c>
      <c r="B1" s="48" t="s">
        <v>110</v>
      </c>
      <c r="C1" s="48" t="s">
        <v>110</v>
      </c>
      <c r="D1" s="48" t="s">
        <v>110</v>
      </c>
      <c r="E1" s="48" t="s">
        <v>110</v>
      </c>
      <c r="F1" s="48" t="s">
        <v>110</v>
      </c>
    </row>
    <row r="3" spans="1:6" x14ac:dyDescent="0.3">
      <c r="A3" s="17" t="s">
        <v>111</v>
      </c>
      <c r="B3" s="17" t="s">
        <v>112</v>
      </c>
      <c r="C3" s="17" t="s">
        <v>113</v>
      </c>
      <c r="D3" s="17" t="s">
        <v>114</v>
      </c>
    </row>
    <row r="4" spans="1:6" x14ac:dyDescent="0.3">
      <c r="A4" s="18" t="s">
        <v>80</v>
      </c>
      <c r="B4" s="27">
        <v>0.164671859</v>
      </c>
      <c r="C4" s="27">
        <v>0.20613063500000001</v>
      </c>
      <c r="D4" s="28">
        <f>C4-B4</f>
        <v>4.1458776000000003E-2</v>
      </c>
    </row>
    <row r="5" spans="1:6" x14ac:dyDescent="0.3">
      <c r="A5" s="19" t="s">
        <v>81</v>
      </c>
      <c r="B5" s="29">
        <v>0.14697871500000001</v>
      </c>
      <c r="C5" s="29">
        <v>0.20988431399999999</v>
      </c>
      <c r="D5" s="30">
        <f>C5-B5</f>
        <v>6.2905598999999979E-2</v>
      </c>
    </row>
    <row r="6" spans="1:6" x14ac:dyDescent="0.3">
      <c r="A6" s="20" t="s">
        <v>82</v>
      </c>
      <c r="B6" s="31">
        <v>0.62780243499999999</v>
      </c>
      <c r="C6" s="31">
        <v>0.65580708200000004</v>
      </c>
      <c r="D6" s="32">
        <f>C6-B6</f>
        <v>2.8004647000000049E-2</v>
      </c>
    </row>
    <row r="8" spans="1:6" x14ac:dyDescent="0.3">
      <c r="A8" s="17" t="s">
        <v>115</v>
      </c>
      <c r="B8" s="17" t="s">
        <v>116</v>
      </c>
    </row>
    <row r="9" spans="1:6" x14ac:dyDescent="0.3">
      <c r="A9" s="33" t="s">
        <v>117</v>
      </c>
      <c r="B9" s="35">
        <f>SUM(B4:B6)</f>
        <v>0.93945300899999995</v>
      </c>
    </row>
    <row r="10" spans="1:6" x14ac:dyDescent="0.3">
      <c r="A10" s="33" t="s">
        <v>118</v>
      </c>
      <c r="B10" s="35">
        <f>SUM(C4:C6)</f>
        <v>1.071822031</v>
      </c>
    </row>
    <row r="11" spans="1:6" x14ac:dyDescent="0.3">
      <c r="A11" s="33" t="s">
        <v>119</v>
      </c>
      <c r="B11" s="34" t="s">
        <v>82</v>
      </c>
    </row>
    <row r="12" spans="1:6" ht="28.8" x14ac:dyDescent="0.3">
      <c r="A12" s="33" t="s">
        <v>120</v>
      </c>
      <c r="B12" s="34" t="s">
        <v>121</v>
      </c>
    </row>
    <row r="13" spans="1:6" ht="28.8" x14ac:dyDescent="0.3">
      <c r="A13" s="33" t="s">
        <v>122</v>
      </c>
      <c r="B13" s="34" t="s">
        <v>123</v>
      </c>
    </row>
  </sheetData>
  <mergeCells count="1">
    <mergeCell ref="A1:F1"/>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1"/>
  <sheetViews>
    <sheetView showGridLines="0" topLeftCell="A3" workbookViewId="0">
      <selection sqref="A1:F1"/>
    </sheetView>
  </sheetViews>
  <sheetFormatPr baseColWidth="10" defaultColWidth="8.88671875" defaultRowHeight="14.4" x14ac:dyDescent="0.3"/>
  <cols>
    <col min="1" max="1" width="28" customWidth="1"/>
    <col min="2" max="2" width="16" customWidth="1"/>
    <col min="3" max="4" width="48" customWidth="1"/>
  </cols>
  <sheetData>
    <row r="1" spans="1:6" ht="28.05" customHeight="1" x14ac:dyDescent="0.3">
      <c r="A1" s="48" t="s">
        <v>124</v>
      </c>
      <c r="B1" s="48" t="s">
        <v>124</v>
      </c>
      <c r="C1" s="48" t="s">
        <v>124</v>
      </c>
      <c r="D1" s="48" t="s">
        <v>124</v>
      </c>
      <c r="E1" s="48" t="s">
        <v>124</v>
      </c>
      <c r="F1" s="48" t="s">
        <v>124</v>
      </c>
    </row>
    <row r="3" spans="1:6" x14ac:dyDescent="0.3">
      <c r="A3" s="17" t="s">
        <v>125</v>
      </c>
      <c r="B3" s="17" t="s">
        <v>126</v>
      </c>
      <c r="C3" s="17" t="s">
        <v>127</v>
      </c>
      <c r="D3" s="17" t="s">
        <v>128</v>
      </c>
    </row>
    <row r="4" spans="1:6" x14ac:dyDescent="0.3">
      <c r="A4" s="36" t="s">
        <v>129</v>
      </c>
      <c r="B4" s="37" t="s">
        <v>130</v>
      </c>
      <c r="C4" s="37" t="s">
        <v>131</v>
      </c>
      <c r="D4" s="24" t="s">
        <v>132</v>
      </c>
    </row>
    <row r="5" spans="1:6" x14ac:dyDescent="0.3">
      <c r="A5" s="38" t="s">
        <v>133</v>
      </c>
      <c r="B5" s="39" t="s">
        <v>130</v>
      </c>
      <c r="C5" s="39" t="s">
        <v>134</v>
      </c>
      <c r="D5" s="25" t="s">
        <v>135</v>
      </c>
    </row>
    <row r="6" spans="1:6" ht="28.8" x14ac:dyDescent="0.3">
      <c r="A6" s="38" t="s">
        <v>136</v>
      </c>
      <c r="B6" s="39" t="s">
        <v>130</v>
      </c>
      <c r="C6" s="39" t="s">
        <v>137</v>
      </c>
      <c r="D6" s="25" t="s">
        <v>138</v>
      </c>
    </row>
    <row r="7" spans="1:6" x14ac:dyDescent="0.3">
      <c r="A7" s="38" t="s">
        <v>139</v>
      </c>
      <c r="B7" s="39" t="s">
        <v>130</v>
      </c>
      <c r="C7" s="39" t="s">
        <v>140</v>
      </c>
      <c r="D7" s="25" t="s">
        <v>141</v>
      </c>
    </row>
    <row r="8" spans="1:6" ht="28.8" x14ac:dyDescent="0.3">
      <c r="A8" s="38" t="s">
        <v>142</v>
      </c>
      <c r="B8" s="39" t="s">
        <v>143</v>
      </c>
      <c r="C8" s="39" t="s">
        <v>144</v>
      </c>
      <c r="D8" s="25" t="s">
        <v>145</v>
      </c>
    </row>
    <row r="9" spans="1:6" x14ac:dyDescent="0.3">
      <c r="A9" s="38" t="s">
        <v>75</v>
      </c>
      <c r="B9" s="39" t="s">
        <v>143</v>
      </c>
      <c r="C9" s="39" t="s">
        <v>146</v>
      </c>
      <c r="D9" s="25" t="s">
        <v>147</v>
      </c>
    </row>
    <row r="10" spans="1:6" x14ac:dyDescent="0.3">
      <c r="A10" s="38" t="s">
        <v>148</v>
      </c>
      <c r="B10" s="39" t="s">
        <v>130</v>
      </c>
      <c r="C10" s="39" t="s">
        <v>149</v>
      </c>
      <c r="D10" s="25" t="s">
        <v>150</v>
      </c>
    </row>
    <row r="11" spans="1:6" x14ac:dyDescent="0.3">
      <c r="A11" s="40" t="s">
        <v>151</v>
      </c>
      <c r="B11" s="41" t="s">
        <v>130</v>
      </c>
      <c r="C11" s="41" t="s">
        <v>152</v>
      </c>
      <c r="D11" s="26" t="s">
        <v>153</v>
      </c>
    </row>
  </sheetData>
  <mergeCells count="1">
    <mergeCell ref="A1:F1"/>
  </mergeCells>
  <conditionalFormatting sqref="B4:B11">
    <cfRule type="containsText" dxfId="11" priority="1" operator="containsText" text="Conforme"/>
    <cfRule type="containsText" dxfId="10" priority="2" operator="containsText" text="Advertencia"/>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8"/>
  <sheetViews>
    <sheetView showGridLines="0" topLeftCell="A7" workbookViewId="0">
      <selection sqref="A1:F1"/>
    </sheetView>
  </sheetViews>
  <sheetFormatPr baseColWidth="10" defaultColWidth="8.88671875" defaultRowHeight="14.4" x14ac:dyDescent="0.3"/>
  <cols>
    <col min="1" max="1" width="24" customWidth="1"/>
    <col min="2" max="2" width="105" customWidth="1"/>
  </cols>
  <sheetData>
    <row r="1" spans="1:6" ht="28.05" customHeight="1" x14ac:dyDescent="0.3">
      <c r="A1" s="48" t="s">
        <v>154</v>
      </c>
      <c r="B1" s="48" t="s">
        <v>154</v>
      </c>
      <c r="C1" s="48" t="s">
        <v>154</v>
      </c>
      <c r="D1" s="48" t="s">
        <v>154</v>
      </c>
      <c r="E1" s="48" t="s">
        <v>154</v>
      </c>
      <c r="F1" s="48" t="s">
        <v>154</v>
      </c>
    </row>
    <row r="3" spans="1:6" x14ac:dyDescent="0.3">
      <c r="A3" s="17" t="s">
        <v>155</v>
      </c>
      <c r="B3" s="17" t="s">
        <v>156</v>
      </c>
    </row>
    <row r="4" spans="1:6" ht="72" customHeight="1" x14ac:dyDescent="0.3">
      <c r="A4" s="42" t="s">
        <v>157</v>
      </c>
      <c r="B4" s="43" t="s">
        <v>158</v>
      </c>
    </row>
    <row r="5" spans="1:6" ht="72" customHeight="1" x14ac:dyDescent="0.3">
      <c r="A5" s="44" t="s">
        <v>159</v>
      </c>
      <c r="B5" s="45" t="s">
        <v>160</v>
      </c>
    </row>
    <row r="6" spans="1:6" ht="72" customHeight="1" x14ac:dyDescent="0.3">
      <c r="A6" s="44" t="s">
        <v>161</v>
      </c>
      <c r="B6" s="45" t="s">
        <v>162</v>
      </c>
    </row>
    <row r="7" spans="1:6" ht="72" customHeight="1" x14ac:dyDescent="0.3">
      <c r="A7" s="44" t="s">
        <v>163</v>
      </c>
      <c r="B7" s="45" t="s">
        <v>164</v>
      </c>
    </row>
    <row r="8" spans="1:6" ht="72" customHeight="1" x14ac:dyDescent="0.3">
      <c r="A8" s="46" t="s">
        <v>165</v>
      </c>
      <c r="B8" s="47" t="s">
        <v>166</v>
      </c>
    </row>
  </sheetData>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Datos</vt:lpstr>
      <vt:lpstr>Cambios</vt:lpstr>
      <vt:lpstr>Sensibilidad</vt:lpstr>
      <vt:lpstr>Ranking</vt:lpstr>
      <vt:lpstr>Spearman</vt:lpstr>
      <vt:lpstr>Bootstrap</vt:lpstr>
      <vt:lpstr>Guía</vt:lpstr>
      <vt:lpstr>Sobol</vt:lpstr>
      <vt:lpstr>Auditoría</vt:lpstr>
      <vt:lpstr>Texto tesis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Carlos Segundo Cohen Manrique</cp:lastModifiedBy>
  <dcterms:modified xsi:type="dcterms:W3CDTF">2026-09-02T20:32:18Z</dcterms:modified>
</cp:coreProperties>
</file>
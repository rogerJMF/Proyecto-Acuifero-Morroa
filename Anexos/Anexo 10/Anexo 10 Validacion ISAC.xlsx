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Anexo 10\"/>
    </mc:Choice>
  </mc:AlternateContent>
  <xr:revisionPtr revIDLastSave="0" documentId="13_ncr:1_{FC821978-F000-45E7-9618-0A93E4E83E02}" xr6:coauthVersionLast="47" xr6:coauthVersionMax="47" xr10:uidLastSave="{00000000-0000-0000-0000-000000000000}"/>
  <bookViews>
    <workbookView xWindow="19090" yWindow="-110" windowWidth="19420" windowHeight="10300" firstSheet="4" activeTab="7" xr2:uid="{00000000-000D-0000-FFFF-FFFF00000000}"/>
  </bookViews>
  <sheets>
    <sheet name="Portada" sheetId="1" r:id="rId1"/>
    <sheet name="Base de cálculo" sheetId="2" r:id="rId2"/>
    <sheet name="Descriptivos" sheetId="3" r:id="rId3"/>
    <sheet name="Perfiles por categoría" sheetId="4" r:id="rId4"/>
    <sheet name="Correlaciones" sheetId="5" r:id="rId5"/>
    <sheet name="Validación estadística" sheetId="6" r:id="rId6"/>
    <sheet name="Bootstrap IC95" sheetId="7" r:id="rId7"/>
    <sheet name="Sensibilidad empírica" sheetId="8" r:id="rId8"/>
    <sheet name="Distribución espacial" sheetId="9" r:id="rId9"/>
    <sheet name="Conclusiones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" i="2"/>
</calcChain>
</file>

<file path=xl/sharedStrings.xml><?xml version="1.0" encoding="utf-8"?>
<sst xmlns="http://schemas.openxmlformats.org/spreadsheetml/2006/main" count="334" uniqueCount="126">
  <si>
    <t>ANEXO 10. VALIDACIÓN, TRAZABILIDAD E INTERPRETACIÓN DEL ÍNDICE DE SOSTENIBILIDAD DEL ACUÍFERO (ISAC)</t>
  </si>
  <si>
    <t>Ventana de análisis: 2010–2025 | Red de monitoreo: 17 pozos</t>
  </si>
  <si>
    <t>Propósito</t>
  </si>
  <si>
    <t>Documentar las variables utilizadas en el cálculo del ISAC, los valores obtenidos por pozo, la clasificación funcional y la validación estadística e hidrogeológica del índice.</t>
  </si>
  <si>
    <t>Variables</t>
  </si>
  <si>
    <t>Desviación estándar (σ), rango de fluctuación, pendiente OLS, autocorrelación de primer orden (ρ₁), porcentaje de datos imputados e ISAC.</t>
  </si>
  <si>
    <t>Categorías</t>
  </si>
  <si>
    <t>Estable (n=4), Transicional (n=8) y Dinámico (n=5).</t>
  </si>
  <si>
    <t>Interpretación</t>
  </si>
  <si>
    <t>Valores altos del ISAC representan mayor estabilidad relativa; valores bajos indican mayor dinamismo, tendencia y vulnerabilidad.</t>
  </si>
  <si>
    <t>Nota metodológica</t>
  </si>
  <si>
    <t>La hoja de sensibilidad presenta una evaluación empírica de asociación y capacidad explicativa; no sustituye la fórmula original del índice.</t>
  </si>
  <si>
    <t>Contenido del libro</t>
  </si>
  <si>
    <t>Pozo</t>
  </si>
  <si>
    <t>σ (m)</t>
  </si>
  <si>
    <t>Rango (m)</t>
  </si>
  <si>
    <t>β OLS (m/año)</t>
  </si>
  <si>
    <t>ρ₁</t>
  </si>
  <si>
    <t>% imputado</t>
  </si>
  <si>
    <t>ISAC</t>
  </si>
  <si>
    <t>Clasificación</t>
  </si>
  <si>
    <t>Latitud</t>
  </si>
  <si>
    <t>Longitud</t>
  </si>
  <si>
    <t>Ranking</t>
  </si>
  <si>
    <t>Sampués – 52-II-C-PZ-01</t>
  </si>
  <si>
    <t>Transicional</t>
  </si>
  <si>
    <t>Finca el Socorro – 44-II-D-PO-02</t>
  </si>
  <si>
    <t>Estable</t>
  </si>
  <si>
    <t>Ovejas – 44-II-D-PO-14</t>
  </si>
  <si>
    <t>Los Palmitos – 44-IV-B-PZ-01</t>
  </si>
  <si>
    <t>Bremen – 44-IV-C-PZ-01 A</t>
  </si>
  <si>
    <t>Bremen – 44-IV-C-PZ-01 B</t>
  </si>
  <si>
    <t>Las Tinas – 44-IV-C-PZ-02 A</t>
  </si>
  <si>
    <t>Dinámico</t>
  </si>
  <si>
    <t>Las Tinas – 44-IV-C-PZ-02 B</t>
  </si>
  <si>
    <t>Arroyo Betulia A – 44-IV-D-PZ-01 A</t>
  </si>
  <si>
    <t>Arroyo Betulia B – 44-IV-D-PZ-01 B</t>
  </si>
  <si>
    <t>Sabanas de Cali – 44-IV-D-PZ-02</t>
  </si>
  <si>
    <t>Finca El Tesoro – 44-IV-D-PZ-04</t>
  </si>
  <si>
    <t>Basurero Viejo – 52-II-B-PZ-01 A</t>
  </si>
  <si>
    <t>Corozal – 44-IV-D-PO-14</t>
  </si>
  <si>
    <t>Corozal – 44-IV-D-PZ-20</t>
  </si>
  <si>
    <t>Corozal – 44-IV-D-PZ-22</t>
  </si>
  <si>
    <t>Cantagallo – 52-II-A-PZ-01</t>
  </si>
  <si>
    <t>Nota: la clasificación funcional corresponde a la base suministrada. La dirección del nivel estático se interpreta como profundidad: pendientes positivas indican profundización del nivel y, por tanto, deterioro relativo.</t>
  </si>
  <si>
    <t>ESTADÍSTICOS DESCRIPTIVOS GLOBALES</t>
  </si>
  <si>
    <t>Variable</t>
  </si>
  <si>
    <t>n</t>
  </si>
  <si>
    <t>Media</t>
  </si>
  <si>
    <t>DE</t>
  </si>
  <si>
    <t>Mínimo</t>
  </si>
  <si>
    <t>P25</t>
  </si>
  <si>
    <t>Mediana</t>
  </si>
  <si>
    <t>P75</t>
  </si>
  <si>
    <t>Máximo</t>
  </si>
  <si>
    <t>CV_pct</t>
  </si>
  <si>
    <t>Sigma_m</t>
  </si>
  <si>
    <t>Rango_m</t>
  </si>
  <si>
    <t>Beta_OLS_m_anio</t>
  </si>
  <si>
    <t>Rho1</t>
  </si>
  <si>
    <t>Pct_Imputado</t>
  </si>
  <si>
    <t>Resumen del ISAC por categoría</t>
  </si>
  <si>
    <t>Lectura: las categorías muestran una gradación monotónica del ISAC. Los pozos estables concentran los valores más altos; los dinámicos, los más bajos; y los transicionales ocupan el intervalo intermedio.</t>
  </si>
  <si>
    <t>Sigma_m_count</t>
  </si>
  <si>
    <t>Sigma_m_mean</t>
  </si>
  <si>
    <t>Sigma_m_std</t>
  </si>
  <si>
    <t>Sigma_m_median</t>
  </si>
  <si>
    <t>Rango_m_count</t>
  </si>
  <si>
    <t>Rango_m_mean</t>
  </si>
  <si>
    <t>Rango_m_std</t>
  </si>
  <si>
    <t>Rango_m_median</t>
  </si>
  <si>
    <t>Beta_OLS_m_anio_count</t>
  </si>
  <si>
    <t>Beta_OLS_m_anio_mean</t>
  </si>
  <si>
    <t>Beta_OLS_m_anio_std</t>
  </si>
  <si>
    <t>Beta_OLS_m_anio_median</t>
  </si>
  <si>
    <t>Rho1_count</t>
  </si>
  <si>
    <t>Rho1_mean</t>
  </si>
  <si>
    <t>Rho1_std</t>
  </si>
  <si>
    <t>Rho1_median</t>
  </si>
  <si>
    <t>Pct_Imputado_count</t>
  </si>
  <si>
    <t>Pct_Imputado_mean</t>
  </si>
  <si>
    <t>Pct_Imputado_std</t>
  </si>
  <si>
    <t>Pct_Imputado_median</t>
  </si>
  <si>
    <t>ISAC_count</t>
  </si>
  <si>
    <t>ISAC_mean</t>
  </si>
  <si>
    <t>ISAC_std</t>
  </si>
  <si>
    <t>ISAC_median</t>
  </si>
  <si>
    <t>Clasificacion</t>
  </si>
  <si>
    <t>Interpretación: los pozos estables presentan menor σ, menor rango y pendientes OLS próximas a cero; los transicionales muestran magnitudes intermedias; los dinámicos concentran los mayores rangos, variabilidad y tendencias de profundización.</t>
  </si>
  <si>
    <t>MATRICES DE CORRELACIÓN</t>
  </si>
  <si>
    <t>Pearson</t>
  </si>
  <si>
    <t>Spearman</t>
  </si>
  <si>
    <t>Lectura principal: el ISAC se relaciona inversamente con σ, rango y pendiente OLS. Por tanto, a mayor variabilidad, amplitud y tendencia de profundización, menor estabilidad relativa. La autocorrelación elevada refleja persistencia temporal, pero discrimina menos entre categorías debido a sus valores cercanos a uno.</t>
  </si>
  <si>
    <t>VALIDACIÓN ENTRE CATEGORÍAS</t>
  </si>
  <si>
    <t>H_Kruskal</t>
  </si>
  <si>
    <t>p_valor</t>
  </si>
  <si>
    <t>Epsilon2</t>
  </si>
  <si>
    <t>Comparaciones pareadas de Mann–Whitney con ajuste de Holm</t>
  </si>
  <si>
    <t>Grupo_A</t>
  </si>
  <si>
    <t>Grupo_B</t>
  </si>
  <si>
    <t>U</t>
  </si>
  <si>
    <t>p_sin_ajuste</t>
  </si>
  <si>
    <t>Rango_biserial</t>
  </si>
  <si>
    <t>p_Holm</t>
  </si>
  <si>
    <t>Resultado global para ISAC: H = 13.765; p = 0.0010; ε² = 0.840. La prueba evalúa si la distribución del índice difiere entre categorías; las comparaciones post hoc permiten identificar qué pares concentran las diferencias.</t>
  </si>
  <si>
    <t>IC95_inf</t>
  </si>
  <si>
    <t>IC95_sup</t>
  </si>
  <si>
    <t>Los intervalos se estimaron mediante remuestreo bootstrap no paramétrico con 10.000 iteraciones. Debido al tamaño reducido de cada categoría, estos intervalos deben interpretarse como una medida de incertidumbre descriptiva y no como sustituto de la validación hidrogeológica.</t>
  </si>
  <si>
    <t>ANÁLISIS EMPÍRICO DE SENSIBILIDAD DEL ISAC</t>
  </si>
  <si>
    <t>Coef_estandarizado</t>
  </si>
  <si>
    <t>Importancia_abs</t>
  </si>
  <si>
    <t>Pérdida de capacidad explicativa al excluir cada variable</t>
  </si>
  <si>
    <t>Variable_excluida</t>
  </si>
  <si>
    <t>R2_sin_variable</t>
  </si>
  <si>
    <t>Pérdida_R2</t>
  </si>
  <si>
    <t>Modelo lineal estandarizado: R² = 0.984. Los coeficientes no representan los pesos formales de la ecuación original; cuantifican la asociación empírica de cada componente con el ISAC observado y permiten detectar dominancia o redundancia potencial.</t>
  </si>
  <si>
    <t>La distribución espacial es exploratoria: las coordenadas se emplean para visualizar la ubicación relativa de los pozos y las categorías del ISAC. No constituye una prueba formal de autocorrelación espacial. Para Moran, Geary, Getis–Ord o variogramas se requiere una base geográfica validada y una matriz de vecindad explícita.</t>
  </si>
  <si>
    <t>CONCLUSIONES DEL ANEXO 10</t>
  </si>
  <si>
    <t>1. El ISAC ordena coherentemente los 17 pozos en una gradación funcional de estabilidad: cuatro estables, ocho transicionales y cinco dinámicos.</t>
  </si>
  <si>
    <t>2. Los pozos estables presentan, en términos comparativos, menor variabilidad, rangos más reducidos y pendientes OLS próximas a cero; estas propiedades sustentan su interpretación como unidades con mayor amortiguación hidráulica.</t>
  </si>
  <si>
    <t>3. Los pozos transicionales muestran valores intermedios del índice y de sus componentes, lo cual es compatible con respuestas progresivas frente a cambios de explotación, recarga y conectividad hidráulica.</t>
  </si>
  <si>
    <t>4. Los pozos dinámicos concentran las mayores amplitudes y tendencias de profundización, acompañadas por valores bajos del ISAC; por ello constituyen prioridades para monitoreo intensivo y gestión adaptativa.</t>
  </si>
  <si>
    <t>5. La autocorrelación lag-1 es alta en la mayoría de las series y confirma persistencia temporal, aunque su capacidad discriminante individual es menor que la de σ, rango y pendiente.</t>
  </si>
  <si>
    <t>6. El análisis de sensibilidad empírica confirma que el ISAC no debe interpretarse como equivalente a una sola métrica. Su valor reside en la integración de dimensiones complementarias de estabilidad temporal.</t>
  </si>
  <si>
    <t>7. La visualización espacial es descriptiva. La demostración de dependencia espacial exige coordenadas verificadas, definición de vecindad y pruebas geoestadísticas específicas.</t>
  </si>
  <si>
    <t>Alcance: el Anexo 10 documenta la trazabilidad, la diferenciación estadística y la interpretación hidrogeológica del ISAC. La validación externa del índice requerirá su aplicación en otros acuíferos y su contraste con variables independientes de explotación, recarga, abatimiento y recuperación.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</si>
</sst>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/>
    <xf numFmtId="0" fontId="0" fillId="0" borderId="5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164" fontId="0" fillId="0" borderId="0" xfId="0" applyNumberFormat="1"/>
    <xf numFmtId="164" fontId="0" fillId="0" borderId="8" xfId="0" applyNumberFormat="1" applyBorder="1"/>
    <xf numFmtId="165" fontId="0" fillId="0" borderId="0" xfId="0" applyNumberFormat="1"/>
    <xf numFmtId="165" fontId="0" fillId="0" borderId="8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166" fontId="0" fillId="0" borderId="0" xfId="0" applyNumberFormat="1"/>
    <xf numFmtId="166" fontId="0" fillId="0" borderId="4" xfId="0" applyNumberFormat="1" applyBorder="1"/>
    <xf numFmtId="166" fontId="0" fillId="0" borderId="8" xfId="0" applyNumberFormat="1" applyBorder="1"/>
    <xf numFmtId="166" fontId="0" fillId="0" borderId="6" xfId="0" applyNumberFormat="1" applyBorder="1"/>
    <xf numFmtId="0" fontId="5" fillId="6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" fontId="0" fillId="0" borderId="4" xfId="0" applyNumberFormat="1" applyBorder="1" applyAlignment="1">
      <alignment horizontal="center" vertical="center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Ranking de ISAC por pozo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C46-4D16-8FFF-66546621EE87}"/>
            </c:ext>
          </c:extLst>
        </c:ser>
        <c:ser>
          <c:idx val="1"/>
          <c:order val="1"/>
          <c:tx>
            <c:v>ISAC</c:v>
          </c:tx>
          <c:invertIfNegative val="1"/>
          <c:cat>
            <c:strRef>
              <c:f>'Base de cálculo'!$A$2:$A$18</c:f>
              <c:strCache>
                <c:ptCount val="17"/>
                <c:pt idx="0">
                  <c:v>Sampués – 52-II-C-PZ-01</c:v>
                </c:pt>
                <c:pt idx="1">
                  <c:v>Finca el Socorro – 44-II-D-PO-02</c:v>
                </c:pt>
                <c:pt idx="2">
                  <c:v>Ovejas – 44-II-D-PO-14</c:v>
                </c:pt>
                <c:pt idx="3">
                  <c:v>Los Palmitos – 44-IV-B-PZ-01</c:v>
                </c:pt>
                <c:pt idx="4">
                  <c:v>Bremen – 44-IV-C-PZ-01 A</c:v>
                </c:pt>
                <c:pt idx="5">
                  <c:v>Bremen – 44-IV-C-PZ-01 B</c:v>
                </c:pt>
                <c:pt idx="6">
                  <c:v>Las Tinas – 44-IV-C-PZ-02 A</c:v>
                </c:pt>
                <c:pt idx="7">
                  <c:v>Las Tinas – 44-IV-C-PZ-02 B</c:v>
                </c:pt>
                <c:pt idx="8">
                  <c:v>Arroyo Betulia A – 44-IV-D-PZ-01 A</c:v>
                </c:pt>
                <c:pt idx="9">
                  <c:v>Arroyo Betulia B – 44-IV-D-PZ-01 B</c:v>
                </c:pt>
                <c:pt idx="10">
                  <c:v>Sabanas de Cali – 44-IV-D-PZ-02</c:v>
                </c:pt>
                <c:pt idx="11">
                  <c:v>Finca El Tesoro – 44-IV-D-PZ-04</c:v>
                </c:pt>
                <c:pt idx="12">
                  <c:v>Basurero Viejo – 52-II-B-PZ-01 A</c:v>
                </c:pt>
                <c:pt idx="13">
                  <c:v>Corozal – 44-IV-D-PO-14</c:v>
                </c:pt>
                <c:pt idx="14">
                  <c:v>Corozal – 44-IV-D-PZ-20</c:v>
                </c:pt>
                <c:pt idx="15">
                  <c:v>Corozal – 44-IV-D-PZ-22</c:v>
                </c:pt>
                <c:pt idx="16">
                  <c:v>Cantagallo – 52-II-A-PZ-01</c:v>
                </c:pt>
              </c:strCache>
            </c:strRef>
          </c:cat>
          <c:val>
            <c:numRef>
              <c:f>'Base de cálculo'!$G$2:$G$18</c:f>
              <c:numCache>
                <c:formatCode>0.000</c:formatCode>
                <c:ptCount val="17"/>
                <c:pt idx="0">
                  <c:v>0.42</c:v>
                </c:pt>
                <c:pt idx="1">
                  <c:v>0.84</c:v>
                </c:pt>
                <c:pt idx="2">
                  <c:v>0.62</c:v>
                </c:pt>
                <c:pt idx="3">
                  <c:v>0.55000000000000004</c:v>
                </c:pt>
                <c:pt idx="4">
                  <c:v>0.88</c:v>
                </c:pt>
                <c:pt idx="5">
                  <c:v>0.83</c:v>
                </c:pt>
                <c:pt idx="6">
                  <c:v>0.21</c:v>
                </c:pt>
                <c:pt idx="7">
                  <c:v>0.9</c:v>
                </c:pt>
                <c:pt idx="8">
                  <c:v>0.18</c:v>
                </c:pt>
                <c:pt idx="9">
                  <c:v>0.71</c:v>
                </c:pt>
                <c:pt idx="10">
                  <c:v>0.14000000000000001</c:v>
                </c:pt>
                <c:pt idx="11">
                  <c:v>0.5</c:v>
                </c:pt>
                <c:pt idx="12">
                  <c:v>0.68</c:v>
                </c:pt>
                <c:pt idx="13">
                  <c:v>0.23</c:v>
                </c:pt>
                <c:pt idx="14">
                  <c:v>0.74</c:v>
                </c:pt>
                <c:pt idx="15">
                  <c:v>0.19</c:v>
                </c:pt>
                <c:pt idx="16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6-4D16-8FFF-66546621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Perfil medio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Sigma_m</c:v>
          </c:tx>
          <c:invertIfNegative val="1"/>
          <c:cat>
            <c:strRef>
              <c:f>'Perfiles por categoría'!$A$9:$A$11</c:f>
              <c:strCache>
                <c:ptCount val="3"/>
                <c:pt idx="0">
                  <c:v>Estable</c:v>
                </c:pt>
                <c:pt idx="1">
                  <c:v>Transicional</c:v>
                </c:pt>
                <c:pt idx="2">
                  <c:v>Dinámico</c:v>
                </c:pt>
              </c:strCache>
            </c:strRef>
          </c:cat>
          <c:val>
            <c:numRef>
              <c:f>'Perfiles por categoría'!$B$9:$B$11</c:f>
              <c:numCache>
                <c:formatCode>0.000</c:formatCode>
                <c:ptCount val="3"/>
                <c:pt idx="0">
                  <c:v>0.63</c:v>
                </c:pt>
                <c:pt idx="1">
                  <c:v>2.8525</c:v>
                </c:pt>
                <c:pt idx="2">
                  <c:v>6.5140000000000002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A-40E2-91E0-BE82690AD4DE}"/>
            </c:ext>
          </c:extLst>
        </c:ser>
        <c:ser>
          <c:idx val="1"/>
          <c:order val="1"/>
          <c:tx>
            <c:v>Rango_m</c:v>
          </c:tx>
          <c:invertIfNegative val="1"/>
          <c:cat>
            <c:strRef>
              <c:f>'Perfiles por categoría'!$A$9:$A$11</c:f>
              <c:strCache>
                <c:ptCount val="3"/>
                <c:pt idx="0">
                  <c:v>Estable</c:v>
                </c:pt>
                <c:pt idx="1">
                  <c:v>Transicional</c:v>
                </c:pt>
                <c:pt idx="2">
                  <c:v>Dinámico</c:v>
                </c:pt>
              </c:strCache>
            </c:strRef>
          </c:cat>
          <c:val>
            <c:numRef>
              <c:f>'Perfiles por categoría'!$C$9:$C$11</c:f>
              <c:numCache>
                <c:formatCode>0.000</c:formatCode>
                <c:ptCount val="3"/>
                <c:pt idx="0">
                  <c:v>2.4550000000000001</c:v>
                </c:pt>
                <c:pt idx="1">
                  <c:v>10.342499999999999</c:v>
                </c:pt>
                <c:pt idx="2">
                  <c:v>25.246000000000002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BA-40E2-91E0-BE82690AD4DE}"/>
            </c:ext>
          </c:extLst>
        </c:ser>
        <c:ser>
          <c:idx val="2"/>
          <c:order val="2"/>
          <c:tx>
            <c:v>Beta_OLS_m_anio</c:v>
          </c:tx>
          <c:invertIfNegative val="1"/>
          <c:cat>
            <c:strRef>
              <c:f>'Perfiles por categoría'!$A$9:$A$11</c:f>
              <c:strCache>
                <c:ptCount val="3"/>
                <c:pt idx="0">
                  <c:v>Estable</c:v>
                </c:pt>
                <c:pt idx="1">
                  <c:v>Transicional</c:v>
                </c:pt>
                <c:pt idx="2">
                  <c:v>Dinámico</c:v>
                </c:pt>
              </c:strCache>
            </c:strRef>
          </c:cat>
          <c:val>
            <c:numRef>
              <c:f>'Perfiles por categoría'!$D$9:$D$11</c:f>
              <c:numCache>
                <c:formatCode>0.000</c:formatCode>
                <c:ptCount val="3"/>
                <c:pt idx="0">
                  <c:v>7.1250000000000008E-2</c:v>
                </c:pt>
                <c:pt idx="1">
                  <c:v>0.48250000000000004</c:v>
                </c:pt>
                <c:pt idx="2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BA-40E2-91E0-BE82690AD4DE}"/>
            </c:ext>
          </c:extLst>
        </c:ser>
        <c:ser>
          <c:idx val="3"/>
          <c:order val="3"/>
          <c:tx>
            <c:v>Rho1</c:v>
          </c:tx>
          <c:invertIfNegative val="1"/>
          <c:cat>
            <c:strRef>
              <c:f>'Perfiles por categoría'!$A$9:$A$11</c:f>
              <c:strCache>
                <c:ptCount val="3"/>
                <c:pt idx="0">
                  <c:v>Estable</c:v>
                </c:pt>
                <c:pt idx="1">
                  <c:v>Transicional</c:v>
                </c:pt>
                <c:pt idx="2">
                  <c:v>Dinámico</c:v>
                </c:pt>
              </c:strCache>
            </c:strRef>
          </c:cat>
          <c:val>
            <c:numRef>
              <c:f>'Perfiles por categoría'!$E$9:$E$11</c:f>
              <c:numCache>
                <c:formatCode>0.000</c:formatCode>
                <c:ptCount val="3"/>
                <c:pt idx="0">
                  <c:v>0.89</c:v>
                </c:pt>
                <c:pt idx="1">
                  <c:v>0.94499999999999995</c:v>
                </c:pt>
                <c:pt idx="2">
                  <c:v>0.98599999999999999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BA-40E2-91E0-BE82690AD4DE}"/>
            </c:ext>
          </c:extLst>
        </c:ser>
        <c:ser>
          <c:idx val="4"/>
          <c:order val="4"/>
          <c:tx>
            <c:v>ISAC</c:v>
          </c:tx>
          <c:invertIfNegative val="1"/>
          <c:cat>
            <c:strRef>
              <c:f>'Perfiles por categoría'!$A$9:$A$11</c:f>
              <c:strCache>
                <c:ptCount val="3"/>
                <c:pt idx="0">
                  <c:v>Estable</c:v>
                </c:pt>
                <c:pt idx="1">
                  <c:v>Transicional</c:v>
                </c:pt>
                <c:pt idx="2">
                  <c:v>Dinámico</c:v>
                </c:pt>
              </c:strCache>
            </c:strRef>
          </c:cat>
          <c:val>
            <c:numRef>
              <c:f>'Perfiles por categoría'!$F$9:$F$11</c:f>
              <c:numCache>
                <c:formatCode>0.000</c:formatCode>
                <c:ptCount val="3"/>
                <c:pt idx="0">
                  <c:v>0.86250000000000004</c:v>
                </c:pt>
                <c:pt idx="1">
                  <c:v>0.6</c:v>
                </c:pt>
                <c:pt idx="2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BA-40E2-91E0-BE82690A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Coeficientes estandarizados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Coef_estandarizado</c:v>
          </c:tx>
          <c:invertIfNegative val="1"/>
          <c:cat>
            <c:strRef>
              <c:f>'Sensibilidad empírica'!$A$5:$A$9</c:f>
              <c:strCache>
                <c:ptCount val="5"/>
                <c:pt idx="0">
                  <c:v>Sigma_m</c:v>
                </c:pt>
                <c:pt idx="1">
                  <c:v>Rango_m</c:v>
                </c:pt>
                <c:pt idx="2">
                  <c:v>Rho1</c:v>
                </c:pt>
                <c:pt idx="3">
                  <c:v>Beta_OLS_m_anio</c:v>
                </c:pt>
                <c:pt idx="4">
                  <c:v>Pct_Imputado</c:v>
                </c:pt>
              </c:strCache>
            </c:strRef>
          </c:cat>
          <c:val>
            <c:numRef>
              <c:f>'Sensibilidad empírica'!$B$5:$B$9</c:f>
              <c:numCache>
                <c:formatCode>0.0000</c:formatCode>
                <c:ptCount val="5"/>
                <c:pt idx="0">
                  <c:v>-0.37993389742760442</c:v>
                </c:pt>
                <c:pt idx="1">
                  <c:v>-0.29756161217737009</c:v>
                </c:pt>
                <c:pt idx="2">
                  <c:v>-0.26279904874017868</c:v>
                </c:pt>
                <c:pt idx="3">
                  <c:v>-9.0408518302865101E-2</c:v>
                </c:pt>
                <c:pt idx="4">
                  <c:v>-3.161535628127949E-2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5-4533-BF95-7F985A6D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Pozos</c:v>
          </c:tx>
          <c:xVal>
            <c:numLit>
              <c:formatCode>General</c:formatCode>
              <c:ptCount val="34"/>
              <c:pt idx="13">
                <c:v>0</c:v>
              </c:pt>
              <c:pt idx="27">
                <c:v>2</c:v>
              </c:pt>
              <c:pt idx="32">
                <c:v>1</c:v>
              </c:pt>
              <c:pt idx="33">
                <c:v>8</c:v>
              </c:pt>
            </c:numLit>
          </c:xVal>
          <c:yVal>
            <c:numRef>
              <c:f>'Distribución espacial'!$B$2:$B$18</c:f>
              <c:numCache>
                <c:formatCode>0.000000</c:formatCode>
                <c:ptCount val="17"/>
                <c:pt idx="0">
                  <c:v>9.2391989999999993</c:v>
                </c:pt>
                <c:pt idx="1">
                  <c:v>9.5023900000000001</c:v>
                </c:pt>
                <c:pt idx="2">
                  <c:v>9.5092630000000007</c:v>
                </c:pt>
                <c:pt idx="3">
                  <c:v>9.4062789999999996</c:v>
                </c:pt>
                <c:pt idx="4">
                  <c:v>9.4232510000000005</c:v>
                </c:pt>
                <c:pt idx="5">
                  <c:v>9.5153870000000005</c:v>
                </c:pt>
                <c:pt idx="6">
                  <c:v>9.5138200000000008</c:v>
                </c:pt>
                <c:pt idx="7">
                  <c:v>9.514246</c:v>
                </c:pt>
                <c:pt idx="8">
                  <c:v>9.4130900000000004</c:v>
                </c:pt>
                <c:pt idx="9">
                  <c:v>9.4130009999999995</c:v>
                </c:pt>
                <c:pt idx="10">
                  <c:v>9.3546720000000008</c:v>
                </c:pt>
                <c:pt idx="11">
                  <c:v>9.3424990000000001</c:v>
                </c:pt>
                <c:pt idx="12">
                  <c:v>9.3349259999999994</c:v>
                </c:pt>
                <c:pt idx="13">
                  <c:v>9.3226119999999995</c:v>
                </c:pt>
                <c:pt idx="14">
                  <c:v>9.3258960000000002</c:v>
                </c:pt>
                <c:pt idx="15">
                  <c:v>9.3348820000000003</c:v>
                </c:pt>
                <c:pt idx="16">
                  <c:v>9.2601279999999999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A-4F1E-B9A2-06FFF50F2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B9" sqref="B9"/>
    </sheetView>
  </sheetViews>
  <sheetFormatPr baseColWidth="10" defaultColWidth="8.796875" defaultRowHeight="13.8"/>
  <cols>
    <col min="1" max="1" width="24" customWidth="1"/>
    <col min="2" max="2" width="70" customWidth="1"/>
  </cols>
  <sheetData>
    <row r="1" spans="1:8">
      <c r="A1" s="30" t="s">
        <v>0</v>
      </c>
      <c r="B1" s="30"/>
      <c r="C1" s="30"/>
      <c r="D1" s="30"/>
      <c r="E1" s="30"/>
      <c r="F1" s="30"/>
      <c r="G1" s="30"/>
      <c r="H1" s="30"/>
    </row>
    <row r="2" spans="1:8" ht="27.6" customHeight="1">
      <c r="A2" s="30"/>
      <c r="B2" s="30"/>
      <c r="C2" s="30"/>
      <c r="D2" s="30"/>
      <c r="E2" s="30"/>
      <c r="F2" s="30"/>
      <c r="G2" s="30"/>
      <c r="H2" s="30"/>
    </row>
    <row r="3" spans="1:8">
      <c r="A3" s="11"/>
      <c r="B3" s="11"/>
      <c r="C3" s="11"/>
      <c r="D3" s="11"/>
      <c r="E3" s="11"/>
      <c r="F3" s="11"/>
      <c r="G3" s="11"/>
      <c r="H3" s="11"/>
    </row>
    <row r="4" spans="1:8">
      <c r="A4" s="31" t="s">
        <v>1</v>
      </c>
      <c r="B4" s="31"/>
      <c r="C4" s="31"/>
      <c r="D4" s="31"/>
      <c r="E4" s="31"/>
      <c r="F4" s="31"/>
      <c r="G4" s="31"/>
      <c r="H4" s="31"/>
    </row>
    <row r="5" spans="1:8">
      <c r="A5" s="11"/>
      <c r="B5" s="11"/>
      <c r="C5" s="11"/>
      <c r="D5" s="11"/>
      <c r="E5" s="11"/>
      <c r="F5" s="11"/>
      <c r="G5" s="11"/>
      <c r="H5" s="11"/>
    </row>
    <row r="6" spans="1:8" ht="27.6">
      <c r="A6" s="1" t="s">
        <v>2</v>
      </c>
      <c r="B6" s="6" t="s">
        <v>3</v>
      </c>
      <c r="C6" s="11"/>
      <c r="D6" s="11"/>
      <c r="E6" s="11"/>
      <c r="F6" s="11"/>
      <c r="G6" s="11"/>
      <c r="H6" s="11"/>
    </row>
    <row r="7" spans="1:8" ht="27.6">
      <c r="A7" s="2" t="s">
        <v>4</v>
      </c>
      <c r="B7" s="7" t="s">
        <v>5</v>
      </c>
      <c r="C7" s="11"/>
      <c r="D7" s="11"/>
      <c r="E7" s="11"/>
      <c r="F7" s="11"/>
      <c r="G7" s="11"/>
      <c r="H7" s="11"/>
    </row>
    <row r="8" spans="1:8">
      <c r="A8" s="2" t="s">
        <v>6</v>
      </c>
      <c r="B8" s="7" t="s">
        <v>7</v>
      </c>
      <c r="C8" s="11"/>
      <c r="D8" s="11"/>
      <c r="E8" s="11"/>
      <c r="F8" s="11"/>
      <c r="G8" s="11"/>
      <c r="H8" s="11"/>
    </row>
    <row r="9" spans="1:8" ht="27.6">
      <c r="A9" s="2" t="s">
        <v>8</v>
      </c>
      <c r="B9" s="7" t="s">
        <v>9</v>
      </c>
      <c r="C9" s="11"/>
      <c r="D9" s="11"/>
      <c r="E9" s="11"/>
      <c r="F9" s="11"/>
      <c r="G9" s="11"/>
      <c r="H9" s="11"/>
    </row>
    <row r="10" spans="1:8" ht="27.6">
      <c r="A10" s="4" t="s">
        <v>10</v>
      </c>
      <c r="B10" s="8" t="s">
        <v>11</v>
      </c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31" t="s">
        <v>12</v>
      </c>
      <c r="B12" s="31"/>
      <c r="C12" s="31"/>
      <c r="D12" s="31"/>
      <c r="E12" s="31"/>
      <c r="F12" s="31"/>
      <c r="G12" s="31"/>
      <c r="H12" s="31"/>
    </row>
    <row r="13" spans="1:8">
      <c r="A13" s="12"/>
      <c r="B13" s="6"/>
      <c r="C13" s="11"/>
      <c r="D13" s="11"/>
      <c r="E13" s="11"/>
      <c r="F13" s="11"/>
      <c r="G13" s="11"/>
      <c r="H13" s="11"/>
    </row>
    <row r="14" spans="1:8">
      <c r="A14" s="13"/>
      <c r="B14" s="7"/>
      <c r="C14" s="11"/>
      <c r="D14" s="11"/>
      <c r="E14" s="11"/>
      <c r="F14" s="11"/>
      <c r="G14" s="11"/>
      <c r="H14" s="11"/>
    </row>
    <row r="15" spans="1:8">
      <c r="A15" s="13"/>
      <c r="B15" s="7"/>
      <c r="C15" s="11"/>
      <c r="D15" s="11"/>
      <c r="E15" s="11"/>
      <c r="F15" s="11"/>
      <c r="G15" s="11"/>
      <c r="H15" s="11"/>
    </row>
    <row r="16" spans="1:8">
      <c r="A16" s="13"/>
      <c r="B16" s="7"/>
      <c r="C16" s="11"/>
      <c r="D16" s="11"/>
      <c r="E16" s="11"/>
      <c r="F16" s="11"/>
      <c r="G16" s="11"/>
      <c r="H16" s="11"/>
    </row>
    <row r="17" spans="1:8">
      <c r="A17" s="13"/>
      <c r="B17" s="7"/>
      <c r="C17" s="11"/>
      <c r="D17" s="11"/>
      <c r="E17" s="11"/>
      <c r="F17" s="11"/>
      <c r="G17" s="11"/>
      <c r="H17" s="11"/>
    </row>
    <row r="18" spans="1:8">
      <c r="A18" s="13"/>
      <c r="B18" s="7"/>
      <c r="C18" s="11"/>
      <c r="D18" s="11"/>
      <c r="E18" s="11"/>
      <c r="F18" s="11"/>
      <c r="G18" s="11"/>
      <c r="H18" s="11"/>
    </row>
    <row r="19" spans="1:8">
      <c r="A19" s="13"/>
      <c r="B19" s="7"/>
      <c r="C19" s="11"/>
      <c r="D19" s="11"/>
      <c r="E19" s="11"/>
      <c r="F19" s="11"/>
      <c r="G19" s="11"/>
      <c r="H19" s="11"/>
    </row>
    <row r="20" spans="1:8">
      <c r="A20" s="13"/>
      <c r="B20" s="7"/>
      <c r="C20" s="11"/>
      <c r="D20" s="11"/>
      <c r="E20" s="11"/>
      <c r="F20" s="11"/>
      <c r="G20" s="11"/>
      <c r="H20" s="11"/>
    </row>
    <row r="21" spans="1:8">
      <c r="A21" s="13"/>
      <c r="B21" s="7"/>
      <c r="C21" s="11"/>
      <c r="D21" s="11"/>
      <c r="E21" s="11"/>
      <c r="F21" s="11"/>
      <c r="G21" s="11"/>
      <c r="H21" s="11"/>
    </row>
    <row r="22" spans="1:8">
      <c r="A22" s="14"/>
      <c r="B22" s="8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</sheetData>
  <mergeCells count="3">
    <mergeCell ref="A1:H2"/>
    <mergeCell ref="A4:H4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zoomScale="90" zoomScaleNormal="90" workbookViewId="0">
      <selection activeCell="A4" sqref="A4:XFD4"/>
    </sheetView>
  </sheetViews>
  <sheetFormatPr baseColWidth="10" defaultColWidth="8.796875" defaultRowHeight="13.8"/>
  <cols>
    <col min="1" max="1" width="42" customWidth="1"/>
    <col min="2" max="3" width="12" customWidth="1"/>
    <col min="4" max="4" width="15" customWidth="1"/>
    <col min="5" max="5" width="10" customWidth="1"/>
    <col min="6" max="6" width="12" customWidth="1"/>
    <col min="7" max="7" width="10" customWidth="1"/>
    <col min="8" max="8" width="16" customWidth="1"/>
    <col min="9" max="10" width="12" customWidth="1"/>
    <col min="11" max="11" width="11.8984375" bestFit="1" customWidth="1"/>
  </cols>
  <sheetData>
    <row r="1" spans="1:11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  <c r="K1" s="17" t="s">
        <v>23</v>
      </c>
    </row>
    <row r="2" spans="1:11">
      <c r="A2" s="9" t="s">
        <v>24</v>
      </c>
      <c r="B2" s="19">
        <v>4.7</v>
      </c>
      <c r="C2" s="19">
        <v>15.28</v>
      </c>
      <c r="D2" s="19">
        <v>0.98</v>
      </c>
      <c r="E2" s="19">
        <v>0.97</v>
      </c>
      <c r="F2" s="19">
        <v>0.14000000000000001</v>
      </c>
      <c r="G2" s="19">
        <v>0.42</v>
      </c>
      <c r="H2" t="s">
        <v>25</v>
      </c>
      <c r="I2" s="21">
        <v>9.2391989999999993</v>
      </c>
      <c r="J2" s="21">
        <v>-75.380207999999996</v>
      </c>
      <c r="K2" s="37">
        <f>RANK(G2,$G$2:$G$18,0)</f>
        <v>12</v>
      </c>
    </row>
    <row r="3" spans="1:11">
      <c r="A3" s="9" t="s">
        <v>26</v>
      </c>
      <c r="B3" s="19">
        <v>0.64</v>
      </c>
      <c r="C3" s="19">
        <v>3.13</v>
      </c>
      <c r="D3" s="19">
        <v>7.4999999999999997E-2</v>
      </c>
      <c r="E3" s="19">
        <v>0.91</v>
      </c>
      <c r="F3" s="19">
        <v>0.2</v>
      </c>
      <c r="G3" s="19">
        <v>0.84</v>
      </c>
      <c r="H3" t="s">
        <v>27</v>
      </c>
      <c r="I3" s="21">
        <v>9.5023900000000001</v>
      </c>
      <c r="J3" s="21">
        <v>-75.314937</v>
      </c>
      <c r="K3" s="37">
        <f t="shared" ref="K3:K18" si="0">RANK(G3,$G$2:$G$18,0)</f>
        <v>3</v>
      </c>
    </row>
    <row r="4" spans="1:11">
      <c r="A4" s="9" t="s">
        <v>28</v>
      </c>
      <c r="B4" s="19">
        <v>2.78</v>
      </c>
      <c r="C4" s="19">
        <v>8.19</v>
      </c>
      <c r="D4" s="19">
        <v>0.38</v>
      </c>
      <c r="E4" s="19">
        <v>0.94</v>
      </c>
      <c r="F4" s="19">
        <v>0.19</v>
      </c>
      <c r="G4" s="19">
        <v>0.62</v>
      </c>
      <c r="H4" t="s">
        <v>25</v>
      </c>
      <c r="I4" s="21">
        <v>9.5092630000000007</v>
      </c>
      <c r="J4" s="21">
        <v>-75.297387999999998</v>
      </c>
      <c r="K4" s="37">
        <f t="shared" si="0"/>
        <v>8</v>
      </c>
    </row>
    <row r="5" spans="1:11">
      <c r="A5" s="9" t="s">
        <v>29</v>
      </c>
      <c r="B5" s="19">
        <v>3.85</v>
      </c>
      <c r="C5" s="19">
        <v>10.42</v>
      </c>
      <c r="D5" s="19">
        <v>-0.12</v>
      </c>
      <c r="E5" s="19">
        <v>0.95</v>
      </c>
      <c r="F5" s="19">
        <v>0.12</v>
      </c>
      <c r="G5" s="19">
        <v>0.55000000000000004</v>
      </c>
      <c r="H5" t="s">
        <v>25</v>
      </c>
      <c r="I5" s="21">
        <v>9.4062789999999996</v>
      </c>
      <c r="J5" s="21">
        <v>-75.336856999999995</v>
      </c>
      <c r="K5" s="37">
        <f t="shared" si="0"/>
        <v>10</v>
      </c>
    </row>
    <row r="6" spans="1:11">
      <c r="A6" s="9" t="s">
        <v>30</v>
      </c>
      <c r="B6" s="19">
        <v>0.62</v>
      </c>
      <c r="C6" s="19">
        <v>2.3199999999999998</v>
      </c>
      <c r="D6" s="19">
        <v>0.05</v>
      </c>
      <c r="E6" s="19">
        <v>0.88</v>
      </c>
      <c r="F6" s="19">
        <v>0.09</v>
      </c>
      <c r="G6" s="19">
        <v>0.88</v>
      </c>
      <c r="H6" t="s">
        <v>27</v>
      </c>
      <c r="I6" s="21">
        <v>9.4232510000000005</v>
      </c>
      <c r="J6" s="21">
        <v>-75.310760000000002</v>
      </c>
      <c r="K6" s="37">
        <f t="shared" si="0"/>
        <v>2</v>
      </c>
    </row>
    <row r="7" spans="1:11">
      <c r="A7" s="9" t="s">
        <v>31</v>
      </c>
      <c r="B7" s="19">
        <v>0.79</v>
      </c>
      <c r="C7" s="19">
        <v>2.5099999999999998</v>
      </c>
      <c r="D7" s="19">
        <v>0.09</v>
      </c>
      <c r="E7" s="19">
        <v>0.9</v>
      </c>
      <c r="F7" s="19">
        <v>0.09</v>
      </c>
      <c r="G7" s="19">
        <v>0.83</v>
      </c>
      <c r="H7" t="s">
        <v>27</v>
      </c>
      <c r="I7" s="21">
        <v>9.5153870000000005</v>
      </c>
      <c r="J7" s="21">
        <v>-75.295698000000002</v>
      </c>
      <c r="K7" s="37">
        <f t="shared" si="0"/>
        <v>4</v>
      </c>
    </row>
    <row r="8" spans="1:11">
      <c r="A8" s="9" t="s">
        <v>32</v>
      </c>
      <c r="B8" s="19">
        <v>5.12</v>
      </c>
      <c r="C8" s="19">
        <v>23.37</v>
      </c>
      <c r="D8" s="19">
        <v>1.04</v>
      </c>
      <c r="E8" s="19">
        <v>0.98</v>
      </c>
      <c r="F8" s="19">
        <v>0.12</v>
      </c>
      <c r="G8" s="19">
        <v>0.21</v>
      </c>
      <c r="H8" t="s">
        <v>33</v>
      </c>
      <c r="I8" s="21">
        <v>9.5138200000000008</v>
      </c>
      <c r="J8" s="21">
        <v>-75.312683000000007</v>
      </c>
      <c r="K8" s="37">
        <f t="shared" si="0"/>
        <v>14</v>
      </c>
    </row>
    <row r="9" spans="1:11">
      <c r="A9" s="9" t="s">
        <v>34</v>
      </c>
      <c r="B9" s="19">
        <v>0.47</v>
      </c>
      <c r="C9" s="19">
        <v>1.86</v>
      </c>
      <c r="D9" s="19">
        <v>7.0000000000000007E-2</v>
      </c>
      <c r="E9" s="19">
        <v>0.87</v>
      </c>
      <c r="F9" s="19">
        <v>0.16</v>
      </c>
      <c r="G9" s="19">
        <v>0.9</v>
      </c>
      <c r="H9" t="s">
        <v>27</v>
      </c>
      <c r="I9" s="21">
        <v>9.514246</v>
      </c>
      <c r="J9" s="21">
        <v>-75.312537000000006</v>
      </c>
      <c r="K9" s="37">
        <f t="shared" si="0"/>
        <v>1</v>
      </c>
    </row>
    <row r="10" spans="1:11">
      <c r="A10" s="9" t="s">
        <v>35</v>
      </c>
      <c r="B10" s="19">
        <v>6.4</v>
      </c>
      <c r="C10" s="19">
        <v>29.07</v>
      </c>
      <c r="D10" s="19">
        <v>1.42</v>
      </c>
      <c r="E10" s="19">
        <v>0.99</v>
      </c>
      <c r="F10" s="19">
        <v>0.11</v>
      </c>
      <c r="G10" s="19">
        <v>0.18</v>
      </c>
      <c r="H10" t="s">
        <v>33</v>
      </c>
      <c r="I10" s="21">
        <v>9.4130900000000004</v>
      </c>
      <c r="J10" s="21">
        <v>-75.370315000000005</v>
      </c>
      <c r="K10" s="37">
        <f t="shared" si="0"/>
        <v>16</v>
      </c>
    </row>
    <row r="11" spans="1:11">
      <c r="A11" s="9" t="s">
        <v>36</v>
      </c>
      <c r="B11" s="19">
        <v>0.88</v>
      </c>
      <c r="C11" s="19">
        <v>3.96</v>
      </c>
      <c r="D11" s="19">
        <v>0.45</v>
      </c>
      <c r="E11" s="19">
        <v>0.93</v>
      </c>
      <c r="F11" s="19">
        <v>0.12</v>
      </c>
      <c r="G11" s="19">
        <v>0.71</v>
      </c>
      <c r="H11" t="s">
        <v>25</v>
      </c>
      <c r="I11" s="21">
        <v>9.4130009999999995</v>
      </c>
      <c r="J11" s="21">
        <v>-75.370187000000001</v>
      </c>
      <c r="K11" s="37">
        <f t="shared" si="0"/>
        <v>6</v>
      </c>
    </row>
    <row r="12" spans="1:11">
      <c r="A12" s="9" t="s">
        <v>37</v>
      </c>
      <c r="B12" s="19">
        <v>7.9</v>
      </c>
      <c r="C12" s="19">
        <v>25.67</v>
      </c>
      <c r="D12" s="19">
        <v>1.61</v>
      </c>
      <c r="E12" s="19">
        <v>0.99</v>
      </c>
      <c r="F12" s="19">
        <v>0.05</v>
      </c>
      <c r="G12" s="19">
        <v>0.14000000000000001</v>
      </c>
      <c r="H12" t="s">
        <v>33</v>
      </c>
      <c r="I12" s="21">
        <v>9.3546720000000008</v>
      </c>
      <c r="J12" s="21">
        <v>-75.366541999999995</v>
      </c>
      <c r="K12" s="37">
        <f t="shared" si="0"/>
        <v>17</v>
      </c>
    </row>
    <row r="13" spans="1:11">
      <c r="A13" s="9" t="s">
        <v>38</v>
      </c>
      <c r="B13" s="19">
        <v>3.72</v>
      </c>
      <c r="C13" s="19">
        <v>20.45</v>
      </c>
      <c r="D13" s="19">
        <v>0.82</v>
      </c>
      <c r="E13" s="19">
        <v>0.96</v>
      </c>
      <c r="F13" s="19">
        <v>7.0000000000000007E-2</v>
      </c>
      <c r="G13" s="19">
        <v>0.5</v>
      </c>
      <c r="H13" t="s">
        <v>25</v>
      </c>
      <c r="I13" s="21">
        <v>9.3424990000000001</v>
      </c>
      <c r="J13" s="21">
        <v>-75.360330000000005</v>
      </c>
      <c r="K13" s="37">
        <f t="shared" si="0"/>
        <v>11</v>
      </c>
    </row>
    <row r="14" spans="1:11">
      <c r="A14" s="9" t="s">
        <v>39</v>
      </c>
      <c r="B14" s="19">
        <v>2.4</v>
      </c>
      <c r="C14" s="19">
        <v>7.62</v>
      </c>
      <c r="D14" s="19">
        <v>0.49</v>
      </c>
      <c r="E14" s="19">
        <v>0.94</v>
      </c>
      <c r="F14" s="19">
        <v>0.11</v>
      </c>
      <c r="G14" s="19">
        <v>0.68</v>
      </c>
      <c r="H14" t="s">
        <v>25</v>
      </c>
      <c r="I14" s="21">
        <v>9.3349259999999994</v>
      </c>
      <c r="J14" s="21">
        <v>-75.360091999999995</v>
      </c>
      <c r="K14" s="37">
        <f t="shared" si="0"/>
        <v>7</v>
      </c>
    </row>
    <row r="15" spans="1:11">
      <c r="A15" s="9" t="s">
        <v>40</v>
      </c>
      <c r="B15" s="19">
        <v>6.85</v>
      </c>
      <c r="C15" s="19">
        <v>24.6</v>
      </c>
      <c r="D15" s="19">
        <v>1.39</v>
      </c>
      <c r="E15" s="19">
        <v>0.98</v>
      </c>
      <c r="F15" s="19">
        <v>0.1</v>
      </c>
      <c r="G15" s="19">
        <v>0.23</v>
      </c>
      <c r="H15" t="s">
        <v>33</v>
      </c>
      <c r="I15" s="21">
        <v>9.3226119999999995</v>
      </c>
      <c r="J15" s="21">
        <v>-75.289133000000007</v>
      </c>
      <c r="K15" s="37">
        <f t="shared" si="0"/>
        <v>13</v>
      </c>
    </row>
    <row r="16" spans="1:11">
      <c r="A16" s="9" t="s">
        <v>41</v>
      </c>
      <c r="B16" s="19">
        <v>1.47</v>
      </c>
      <c r="C16" s="19">
        <v>4.6900000000000004</v>
      </c>
      <c r="D16" s="19">
        <v>0.31</v>
      </c>
      <c r="E16" s="19">
        <v>0.92</v>
      </c>
      <c r="F16" s="19">
        <v>0.17</v>
      </c>
      <c r="G16" s="19">
        <v>0.74</v>
      </c>
      <c r="H16" t="s">
        <v>25</v>
      </c>
      <c r="I16" s="21">
        <v>9.3258960000000002</v>
      </c>
      <c r="J16" s="21">
        <v>-75.300736000000001</v>
      </c>
      <c r="K16" s="37">
        <f t="shared" si="0"/>
        <v>5</v>
      </c>
    </row>
    <row r="17" spans="1:11">
      <c r="A17" s="9" t="s">
        <v>42</v>
      </c>
      <c r="B17" s="19">
        <v>6.3</v>
      </c>
      <c r="C17" s="19">
        <v>23.52</v>
      </c>
      <c r="D17" s="19">
        <v>1.64</v>
      </c>
      <c r="E17" s="19">
        <v>0.99</v>
      </c>
      <c r="F17" s="19">
        <v>0.15</v>
      </c>
      <c r="G17" s="19">
        <v>0.19</v>
      </c>
      <c r="H17" t="s">
        <v>33</v>
      </c>
      <c r="I17" s="21">
        <v>9.3348820000000003</v>
      </c>
      <c r="J17" s="21">
        <v>-75.305818000000002</v>
      </c>
      <c r="K17" s="37">
        <f t="shared" si="0"/>
        <v>15</v>
      </c>
    </row>
    <row r="18" spans="1:11">
      <c r="A18" s="10" t="s">
        <v>43</v>
      </c>
      <c r="B18" s="20">
        <v>3.02</v>
      </c>
      <c r="C18" s="20">
        <v>12.13</v>
      </c>
      <c r="D18" s="20">
        <v>0.55000000000000004</v>
      </c>
      <c r="E18" s="20">
        <v>0.95</v>
      </c>
      <c r="F18" s="20">
        <v>0.11</v>
      </c>
      <c r="G18" s="20">
        <v>0.57999999999999996</v>
      </c>
      <c r="H18" s="18" t="s">
        <v>25</v>
      </c>
      <c r="I18" s="22">
        <v>9.2601279999999999</v>
      </c>
      <c r="J18" s="22">
        <v>-75.355224000000007</v>
      </c>
      <c r="K18" s="37">
        <f t="shared" si="0"/>
        <v>9</v>
      </c>
    </row>
    <row r="20" spans="1:11">
      <c r="A20" s="29" t="s">
        <v>44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</sheetData>
  <mergeCells count="1">
    <mergeCell ref="A20:K21"/>
  </mergeCells>
  <conditionalFormatting sqref="G2:G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A13" workbookViewId="0">
      <selection activeCell="A22" sqref="A22:J23"/>
    </sheetView>
  </sheetViews>
  <sheetFormatPr baseColWidth="10" defaultColWidth="8.796875" defaultRowHeight="13.8"/>
  <cols>
    <col min="1" max="1" width="24" customWidth="1"/>
    <col min="2" max="10" width="16" customWidth="1"/>
  </cols>
  <sheetData>
    <row r="1" spans="1:10">
      <c r="A1" s="32" t="s">
        <v>45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>
      <c r="A2" s="32"/>
      <c r="B2" s="32"/>
      <c r="C2" s="32"/>
      <c r="D2" s="32"/>
      <c r="E2" s="32"/>
      <c r="F2" s="32"/>
      <c r="G2" s="32"/>
      <c r="H2" s="32"/>
      <c r="I2" s="32"/>
      <c r="J2" s="32"/>
    </row>
    <row r="4" spans="1:10">
      <c r="A4" s="15" t="s">
        <v>46</v>
      </c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  <c r="G4" s="16" t="s">
        <v>52</v>
      </c>
      <c r="H4" s="16" t="s">
        <v>53</v>
      </c>
      <c r="I4" s="16" t="s">
        <v>54</v>
      </c>
      <c r="J4" s="17" t="s">
        <v>55</v>
      </c>
    </row>
    <row r="5" spans="1:10">
      <c r="A5" s="9" t="s">
        <v>56</v>
      </c>
      <c r="B5" s="19">
        <v>17</v>
      </c>
      <c r="C5" s="19">
        <v>3.4064705882352944</v>
      </c>
      <c r="D5" s="19">
        <v>2.4604647456742565</v>
      </c>
      <c r="E5" s="19">
        <v>0.47</v>
      </c>
      <c r="F5" s="19">
        <v>0.88</v>
      </c>
      <c r="G5" s="19">
        <v>3.02</v>
      </c>
      <c r="H5" s="19">
        <v>5.12</v>
      </c>
      <c r="I5" s="19">
        <v>7.9</v>
      </c>
      <c r="J5" s="23">
        <v>72.229149847111657</v>
      </c>
    </row>
    <row r="6" spans="1:10">
      <c r="A6" s="9" t="s">
        <v>57</v>
      </c>
      <c r="B6" s="19">
        <v>17</v>
      </c>
      <c r="C6" s="19">
        <v>12.869999999999997</v>
      </c>
      <c r="D6" s="19">
        <v>9.6431491225636456</v>
      </c>
      <c r="E6" s="19">
        <v>1.86</v>
      </c>
      <c r="F6" s="19">
        <v>3.96</v>
      </c>
      <c r="G6" s="19">
        <v>10.42</v>
      </c>
      <c r="H6" s="19">
        <v>23.37</v>
      </c>
      <c r="I6" s="19">
        <v>29.07</v>
      </c>
      <c r="J6" s="23">
        <v>74.927343609663154</v>
      </c>
    </row>
    <row r="7" spans="1:10">
      <c r="A7" s="9" t="s">
        <v>58</v>
      </c>
      <c r="B7" s="19">
        <v>17</v>
      </c>
      <c r="C7" s="19">
        <v>0.66147058823529414</v>
      </c>
      <c r="D7" s="19">
        <v>0.58776527177597215</v>
      </c>
      <c r="E7" s="19">
        <v>-0.12</v>
      </c>
      <c r="F7" s="19">
        <v>0.09</v>
      </c>
      <c r="G7" s="19">
        <v>0.49</v>
      </c>
      <c r="H7" s="19">
        <v>1.04</v>
      </c>
      <c r="I7" s="19">
        <v>1.64</v>
      </c>
      <c r="J7" s="23">
        <v>88.857355448568484</v>
      </c>
    </row>
    <row r="8" spans="1:10">
      <c r="A8" s="9" t="s">
        <v>59</v>
      </c>
      <c r="B8" s="19">
        <v>17</v>
      </c>
      <c r="C8" s="19">
        <v>0.94411764705882339</v>
      </c>
      <c r="D8" s="19">
        <v>3.8252258679947852E-2</v>
      </c>
      <c r="E8" s="19">
        <v>0.87</v>
      </c>
      <c r="F8" s="19">
        <v>0.92</v>
      </c>
      <c r="G8" s="19">
        <v>0.95</v>
      </c>
      <c r="H8" s="19">
        <v>0.98</v>
      </c>
      <c r="I8" s="19">
        <v>0.99</v>
      </c>
      <c r="J8" s="23">
        <v>4.0516411062873114</v>
      </c>
    </row>
    <row r="9" spans="1:10">
      <c r="A9" s="9" t="s">
        <v>60</v>
      </c>
      <c r="B9" s="19">
        <v>17</v>
      </c>
      <c r="C9" s="19">
        <v>0.12352941176470589</v>
      </c>
      <c r="D9" s="19">
        <v>4.0611140169691778E-2</v>
      </c>
      <c r="E9" s="19">
        <v>0.05</v>
      </c>
      <c r="F9" s="19">
        <v>0.1</v>
      </c>
      <c r="G9" s="19">
        <v>0.12</v>
      </c>
      <c r="H9" s="19">
        <v>0.15</v>
      </c>
      <c r="I9" s="19">
        <v>0.2</v>
      </c>
      <c r="J9" s="23">
        <v>32.875684899274297</v>
      </c>
    </row>
    <row r="10" spans="1:10">
      <c r="A10" s="10" t="s">
        <v>19</v>
      </c>
      <c r="B10" s="20">
        <v>17</v>
      </c>
      <c r="C10" s="20">
        <v>0.54117647058823537</v>
      </c>
      <c r="D10" s="20">
        <v>0.26797580004874449</v>
      </c>
      <c r="E10" s="20">
        <v>0.14000000000000001</v>
      </c>
      <c r="F10" s="20">
        <v>0.23</v>
      </c>
      <c r="G10" s="20">
        <v>0.57999999999999996</v>
      </c>
      <c r="H10" s="20">
        <v>0.74</v>
      </c>
      <c r="I10" s="20">
        <v>0.9</v>
      </c>
      <c r="J10" s="24">
        <v>49.517267400311482</v>
      </c>
    </row>
    <row r="13" spans="1:10">
      <c r="A13" s="33" t="s">
        <v>61</v>
      </c>
      <c r="B13" s="33"/>
      <c r="C13" s="33"/>
      <c r="D13" s="33"/>
      <c r="E13" s="33"/>
      <c r="F13" s="33"/>
      <c r="G13" s="33"/>
      <c r="H13" s="33"/>
      <c r="I13" s="33"/>
      <c r="J13" s="33"/>
    </row>
    <row r="15" spans="1:10">
      <c r="A15" s="15" t="s">
        <v>20</v>
      </c>
      <c r="B15" s="16" t="s">
        <v>47</v>
      </c>
      <c r="C15" s="16" t="s">
        <v>48</v>
      </c>
      <c r="D15" s="16" t="s">
        <v>49</v>
      </c>
      <c r="E15" s="16" t="s">
        <v>52</v>
      </c>
      <c r="F15" s="16" t="s">
        <v>50</v>
      </c>
      <c r="G15" s="17" t="s">
        <v>54</v>
      </c>
    </row>
    <row r="16" spans="1:10">
      <c r="A16" s="9" t="s">
        <v>27</v>
      </c>
      <c r="B16" s="19">
        <v>4</v>
      </c>
      <c r="C16" s="19">
        <v>0.86250000000000004</v>
      </c>
      <c r="D16" s="19">
        <v>3.3040379335998363E-2</v>
      </c>
      <c r="E16" s="19">
        <v>0.86</v>
      </c>
      <c r="F16" s="19">
        <v>0.83</v>
      </c>
      <c r="G16" s="23">
        <v>0.9</v>
      </c>
    </row>
    <row r="17" spans="1:10">
      <c r="A17" s="9" t="s">
        <v>25</v>
      </c>
      <c r="B17" s="19">
        <v>8</v>
      </c>
      <c r="C17" s="19">
        <v>0.6</v>
      </c>
      <c r="D17" s="19">
        <v>0.10941402365066634</v>
      </c>
      <c r="E17" s="19">
        <v>0.6</v>
      </c>
      <c r="F17" s="19">
        <v>0.42</v>
      </c>
      <c r="G17" s="23">
        <v>0.74</v>
      </c>
    </row>
    <row r="18" spans="1:10">
      <c r="A18" s="10" t="s">
        <v>33</v>
      </c>
      <c r="B18" s="20">
        <v>5</v>
      </c>
      <c r="C18" s="20">
        <v>0.19</v>
      </c>
      <c r="D18" s="20">
        <v>3.3911649915626341E-2</v>
      </c>
      <c r="E18" s="20">
        <v>0.19</v>
      </c>
      <c r="F18" s="20">
        <v>0.14000000000000001</v>
      </c>
      <c r="G18" s="24">
        <v>0.23</v>
      </c>
    </row>
    <row r="22" spans="1:10">
      <c r="A22" s="29" t="s">
        <v>62</v>
      </c>
      <c r="B22" s="29"/>
      <c r="C22" s="29"/>
      <c r="D22" s="29"/>
      <c r="E22" s="29"/>
      <c r="F22" s="29"/>
      <c r="G22" s="29"/>
      <c r="H22" s="29"/>
      <c r="I22" s="29"/>
      <c r="J22" s="29"/>
    </row>
    <row r="23" spans="1:10">
      <c r="A23" s="29"/>
      <c r="B23" s="29"/>
      <c r="C23" s="29"/>
      <c r="D23" s="29"/>
      <c r="E23" s="29"/>
      <c r="F23" s="29"/>
      <c r="G23" s="29"/>
      <c r="H23" s="29"/>
      <c r="I23" s="29"/>
      <c r="J23" s="29"/>
    </row>
  </sheetData>
  <mergeCells count="3">
    <mergeCell ref="A1:J2"/>
    <mergeCell ref="A13:J13"/>
    <mergeCell ref="A22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"/>
  <sheetViews>
    <sheetView topLeftCell="D1" workbookViewId="0">
      <selection activeCell="G16" sqref="G16"/>
    </sheetView>
  </sheetViews>
  <sheetFormatPr baseColWidth="10" defaultColWidth="8.796875" defaultRowHeight="13.8"/>
  <cols>
    <col min="1" max="1" width="18" customWidth="1"/>
    <col min="2" max="26" width="14" customWidth="1"/>
  </cols>
  <sheetData>
    <row r="1" spans="1:25" ht="27.6">
      <c r="A1" s="15" t="s">
        <v>20</v>
      </c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  <c r="G1" s="16" t="s">
        <v>68</v>
      </c>
      <c r="H1" s="16" t="s">
        <v>69</v>
      </c>
      <c r="I1" s="16" t="s">
        <v>70</v>
      </c>
      <c r="J1" s="16" t="s">
        <v>71</v>
      </c>
      <c r="K1" s="16" t="s">
        <v>72</v>
      </c>
      <c r="L1" s="16" t="s">
        <v>73</v>
      </c>
      <c r="M1" s="16" t="s">
        <v>74</v>
      </c>
      <c r="N1" s="16" t="s">
        <v>75</v>
      </c>
      <c r="O1" s="16" t="s">
        <v>76</v>
      </c>
      <c r="P1" s="16" t="s">
        <v>77</v>
      </c>
      <c r="Q1" s="16" t="s">
        <v>78</v>
      </c>
      <c r="R1" s="16" t="s">
        <v>79</v>
      </c>
      <c r="S1" s="16" t="s">
        <v>80</v>
      </c>
      <c r="T1" s="16" t="s">
        <v>81</v>
      </c>
      <c r="U1" s="16" t="s">
        <v>82</v>
      </c>
      <c r="V1" s="16" t="s">
        <v>83</v>
      </c>
      <c r="W1" s="16" t="s">
        <v>84</v>
      </c>
      <c r="X1" s="16" t="s">
        <v>85</v>
      </c>
      <c r="Y1" s="17" t="s">
        <v>86</v>
      </c>
    </row>
    <row r="2" spans="1:25">
      <c r="A2" s="9" t="s">
        <v>27</v>
      </c>
      <c r="B2" s="19">
        <v>4</v>
      </c>
      <c r="C2" s="19">
        <v>0.63</v>
      </c>
      <c r="D2" s="19">
        <v>0.13089435944047911</v>
      </c>
      <c r="E2" s="19">
        <v>0.63</v>
      </c>
      <c r="F2" s="19">
        <v>4</v>
      </c>
      <c r="G2" s="19">
        <v>2.4550000000000001</v>
      </c>
      <c r="H2" s="19">
        <v>0.52627622658321394</v>
      </c>
      <c r="I2" s="19">
        <v>2.415</v>
      </c>
      <c r="J2" s="19">
        <v>4</v>
      </c>
      <c r="K2" s="19">
        <v>7.1250000000000008E-2</v>
      </c>
      <c r="L2" s="19">
        <v>1.6520189667999171E-2</v>
      </c>
      <c r="M2" s="19">
        <v>7.2500000000000009E-2</v>
      </c>
      <c r="N2" s="19">
        <v>4</v>
      </c>
      <c r="O2" s="19">
        <v>0.89</v>
      </c>
      <c r="P2" s="19">
        <v>1.8257418583505557E-2</v>
      </c>
      <c r="Q2" s="19">
        <v>0.89</v>
      </c>
      <c r="R2" s="19">
        <v>4</v>
      </c>
      <c r="S2" s="19">
        <v>0.13500000000000001</v>
      </c>
      <c r="T2" s="19">
        <v>5.4467115461227324E-2</v>
      </c>
      <c r="U2" s="19">
        <v>0.125</v>
      </c>
      <c r="V2" s="19">
        <v>4</v>
      </c>
      <c r="W2" s="19">
        <v>0.86250000000000004</v>
      </c>
      <c r="X2" s="19">
        <v>3.3040379335998363E-2</v>
      </c>
      <c r="Y2" s="23">
        <v>0.86</v>
      </c>
    </row>
    <row r="3" spans="1:25">
      <c r="A3" s="9" t="s">
        <v>25</v>
      </c>
      <c r="B3" s="19">
        <v>8</v>
      </c>
      <c r="C3" s="19">
        <v>2.8525</v>
      </c>
      <c r="D3" s="19">
        <v>1.2649647087115572</v>
      </c>
      <c r="E3" s="19">
        <v>2.9</v>
      </c>
      <c r="F3" s="19">
        <v>8</v>
      </c>
      <c r="G3" s="19">
        <v>10.342499999999999</v>
      </c>
      <c r="H3" s="19">
        <v>5.535262930908134</v>
      </c>
      <c r="I3" s="19">
        <v>9.3049999999999997</v>
      </c>
      <c r="J3" s="19">
        <v>8</v>
      </c>
      <c r="K3" s="19">
        <v>0.48250000000000004</v>
      </c>
      <c r="L3" s="19">
        <v>0.33173784830796738</v>
      </c>
      <c r="M3" s="19">
        <v>0.47</v>
      </c>
      <c r="N3" s="19">
        <v>8</v>
      </c>
      <c r="O3" s="19">
        <v>0.94499999999999995</v>
      </c>
      <c r="P3" s="19">
        <v>1.603567451474542E-2</v>
      </c>
      <c r="Q3" s="19">
        <v>0.94499999999999995</v>
      </c>
      <c r="R3" s="19">
        <v>8</v>
      </c>
      <c r="S3" s="19">
        <v>0.12875</v>
      </c>
      <c r="T3" s="19">
        <v>3.7583240945932274E-2</v>
      </c>
      <c r="U3" s="19">
        <v>0.12</v>
      </c>
      <c r="V3" s="19">
        <v>8</v>
      </c>
      <c r="W3" s="19">
        <v>0.6</v>
      </c>
      <c r="X3" s="19">
        <v>0.10941402365066634</v>
      </c>
      <c r="Y3" s="23">
        <v>0.6</v>
      </c>
    </row>
    <row r="4" spans="1:25">
      <c r="A4" s="10" t="s">
        <v>33</v>
      </c>
      <c r="B4" s="20">
        <v>5</v>
      </c>
      <c r="C4" s="20">
        <v>6.5140000000000002</v>
      </c>
      <c r="D4" s="20">
        <v>1.0044799649569922</v>
      </c>
      <c r="E4" s="20">
        <v>6.4</v>
      </c>
      <c r="F4" s="20">
        <v>5</v>
      </c>
      <c r="G4" s="20">
        <v>25.246000000000002</v>
      </c>
      <c r="H4" s="20">
        <v>2.3301566470947823</v>
      </c>
      <c r="I4" s="20">
        <v>24.6</v>
      </c>
      <c r="J4" s="20">
        <v>5</v>
      </c>
      <c r="K4" s="20">
        <v>1.42</v>
      </c>
      <c r="L4" s="20">
        <v>0.23968729628413768</v>
      </c>
      <c r="M4" s="20">
        <v>1.42</v>
      </c>
      <c r="N4" s="20">
        <v>5</v>
      </c>
      <c r="O4" s="20">
        <v>0.98599999999999999</v>
      </c>
      <c r="P4" s="20">
        <v>5.4772255750516665E-3</v>
      </c>
      <c r="Q4" s="20">
        <v>0.99</v>
      </c>
      <c r="R4" s="20">
        <v>5</v>
      </c>
      <c r="S4" s="20">
        <v>0.10600000000000001</v>
      </c>
      <c r="T4" s="20">
        <v>3.6469165057620934E-2</v>
      </c>
      <c r="U4" s="20">
        <v>0.11</v>
      </c>
      <c r="V4" s="20">
        <v>5</v>
      </c>
      <c r="W4" s="20">
        <v>0.19</v>
      </c>
      <c r="X4" s="20">
        <v>3.3911649915626341E-2</v>
      </c>
      <c r="Y4" s="24">
        <v>0.19</v>
      </c>
    </row>
    <row r="8" spans="1:25" ht="27.6">
      <c r="A8" s="15" t="s">
        <v>87</v>
      </c>
      <c r="B8" s="16" t="s">
        <v>56</v>
      </c>
      <c r="C8" s="16" t="s">
        <v>57</v>
      </c>
      <c r="D8" s="16" t="s">
        <v>58</v>
      </c>
      <c r="E8" s="16" t="s">
        <v>59</v>
      </c>
      <c r="F8" s="17" t="s">
        <v>19</v>
      </c>
    </row>
    <row r="9" spans="1:25">
      <c r="A9" s="9" t="s">
        <v>27</v>
      </c>
      <c r="B9" s="19">
        <v>0.63</v>
      </c>
      <c r="C9" s="19">
        <v>2.4550000000000001</v>
      </c>
      <c r="D9" s="19">
        <v>7.1250000000000008E-2</v>
      </c>
      <c r="E9" s="19">
        <v>0.89</v>
      </c>
      <c r="F9" s="23">
        <v>0.86250000000000004</v>
      </c>
    </row>
    <row r="10" spans="1:25">
      <c r="A10" s="9" t="s">
        <v>25</v>
      </c>
      <c r="B10" s="19">
        <v>2.8525</v>
      </c>
      <c r="C10" s="19">
        <v>10.342499999999999</v>
      </c>
      <c r="D10" s="19">
        <v>0.48250000000000004</v>
      </c>
      <c r="E10" s="19">
        <v>0.94499999999999995</v>
      </c>
      <c r="F10" s="23">
        <v>0.6</v>
      </c>
    </row>
    <row r="11" spans="1:25">
      <c r="A11" s="10" t="s">
        <v>33</v>
      </c>
      <c r="B11" s="20">
        <v>6.5140000000000002</v>
      </c>
      <c r="C11" s="20">
        <v>25.246000000000002</v>
      </c>
      <c r="D11" s="20">
        <v>1.42</v>
      </c>
      <c r="E11" s="20">
        <v>0.98599999999999999</v>
      </c>
      <c r="F11" s="24">
        <v>0.19</v>
      </c>
    </row>
    <row r="14" spans="1:25">
      <c r="A14" s="29" t="s">
        <v>88</v>
      </c>
      <c r="B14" s="29"/>
      <c r="C14" s="29"/>
      <c r="D14" s="29"/>
      <c r="E14" s="29"/>
      <c r="F14" s="29"/>
      <c r="G14" s="29"/>
      <c r="H14" s="29"/>
    </row>
    <row r="15" spans="1:25">
      <c r="A15" s="29"/>
      <c r="B15" s="29"/>
      <c r="C15" s="29"/>
      <c r="D15" s="29"/>
      <c r="E15" s="29"/>
      <c r="F15" s="29"/>
      <c r="G15" s="29"/>
      <c r="H15" s="29"/>
    </row>
  </sheetData>
  <mergeCells count="1">
    <mergeCell ref="A14:H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opLeftCell="A15" workbookViewId="0">
      <selection sqref="A1:H2"/>
    </sheetView>
  </sheetViews>
  <sheetFormatPr baseColWidth="10" defaultColWidth="8.796875" defaultRowHeight="13.8"/>
  <cols>
    <col min="1" max="1" width="22" customWidth="1"/>
    <col min="2" max="8" width="16" customWidth="1"/>
  </cols>
  <sheetData>
    <row r="1" spans="1:8">
      <c r="A1" s="32" t="s">
        <v>89</v>
      </c>
      <c r="B1" s="32"/>
      <c r="C1" s="32"/>
      <c r="D1" s="32"/>
      <c r="E1" s="32"/>
      <c r="F1" s="32"/>
      <c r="G1" s="32"/>
      <c r="H1" s="32"/>
    </row>
    <row r="2" spans="1:8">
      <c r="A2" s="32"/>
      <c r="B2" s="32"/>
      <c r="C2" s="32"/>
      <c r="D2" s="32"/>
      <c r="E2" s="32"/>
      <c r="F2" s="32"/>
      <c r="G2" s="32"/>
      <c r="H2" s="32"/>
    </row>
    <row r="4" spans="1:8">
      <c r="A4" s="33" t="s">
        <v>90</v>
      </c>
      <c r="B4" s="33"/>
      <c r="C4" s="33"/>
      <c r="D4" s="33"/>
      <c r="E4" s="33"/>
      <c r="F4" s="33"/>
      <c r="G4" s="33"/>
    </row>
    <row r="5" spans="1:8" ht="27.6">
      <c r="A5" s="15" t="s">
        <v>46</v>
      </c>
      <c r="B5" s="16" t="s">
        <v>56</v>
      </c>
      <c r="C5" s="16" t="s">
        <v>57</v>
      </c>
      <c r="D5" s="16" t="s">
        <v>58</v>
      </c>
      <c r="E5" s="16" t="s">
        <v>59</v>
      </c>
      <c r="F5" s="16" t="s">
        <v>60</v>
      </c>
      <c r="G5" s="17" t="s">
        <v>19</v>
      </c>
    </row>
    <row r="6" spans="1:8">
      <c r="A6" s="9" t="s">
        <v>56</v>
      </c>
      <c r="B6" s="19">
        <v>1</v>
      </c>
      <c r="C6" s="19">
        <v>0.95423718943117264</v>
      </c>
      <c r="D6" s="19">
        <v>0.8990106546477824</v>
      </c>
      <c r="E6" s="19">
        <v>0.92659089403876183</v>
      </c>
      <c r="F6" s="19">
        <v>-0.38766894852486183</v>
      </c>
      <c r="G6" s="23">
        <v>-0.97640738873743738</v>
      </c>
    </row>
    <row r="7" spans="1:8">
      <c r="A7" s="9" t="s">
        <v>57</v>
      </c>
      <c r="B7" s="19">
        <v>0.95423718943117264</v>
      </c>
      <c r="C7" s="19">
        <v>1</v>
      </c>
      <c r="D7" s="19">
        <v>0.91424602328273386</v>
      </c>
      <c r="E7" s="19">
        <v>0.91947486980766779</v>
      </c>
      <c r="F7" s="19">
        <v>-0.41061882784515868</v>
      </c>
      <c r="G7" s="23">
        <v>-0.97141955554542625</v>
      </c>
    </row>
    <row r="8" spans="1:8">
      <c r="A8" s="9" t="s">
        <v>58</v>
      </c>
      <c r="B8" s="19">
        <v>0.8990106546477824</v>
      </c>
      <c r="C8" s="19">
        <v>0.91424602328273386</v>
      </c>
      <c r="D8" s="19">
        <v>1</v>
      </c>
      <c r="E8" s="19">
        <v>0.86187965092137642</v>
      </c>
      <c r="F8" s="19">
        <v>-0.3411427251274487</v>
      </c>
      <c r="G8" s="23">
        <v>-0.91973346435988335</v>
      </c>
    </row>
    <row r="9" spans="1:8">
      <c r="A9" s="9" t="s">
        <v>59</v>
      </c>
      <c r="B9" s="19">
        <v>0.92659089403876183</v>
      </c>
      <c r="C9" s="19">
        <v>0.91947486980766779</v>
      </c>
      <c r="D9" s="19">
        <v>0.86187965092137642</v>
      </c>
      <c r="E9" s="19">
        <v>1</v>
      </c>
      <c r="F9" s="19">
        <v>-0.29156778472160066</v>
      </c>
      <c r="G9" s="23">
        <v>-0.95714600585087706</v>
      </c>
    </row>
    <row r="10" spans="1:8">
      <c r="A10" s="9" t="s">
        <v>60</v>
      </c>
      <c r="B10" s="19">
        <v>-0.38766894852486183</v>
      </c>
      <c r="C10" s="19">
        <v>-0.41061882784515868</v>
      </c>
      <c r="D10" s="19">
        <v>-0.3411427251274487</v>
      </c>
      <c r="E10" s="19">
        <v>-0.29156778472160066</v>
      </c>
      <c r="F10" s="19">
        <v>1</v>
      </c>
      <c r="G10" s="23">
        <v>0.34532356342411197</v>
      </c>
    </row>
    <row r="11" spans="1:8">
      <c r="A11" s="10" t="s">
        <v>19</v>
      </c>
      <c r="B11" s="20">
        <v>-0.97640738873743738</v>
      </c>
      <c r="C11" s="20">
        <v>-0.97141955554542625</v>
      </c>
      <c r="D11" s="20">
        <v>-0.91973346435988335</v>
      </c>
      <c r="E11" s="20">
        <v>-0.95714600585087706</v>
      </c>
      <c r="F11" s="20">
        <v>0.34532356342411197</v>
      </c>
      <c r="G11" s="24">
        <v>1</v>
      </c>
    </row>
    <row r="14" spans="1:8">
      <c r="A14" s="33" t="s">
        <v>91</v>
      </c>
      <c r="B14" s="33"/>
      <c r="C14" s="33"/>
      <c r="D14" s="33"/>
      <c r="E14" s="33"/>
      <c r="F14" s="33"/>
      <c r="G14" s="33"/>
    </row>
    <row r="15" spans="1:8" ht="27.6">
      <c r="A15" s="15" t="s">
        <v>46</v>
      </c>
      <c r="B15" s="16" t="s">
        <v>56</v>
      </c>
      <c r="C15" s="16" t="s">
        <v>57</v>
      </c>
      <c r="D15" s="16" t="s">
        <v>58</v>
      </c>
      <c r="E15" s="16" t="s">
        <v>59</v>
      </c>
      <c r="F15" s="16" t="s">
        <v>60</v>
      </c>
      <c r="G15" s="17" t="s">
        <v>19</v>
      </c>
    </row>
    <row r="16" spans="1:8">
      <c r="A16" s="9" t="s">
        <v>56</v>
      </c>
      <c r="B16" s="19">
        <v>1</v>
      </c>
      <c r="C16" s="19">
        <v>0.9779411764705882</v>
      </c>
      <c r="D16" s="19">
        <v>0.83333333333333337</v>
      </c>
      <c r="E16" s="19">
        <v>0.97477827490784441</v>
      </c>
      <c r="F16" s="19">
        <v>-0.30314698997181949</v>
      </c>
      <c r="G16" s="23">
        <v>-0.98039215686274506</v>
      </c>
    </row>
    <row r="17" spans="1:8">
      <c r="A17" s="9" t="s">
        <v>57</v>
      </c>
      <c r="B17" s="19">
        <v>0.9779411764705882</v>
      </c>
      <c r="C17" s="19">
        <v>1</v>
      </c>
      <c r="D17" s="19">
        <v>0.875</v>
      </c>
      <c r="E17" s="19">
        <v>0.98462452010893375</v>
      </c>
      <c r="F17" s="19">
        <v>-0.30191468513453568</v>
      </c>
      <c r="G17" s="23">
        <v>-0.98039215686274506</v>
      </c>
    </row>
    <row r="18" spans="1:8">
      <c r="A18" s="9" t="s">
        <v>58</v>
      </c>
      <c r="B18" s="19">
        <v>0.83333333333333337</v>
      </c>
      <c r="C18" s="19">
        <v>0.875</v>
      </c>
      <c r="D18" s="19">
        <v>1</v>
      </c>
      <c r="E18" s="19">
        <v>0.88862362939831274</v>
      </c>
      <c r="F18" s="19">
        <v>-0.26987475936515637</v>
      </c>
      <c r="G18" s="23">
        <v>-0.87009803921568629</v>
      </c>
    </row>
    <row r="19" spans="1:8">
      <c r="A19" s="9" t="s">
        <v>59</v>
      </c>
      <c r="B19" s="19">
        <v>0.97477827490784441</v>
      </c>
      <c r="C19" s="19">
        <v>0.98462452010893375</v>
      </c>
      <c r="D19" s="19">
        <v>0.88862362939831274</v>
      </c>
      <c r="E19" s="19">
        <v>1</v>
      </c>
      <c r="F19" s="19">
        <v>-0.25742593972560773</v>
      </c>
      <c r="G19" s="23">
        <v>-0.99323998465988694</v>
      </c>
    </row>
    <row r="20" spans="1:8">
      <c r="A20" s="9" t="s">
        <v>60</v>
      </c>
      <c r="B20" s="19">
        <v>-0.30314698997181949</v>
      </c>
      <c r="C20" s="19">
        <v>-0.30191468513453568</v>
      </c>
      <c r="D20" s="19">
        <v>-0.26987475936515637</v>
      </c>
      <c r="E20" s="19">
        <v>-0.25742593972560773</v>
      </c>
      <c r="F20" s="19">
        <v>1</v>
      </c>
      <c r="G20" s="23">
        <v>0.29821777062268423</v>
      </c>
    </row>
    <row r="21" spans="1:8">
      <c r="A21" s="10" t="s">
        <v>19</v>
      </c>
      <c r="B21" s="20">
        <v>-0.98039215686274506</v>
      </c>
      <c r="C21" s="20">
        <v>-0.98039215686274506</v>
      </c>
      <c r="D21" s="20">
        <v>-0.87009803921568629</v>
      </c>
      <c r="E21" s="20">
        <v>-0.99323998465988694</v>
      </c>
      <c r="F21" s="20">
        <v>0.29821777062268423</v>
      </c>
      <c r="G21" s="24">
        <v>1</v>
      </c>
    </row>
    <row r="24" spans="1:8">
      <c r="A24" s="29" t="s">
        <v>92</v>
      </c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</sheetData>
  <mergeCells count="4">
    <mergeCell ref="A1:H2"/>
    <mergeCell ref="A4:G4"/>
    <mergeCell ref="A14:G14"/>
    <mergeCell ref="A24:H26"/>
  </mergeCells>
  <conditionalFormatting sqref="B6:G11">
    <cfRule type="colorScale" priority="1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B16:G21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workbookViewId="0">
      <selection sqref="A1:G2"/>
    </sheetView>
  </sheetViews>
  <sheetFormatPr baseColWidth="10" defaultColWidth="8.796875" defaultRowHeight="13.8"/>
  <cols>
    <col min="1" max="1" width="22" customWidth="1"/>
    <col min="2" max="7" width="18" customWidth="1"/>
  </cols>
  <sheetData>
    <row r="1" spans="1:7">
      <c r="A1" s="32" t="s">
        <v>93</v>
      </c>
      <c r="B1" s="32"/>
      <c r="C1" s="32"/>
      <c r="D1" s="32"/>
      <c r="E1" s="32"/>
      <c r="F1" s="32"/>
      <c r="G1" s="32"/>
    </row>
    <row r="2" spans="1:7">
      <c r="A2" s="32"/>
      <c r="B2" s="32"/>
      <c r="C2" s="32"/>
      <c r="D2" s="32"/>
      <c r="E2" s="32"/>
      <c r="F2" s="32"/>
      <c r="G2" s="32"/>
    </row>
    <row r="4" spans="1:7">
      <c r="A4" s="15" t="s">
        <v>46</v>
      </c>
      <c r="B4" s="16" t="s">
        <v>94</v>
      </c>
      <c r="C4" s="16" t="s">
        <v>95</v>
      </c>
      <c r="D4" s="17" t="s">
        <v>96</v>
      </c>
    </row>
    <row r="5" spans="1:7">
      <c r="A5" s="9" t="s">
        <v>56</v>
      </c>
      <c r="B5" s="25">
        <v>13.764705882352942</v>
      </c>
      <c r="C5" s="25">
        <v>1.0257277265580741E-3</v>
      </c>
      <c r="D5" s="26">
        <v>0.84033613445378152</v>
      </c>
    </row>
    <row r="6" spans="1:7">
      <c r="A6" s="9" t="s">
        <v>57</v>
      </c>
      <c r="B6" s="25">
        <v>13.764705882352942</v>
      </c>
      <c r="C6" s="25">
        <v>1.0257277265580741E-3</v>
      </c>
      <c r="D6" s="26">
        <v>0.84033613445378152</v>
      </c>
    </row>
    <row r="7" spans="1:7">
      <c r="A7" s="9" t="s">
        <v>58</v>
      </c>
      <c r="B7" s="25">
        <v>12.117647058823522</v>
      </c>
      <c r="C7" s="25">
        <v>2.3371488576505316E-3</v>
      </c>
      <c r="D7" s="26">
        <v>0.72268907563025153</v>
      </c>
    </row>
    <row r="8" spans="1:7">
      <c r="A8" s="9" t="s">
        <v>59</v>
      </c>
      <c r="B8" s="25">
        <v>13.883807169344871</v>
      </c>
      <c r="C8" s="25">
        <v>9.6642816721242909E-4</v>
      </c>
      <c r="D8" s="26">
        <v>0.84884336923891934</v>
      </c>
    </row>
    <row r="9" spans="1:7">
      <c r="A9" s="9" t="s">
        <v>60</v>
      </c>
      <c r="B9" s="25">
        <v>0.92490706319702543</v>
      </c>
      <c r="C9" s="25">
        <v>0.62973666968811992</v>
      </c>
      <c r="D9" s="26">
        <v>0</v>
      </c>
    </row>
    <row r="10" spans="1:7">
      <c r="A10" s="10" t="s">
        <v>19</v>
      </c>
      <c r="B10" s="27">
        <v>13.764705882352942</v>
      </c>
      <c r="C10" s="27">
        <v>1.0257277265580741E-3</v>
      </c>
      <c r="D10" s="28">
        <v>0.84033613445378152</v>
      </c>
    </row>
    <row r="13" spans="1:7">
      <c r="A13" s="33" t="s">
        <v>97</v>
      </c>
      <c r="B13" s="33"/>
      <c r="C13" s="33"/>
      <c r="D13" s="33"/>
      <c r="E13" s="33"/>
      <c r="F13" s="33"/>
      <c r="G13" s="33"/>
    </row>
    <row r="15" spans="1:7">
      <c r="A15" s="15" t="s">
        <v>46</v>
      </c>
      <c r="B15" s="16" t="s">
        <v>98</v>
      </c>
      <c r="C15" s="16" t="s">
        <v>99</v>
      </c>
      <c r="D15" s="16" t="s">
        <v>100</v>
      </c>
      <c r="E15" s="16" t="s">
        <v>101</v>
      </c>
      <c r="F15" s="16" t="s">
        <v>102</v>
      </c>
      <c r="G15" s="17" t="s">
        <v>103</v>
      </c>
    </row>
    <row r="16" spans="1:7">
      <c r="A16" s="9" t="s">
        <v>56</v>
      </c>
      <c r="B16" t="s">
        <v>27</v>
      </c>
      <c r="C16" t="s">
        <v>25</v>
      </c>
      <c r="D16" s="25">
        <v>0</v>
      </c>
      <c r="E16" s="25">
        <v>4.0404040404040404E-3</v>
      </c>
      <c r="F16" s="25">
        <v>1</v>
      </c>
      <c r="G16" s="26">
        <v>8.0808080808080808E-3</v>
      </c>
    </row>
    <row r="17" spans="1:7">
      <c r="A17" s="9" t="s">
        <v>56</v>
      </c>
      <c r="B17" t="s">
        <v>27</v>
      </c>
      <c r="C17" t="s">
        <v>33</v>
      </c>
      <c r="D17" s="25">
        <v>0</v>
      </c>
      <c r="E17" s="25">
        <v>1.5873015873015872E-2</v>
      </c>
      <c r="F17" s="25">
        <v>1</v>
      </c>
      <c r="G17" s="26">
        <v>1.5873015873015872E-2</v>
      </c>
    </row>
    <row r="18" spans="1:7">
      <c r="A18" s="9" t="s">
        <v>56</v>
      </c>
      <c r="B18" t="s">
        <v>25</v>
      </c>
      <c r="C18" t="s">
        <v>33</v>
      </c>
      <c r="D18" s="25">
        <v>0</v>
      </c>
      <c r="E18" s="25">
        <v>1.554001554001554E-3</v>
      </c>
      <c r="F18" s="25">
        <v>1</v>
      </c>
      <c r="G18" s="26">
        <v>4.662004662004662E-3</v>
      </c>
    </row>
    <row r="19" spans="1:7">
      <c r="A19" s="9" t="s">
        <v>57</v>
      </c>
      <c r="B19" t="s">
        <v>27</v>
      </c>
      <c r="C19" t="s">
        <v>25</v>
      </c>
      <c r="D19" s="25">
        <v>0</v>
      </c>
      <c r="E19" s="25">
        <v>4.0404040404040404E-3</v>
      </c>
      <c r="F19" s="25">
        <v>1</v>
      </c>
      <c r="G19" s="26">
        <v>8.0808080808080808E-3</v>
      </c>
    </row>
    <row r="20" spans="1:7">
      <c r="A20" s="9" t="s">
        <v>57</v>
      </c>
      <c r="B20" t="s">
        <v>27</v>
      </c>
      <c r="C20" t="s">
        <v>33</v>
      </c>
      <c r="D20" s="25">
        <v>0</v>
      </c>
      <c r="E20" s="25">
        <v>1.5873015873015872E-2</v>
      </c>
      <c r="F20" s="25">
        <v>1</v>
      </c>
      <c r="G20" s="26">
        <v>1.5873015873015872E-2</v>
      </c>
    </row>
    <row r="21" spans="1:7">
      <c r="A21" s="9" t="s">
        <v>57</v>
      </c>
      <c r="B21" t="s">
        <v>25</v>
      </c>
      <c r="C21" t="s">
        <v>33</v>
      </c>
      <c r="D21" s="25">
        <v>0</v>
      </c>
      <c r="E21" s="25">
        <v>1.554001554001554E-3</v>
      </c>
      <c r="F21" s="25">
        <v>1</v>
      </c>
      <c r="G21" s="26">
        <v>4.662004662004662E-3</v>
      </c>
    </row>
    <row r="22" spans="1:7">
      <c r="A22" s="9" t="s">
        <v>58</v>
      </c>
      <c r="B22" t="s">
        <v>27</v>
      </c>
      <c r="C22" t="s">
        <v>25</v>
      </c>
      <c r="D22" s="25">
        <v>4</v>
      </c>
      <c r="E22" s="25">
        <v>4.8484848484848492E-2</v>
      </c>
      <c r="F22" s="25">
        <v>0.75</v>
      </c>
      <c r="G22" s="26">
        <v>4.8484848484848492E-2</v>
      </c>
    </row>
    <row r="23" spans="1:7">
      <c r="A23" s="9" t="s">
        <v>58</v>
      </c>
      <c r="B23" t="s">
        <v>27</v>
      </c>
      <c r="C23" t="s">
        <v>33</v>
      </c>
      <c r="D23" s="25">
        <v>0</v>
      </c>
      <c r="E23" s="25">
        <v>1.5873015873015872E-2</v>
      </c>
      <c r="F23" s="25">
        <v>1</v>
      </c>
      <c r="G23" s="26">
        <v>3.1746031746031744E-2</v>
      </c>
    </row>
    <row r="24" spans="1:7">
      <c r="A24" s="9" t="s">
        <v>58</v>
      </c>
      <c r="B24" t="s">
        <v>25</v>
      </c>
      <c r="C24" t="s">
        <v>33</v>
      </c>
      <c r="D24" s="25">
        <v>0</v>
      </c>
      <c r="E24" s="25">
        <v>1.554001554001554E-3</v>
      </c>
      <c r="F24" s="25">
        <v>1</v>
      </c>
      <c r="G24" s="26">
        <v>4.662004662004662E-3</v>
      </c>
    </row>
    <row r="25" spans="1:7">
      <c r="A25" s="9" t="s">
        <v>59</v>
      </c>
      <c r="B25" t="s">
        <v>27</v>
      </c>
      <c r="C25" t="s">
        <v>25</v>
      </c>
      <c r="D25" s="25">
        <v>0</v>
      </c>
      <c r="E25" s="25">
        <v>8.246737899860709E-3</v>
      </c>
      <c r="F25" s="25">
        <v>1</v>
      </c>
      <c r="G25" s="26">
        <v>1.6493475799721418E-2</v>
      </c>
    </row>
    <row r="26" spans="1:7">
      <c r="A26" s="9" t="s">
        <v>59</v>
      </c>
      <c r="B26" t="s">
        <v>27</v>
      </c>
      <c r="C26" t="s">
        <v>33</v>
      </c>
      <c r="D26" s="25">
        <v>0</v>
      </c>
      <c r="E26" s="25">
        <v>1.745104482793073E-2</v>
      </c>
      <c r="F26" s="25">
        <v>1</v>
      </c>
      <c r="G26" s="26">
        <v>1.745104482793073E-2</v>
      </c>
    </row>
    <row r="27" spans="1:7">
      <c r="A27" s="9" t="s">
        <v>59</v>
      </c>
      <c r="B27" t="s">
        <v>25</v>
      </c>
      <c r="C27" t="s">
        <v>33</v>
      </c>
      <c r="D27" s="25">
        <v>0</v>
      </c>
      <c r="E27" s="25">
        <v>3.9471196427453038E-3</v>
      </c>
      <c r="F27" s="25">
        <v>1</v>
      </c>
      <c r="G27" s="26">
        <v>1.1841358928235911E-2</v>
      </c>
    </row>
    <row r="28" spans="1:7">
      <c r="A28" s="9" t="s">
        <v>60</v>
      </c>
      <c r="B28" t="s">
        <v>27</v>
      </c>
      <c r="C28" t="s">
        <v>25</v>
      </c>
      <c r="D28" s="25">
        <v>16</v>
      </c>
      <c r="E28" s="25">
        <v>1</v>
      </c>
      <c r="F28" s="25">
        <v>0</v>
      </c>
      <c r="G28" s="26">
        <v>1</v>
      </c>
    </row>
    <row r="29" spans="1:7">
      <c r="A29" s="9" t="s">
        <v>60</v>
      </c>
      <c r="B29" t="s">
        <v>27</v>
      </c>
      <c r="C29" t="s">
        <v>33</v>
      </c>
      <c r="D29" s="25">
        <v>12</v>
      </c>
      <c r="E29" s="25">
        <v>0.71215453765114933</v>
      </c>
      <c r="F29" s="25">
        <v>-0.19999999999999996</v>
      </c>
      <c r="G29" s="26">
        <v>1</v>
      </c>
    </row>
    <row r="30" spans="1:7">
      <c r="A30" s="9" t="s">
        <v>60</v>
      </c>
      <c r="B30" t="s">
        <v>25</v>
      </c>
      <c r="C30" t="s">
        <v>33</v>
      </c>
      <c r="D30" s="25">
        <v>27</v>
      </c>
      <c r="E30" s="25">
        <v>0.33598218922769729</v>
      </c>
      <c r="F30" s="25">
        <v>-0.35000000000000009</v>
      </c>
      <c r="G30" s="26">
        <v>1</v>
      </c>
    </row>
    <row r="31" spans="1:7">
      <c r="A31" s="9" t="s">
        <v>19</v>
      </c>
      <c r="B31" t="s">
        <v>27</v>
      </c>
      <c r="C31" t="s">
        <v>25</v>
      </c>
      <c r="D31" s="25">
        <v>32</v>
      </c>
      <c r="E31" s="25">
        <v>4.0404040404040404E-3</v>
      </c>
      <c r="F31" s="25">
        <v>-1</v>
      </c>
      <c r="G31" s="26">
        <v>8.0808080808080808E-3</v>
      </c>
    </row>
    <row r="32" spans="1:7">
      <c r="A32" s="9" t="s">
        <v>19</v>
      </c>
      <c r="B32" t="s">
        <v>27</v>
      </c>
      <c r="C32" t="s">
        <v>33</v>
      </c>
      <c r="D32" s="25">
        <v>20</v>
      </c>
      <c r="E32" s="25">
        <v>1.5873015873015872E-2</v>
      </c>
      <c r="F32" s="25">
        <v>-1</v>
      </c>
      <c r="G32" s="26">
        <v>1.5873015873015872E-2</v>
      </c>
    </row>
    <row r="33" spans="1:7">
      <c r="A33" s="10" t="s">
        <v>19</v>
      </c>
      <c r="B33" s="18" t="s">
        <v>25</v>
      </c>
      <c r="C33" s="18" t="s">
        <v>33</v>
      </c>
      <c r="D33" s="27">
        <v>40</v>
      </c>
      <c r="E33" s="27">
        <v>1.554001554001554E-3</v>
      </c>
      <c r="F33" s="27">
        <v>-1</v>
      </c>
      <c r="G33" s="28">
        <v>4.662004662004662E-3</v>
      </c>
    </row>
    <row r="36" spans="1:7">
      <c r="A36" s="29" t="s">
        <v>104</v>
      </c>
      <c r="B36" s="29"/>
      <c r="C36" s="29"/>
      <c r="D36" s="29"/>
      <c r="E36" s="29"/>
      <c r="F36" s="29"/>
      <c r="G36" s="29"/>
    </row>
    <row r="37" spans="1:7">
      <c r="A37" s="29"/>
      <c r="B37" s="29"/>
      <c r="C37" s="29"/>
      <c r="D37" s="29"/>
      <c r="E37" s="29"/>
      <c r="F37" s="29"/>
      <c r="G37" s="29"/>
    </row>
    <row r="38" spans="1:7">
      <c r="A38" s="29"/>
      <c r="B38" s="29"/>
      <c r="C38" s="29"/>
      <c r="D38" s="29"/>
      <c r="E38" s="29"/>
      <c r="F38" s="29"/>
      <c r="G38" s="29"/>
    </row>
  </sheetData>
  <mergeCells count="3">
    <mergeCell ref="A1:G2"/>
    <mergeCell ref="A13:G13"/>
    <mergeCell ref="A36:G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A19" sqref="A19:F21"/>
    </sheetView>
  </sheetViews>
  <sheetFormatPr baseColWidth="10" defaultColWidth="8.796875" defaultRowHeight="13.8"/>
  <cols>
    <col min="1" max="6" width="18" customWidth="1"/>
  </cols>
  <sheetData>
    <row r="1" spans="1:5">
      <c r="A1" s="15" t="s">
        <v>87</v>
      </c>
      <c r="B1" s="16" t="s">
        <v>46</v>
      </c>
      <c r="C1" s="16" t="s">
        <v>48</v>
      </c>
      <c r="D1" s="16" t="s">
        <v>105</v>
      </c>
      <c r="E1" s="17" t="s">
        <v>106</v>
      </c>
    </row>
    <row r="2" spans="1:5">
      <c r="A2" s="9" t="s">
        <v>27</v>
      </c>
      <c r="B2" t="s">
        <v>56</v>
      </c>
      <c r="C2" s="19">
        <v>0.62999999999999989</v>
      </c>
      <c r="D2" s="19">
        <v>0.51249999999999996</v>
      </c>
      <c r="E2" s="23">
        <v>0.74750000000000005</v>
      </c>
    </row>
    <row r="3" spans="1:5">
      <c r="A3" s="9" t="s">
        <v>27</v>
      </c>
      <c r="B3" t="s">
        <v>57</v>
      </c>
      <c r="C3" s="19">
        <v>2.4549999999999996</v>
      </c>
      <c r="D3" s="19">
        <v>2.0225</v>
      </c>
      <c r="E3" s="23">
        <v>2.9275000000000002</v>
      </c>
    </row>
    <row r="4" spans="1:5">
      <c r="A4" s="9" t="s">
        <v>27</v>
      </c>
      <c r="B4" t="s">
        <v>58</v>
      </c>
      <c r="C4" s="19">
        <v>7.1250000000000008E-2</v>
      </c>
      <c r="D4" s="19">
        <v>5.6249999999999994E-2</v>
      </c>
      <c r="E4" s="23">
        <v>8.4999999999999992E-2</v>
      </c>
    </row>
    <row r="5" spans="1:5">
      <c r="A5" s="9" t="s">
        <v>27</v>
      </c>
      <c r="B5" t="s">
        <v>59</v>
      </c>
      <c r="C5" s="19">
        <v>0.89</v>
      </c>
      <c r="D5" s="19">
        <v>0.875</v>
      </c>
      <c r="E5" s="23">
        <v>0.90500000000000003</v>
      </c>
    </row>
    <row r="6" spans="1:5">
      <c r="A6" s="9" t="s">
        <v>27</v>
      </c>
      <c r="B6" t="s">
        <v>19</v>
      </c>
      <c r="C6" s="19">
        <v>0.86249999999999993</v>
      </c>
      <c r="D6" s="19">
        <v>0.83499999999999996</v>
      </c>
      <c r="E6" s="23">
        <v>0.89</v>
      </c>
    </row>
    <row r="7" spans="1:5">
      <c r="A7" s="9" t="s">
        <v>25</v>
      </c>
      <c r="B7" t="s">
        <v>56</v>
      </c>
      <c r="C7" s="19">
        <v>2.8525</v>
      </c>
      <c r="D7" s="19">
        <v>2.0212500000000002</v>
      </c>
      <c r="E7" s="23">
        <v>3.65625</v>
      </c>
    </row>
    <row r="8" spans="1:5">
      <c r="A8" s="9" t="s">
        <v>25</v>
      </c>
      <c r="B8" t="s">
        <v>57</v>
      </c>
      <c r="C8" s="19">
        <v>10.342499999999999</v>
      </c>
      <c r="D8" s="19">
        <v>7.0224062499999995</v>
      </c>
      <c r="E8" s="23">
        <v>14.050031249999998</v>
      </c>
    </row>
    <row r="9" spans="1:5">
      <c r="A9" s="9" t="s">
        <v>25</v>
      </c>
      <c r="B9" t="s">
        <v>58</v>
      </c>
      <c r="C9" s="19">
        <v>0.48249999999999998</v>
      </c>
      <c r="D9" s="19">
        <v>0.26874999999999999</v>
      </c>
      <c r="E9" s="23">
        <v>0.69124999999999992</v>
      </c>
    </row>
    <row r="10" spans="1:5">
      <c r="A10" s="9" t="s">
        <v>25</v>
      </c>
      <c r="B10" t="s">
        <v>59</v>
      </c>
      <c r="C10" s="19">
        <v>0.94500000000000006</v>
      </c>
      <c r="D10" s="19">
        <v>0.93499999999999994</v>
      </c>
      <c r="E10" s="23">
        <v>0.95499999999999996</v>
      </c>
    </row>
    <row r="11" spans="1:5">
      <c r="A11" s="9" t="s">
        <v>25</v>
      </c>
      <c r="B11" t="s">
        <v>19</v>
      </c>
      <c r="C11" s="19">
        <v>0.6</v>
      </c>
      <c r="D11" s="19">
        <v>0.52875000000000005</v>
      </c>
      <c r="E11" s="23">
        <v>0.66999999999999993</v>
      </c>
    </row>
    <row r="12" spans="1:5">
      <c r="A12" s="9" t="s">
        <v>33</v>
      </c>
      <c r="B12" t="s">
        <v>56</v>
      </c>
      <c r="C12" s="19">
        <v>6.5140000000000002</v>
      </c>
      <c r="D12" s="19">
        <v>5.702</v>
      </c>
      <c r="E12" s="23">
        <v>7.2800000000000011</v>
      </c>
    </row>
    <row r="13" spans="1:5">
      <c r="A13" s="9" t="s">
        <v>33</v>
      </c>
      <c r="B13" t="s">
        <v>57</v>
      </c>
      <c r="C13" s="19">
        <v>25.246000000000002</v>
      </c>
      <c r="D13" s="19">
        <v>23.676000000000002</v>
      </c>
      <c r="E13" s="23">
        <v>27.279999999999994</v>
      </c>
    </row>
    <row r="14" spans="1:5">
      <c r="A14" s="9" t="s">
        <v>33</v>
      </c>
      <c r="B14" t="s">
        <v>58</v>
      </c>
      <c r="C14" s="19">
        <v>1.42</v>
      </c>
      <c r="D14" s="19">
        <v>1.224</v>
      </c>
      <c r="E14" s="23">
        <v>1.5840000000000001</v>
      </c>
    </row>
    <row r="15" spans="1:5">
      <c r="A15" s="9" t="s">
        <v>33</v>
      </c>
      <c r="B15" t="s">
        <v>59</v>
      </c>
      <c r="C15" s="19">
        <v>0.98599999999999999</v>
      </c>
      <c r="D15" s="19">
        <v>0.98199999999999998</v>
      </c>
      <c r="E15" s="23">
        <v>0.99</v>
      </c>
    </row>
    <row r="16" spans="1:5">
      <c r="A16" s="10" t="s">
        <v>33</v>
      </c>
      <c r="B16" s="18" t="s">
        <v>19</v>
      </c>
      <c r="C16" s="20">
        <v>0.19</v>
      </c>
      <c r="D16" s="20">
        <v>0.16400000000000001</v>
      </c>
      <c r="E16" s="24">
        <v>0.21400000000000002</v>
      </c>
    </row>
    <row r="19" spans="1:6">
      <c r="A19" s="29" t="s">
        <v>107</v>
      </c>
      <c r="B19" s="29"/>
      <c r="C19" s="29"/>
      <c r="D19" s="29"/>
      <c r="E19" s="29"/>
      <c r="F19" s="29"/>
    </row>
    <row r="20" spans="1:6">
      <c r="A20" s="29"/>
      <c r="B20" s="29"/>
      <c r="C20" s="29"/>
      <c r="D20" s="29"/>
      <c r="E20" s="29"/>
      <c r="F20" s="29"/>
    </row>
    <row r="21" spans="1:6">
      <c r="A21" s="29"/>
      <c r="B21" s="29"/>
      <c r="C21" s="29"/>
      <c r="D21" s="29"/>
      <c r="E21" s="29"/>
      <c r="F21" s="29"/>
    </row>
  </sheetData>
  <mergeCells count="1">
    <mergeCell ref="A19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tabSelected="1" topLeftCell="A13" workbookViewId="0">
      <selection activeCell="A22" sqref="A22:F25"/>
    </sheetView>
  </sheetViews>
  <sheetFormatPr baseColWidth="10" defaultColWidth="8.796875" defaultRowHeight="13.8"/>
  <cols>
    <col min="1" max="6" width="22" customWidth="1"/>
  </cols>
  <sheetData>
    <row r="1" spans="1:6">
      <c r="A1" s="32" t="s">
        <v>108</v>
      </c>
      <c r="B1" s="32"/>
      <c r="C1" s="32"/>
      <c r="D1" s="32"/>
      <c r="E1" s="32"/>
      <c r="F1" s="32"/>
    </row>
    <row r="2" spans="1:6">
      <c r="A2" s="32"/>
      <c r="B2" s="32"/>
      <c r="C2" s="32"/>
      <c r="D2" s="32"/>
      <c r="E2" s="32"/>
      <c r="F2" s="32"/>
    </row>
    <row r="4" spans="1:6">
      <c r="A4" s="15" t="s">
        <v>46</v>
      </c>
      <c r="B4" s="16" t="s">
        <v>109</v>
      </c>
      <c r="C4" s="17" t="s">
        <v>110</v>
      </c>
    </row>
    <row r="5" spans="1:6">
      <c r="A5" s="9" t="s">
        <v>56</v>
      </c>
      <c r="B5" s="25">
        <v>-0.37993389742760442</v>
      </c>
      <c r="C5" s="26">
        <v>0.37993389742760442</v>
      </c>
    </row>
    <row r="6" spans="1:6">
      <c r="A6" s="9" t="s">
        <v>57</v>
      </c>
      <c r="B6" s="25">
        <v>-0.29756161217737009</v>
      </c>
      <c r="C6" s="26">
        <v>0.29756161217737009</v>
      </c>
    </row>
    <row r="7" spans="1:6">
      <c r="A7" s="9" t="s">
        <v>59</v>
      </c>
      <c r="B7" s="25">
        <v>-0.26279904874017868</v>
      </c>
      <c r="C7" s="26">
        <v>0.26279904874017868</v>
      </c>
    </row>
    <row r="8" spans="1:6">
      <c r="A8" s="9" t="s">
        <v>58</v>
      </c>
      <c r="B8" s="25">
        <v>-9.0408518302865101E-2</v>
      </c>
      <c r="C8" s="26">
        <v>9.0408518302865101E-2</v>
      </c>
    </row>
    <row r="9" spans="1:6">
      <c r="A9" s="10" t="s">
        <v>60</v>
      </c>
      <c r="B9" s="27">
        <v>-3.161535628127949E-2</v>
      </c>
      <c r="C9" s="28">
        <v>3.161535628127949E-2</v>
      </c>
    </row>
    <row r="12" spans="1:6">
      <c r="A12" s="33" t="s">
        <v>111</v>
      </c>
      <c r="B12" s="33"/>
      <c r="C12" s="33"/>
    </row>
    <row r="14" spans="1:6">
      <c r="A14" s="15" t="s">
        <v>112</v>
      </c>
      <c r="B14" s="16" t="s">
        <v>113</v>
      </c>
      <c r="C14" s="17" t="s">
        <v>114</v>
      </c>
    </row>
    <row r="15" spans="1:6">
      <c r="A15" s="9" t="s">
        <v>56</v>
      </c>
      <c r="B15" s="25">
        <v>0.97362648339760161</v>
      </c>
      <c r="C15" s="26">
        <v>1.0172222430679834E-2</v>
      </c>
    </row>
    <row r="16" spans="1:6">
      <c r="A16" s="9" t="s">
        <v>57</v>
      </c>
      <c r="B16" s="25">
        <v>0.97814977508294376</v>
      </c>
      <c r="C16" s="26">
        <v>5.6489307453376769E-3</v>
      </c>
    </row>
    <row r="17" spans="1:6">
      <c r="A17" s="9" t="s">
        <v>58</v>
      </c>
      <c r="B17" s="25">
        <v>0.98253311304882007</v>
      </c>
      <c r="C17" s="26">
        <v>1.2655927794613664E-3</v>
      </c>
    </row>
    <row r="18" spans="1:6">
      <c r="A18" s="9" t="s">
        <v>59</v>
      </c>
      <c r="B18" s="25">
        <v>0.97557963694157079</v>
      </c>
      <c r="C18" s="26">
        <v>8.2190688867106454E-3</v>
      </c>
    </row>
    <row r="19" spans="1:6">
      <c r="A19" s="10" t="s">
        <v>60</v>
      </c>
      <c r="B19" s="27">
        <v>0.98302808733915159</v>
      </c>
      <c r="C19" s="28">
        <v>7.7061848912984843E-4</v>
      </c>
    </row>
    <row r="22" spans="1:6">
      <c r="A22" s="38" t="s">
        <v>115</v>
      </c>
      <c r="B22" s="38"/>
      <c r="C22" s="38"/>
      <c r="D22" s="38"/>
      <c r="E22" s="38"/>
      <c r="F22" s="38"/>
    </row>
    <row r="23" spans="1:6">
      <c r="A23" s="38"/>
      <c r="B23" s="38"/>
      <c r="C23" s="38"/>
      <c r="D23" s="38"/>
      <c r="E23" s="38"/>
      <c r="F23" s="38"/>
    </row>
    <row r="24" spans="1:6">
      <c r="A24" s="38"/>
      <c r="B24" s="38"/>
      <c r="C24" s="38"/>
      <c r="D24" s="38"/>
      <c r="E24" s="38"/>
      <c r="F24" s="38"/>
    </row>
    <row r="25" spans="1:6">
      <c r="A25" s="38"/>
      <c r="B25" s="38"/>
      <c r="C25" s="38"/>
      <c r="D25" s="38"/>
      <c r="E25" s="38"/>
      <c r="F25" s="38"/>
    </row>
  </sheetData>
  <mergeCells count="3">
    <mergeCell ref="A1:F2"/>
    <mergeCell ref="A12:C12"/>
    <mergeCell ref="A22:F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workbookViewId="0"/>
  </sheetViews>
  <sheetFormatPr baseColWidth="10" defaultColWidth="8.796875" defaultRowHeight="13.8"/>
  <cols>
    <col min="1" max="1" width="42" customWidth="1"/>
    <col min="2" max="6" width="18" customWidth="1"/>
  </cols>
  <sheetData>
    <row r="1" spans="1:5">
      <c r="A1" s="15" t="s">
        <v>13</v>
      </c>
      <c r="B1" s="16" t="s">
        <v>21</v>
      </c>
      <c r="C1" s="16" t="s">
        <v>22</v>
      </c>
      <c r="D1" s="16" t="s">
        <v>19</v>
      </c>
      <c r="E1" s="17" t="s">
        <v>20</v>
      </c>
    </row>
    <row r="2" spans="1:5">
      <c r="A2" s="9" t="s">
        <v>24</v>
      </c>
      <c r="B2" s="21">
        <v>9.2391989999999993</v>
      </c>
      <c r="C2" s="21">
        <v>-75.380207999999996</v>
      </c>
      <c r="D2" s="21">
        <v>0.42</v>
      </c>
      <c r="E2" s="3" t="s">
        <v>25</v>
      </c>
    </row>
    <row r="3" spans="1:5">
      <c r="A3" s="9" t="s">
        <v>26</v>
      </c>
      <c r="B3" s="21">
        <v>9.5023900000000001</v>
      </c>
      <c r="C3" s="21">
        <v>-75.314937</v>
      </c>
      <c r="D3" s="21">
        <v>0.84</v>
      </c>
      <c r="E3" s="3" t="s">
        <v>27</v>
      </c>
    </row>
    <row r="4" spans="1:5">
      <c r="A4" s="9" t="s">
        <v>28</v>
      </c>
      <c r="B4" s="21">
        <v>9.5092630000000007</v>
      </c>
      <c r="C4" s="21">
        <v>-75.297387999999998</v>
      </c>
      <c r="D4" s="21">
        <v>0.62</v>
      </c>
      <c r="E4" s="3" t="s">
        <v>25</v>
      </c>
    </row>
    <row r="5" spans="1:5">
      <c r="A5" s="9" t="s">
        <v>29</v>
      </c>
      <c r="B5" s="21">
        <v>9.4062789999999996</v>
      </c>
      <c r="C5" s="21">
        <v>-75.336856999999995</v>
      </c>
      <c r="D5" s="21">
        <v>0.55000000000000004</v>
      </c>
      <c r="E5" s="3" t="s">
        <v>25</v>
      </c>
    </row>
    <row r="6" spans="1:5">
      <c r="A6" s="9" t="s">
        <v>30</v>
      </c>
      <c r="B6" s="21">
        <v>9.4232510000000005</v>
      </c>
      <c r="C6" s="21">
        <v>-75.310760000000002</v>
      </c>
      <c r="D6" s="21">
        <v>0.88</v>
      </c>
      <c r="E6" s="3" t="s">
        <v>27</v>
      </c>
    </row>
    <row r="7" spans="1:5">
      <c r="A7" s="9" t="s">
        <v>31</v>
      </c>
      <c r="B7" s="21">
        <v>9.5153870000000005</v>
      </c>
      <c r="C7" s="21">
        <v>-75.295698000000002</v>
      </c>
      <c r="D7" s="21">
        <v>0.83</v>
      </c>
      <c r="E7" s="3" t="s">
        <v>27</v>
      </c>
    </row>
    <row r="8" spans="1:5">
      <c r="A8" s="9" t="s">
        <v>32</v>
      </c>
      <c r="B8" s="21">
        <v>9.5138200000000008</v>
      </c>
      <c r="C8" s="21">
        <v>-75.312683000000007</v>
      </c>
      <c r="D8" s="21">
        <v>0.21</v>
      </c>
      <c r="E8" s="3" t="s">
        <v>33</v>
      </c>
    </row>
    <row r="9" spans="1:5">
      <c r="A9" s="9" t="s">
        <v>34</v>
      </c>
      <c r="B9" s="21">
        <v>9.514246</v>
      </c>
      <c r="C9" s="21">
        <v>-75.312537000000006</v>
      </c>
      <c r="D9" s="21">
        <v>0.9</v>
      </c>
      <c r="E9" s="3" t="s">
        <v>27</v>
      </c>
    </row>
    <row r="10" spans="1:5">
      <c r="A10" s="9" t="s">
        <v>35</v>
      </c>
      <c r="B10" s="21">
        <v>9.4130900000000004</v>
      </c>
      <c r="C10" s="21">
        <v>-75.370315000000005</v>
      </c>
      <c r="D10" s="21">
        <v>0.18</v>
      </c>
      <c r="E10" s="3" t="s">
        <v>33</v>
      </c>
    </row>
    <row r="11" spans="1:5">
      <c r="A11" s="9" t="s">
        <v>36</v>
      </c>
      <c r="B11" s="21">
        <v>9.4130009999999995</v>
      </c>
      <c r="C11" s="21">
        <v>-75.370187000000001</v>
      </c>
      <c r="D11" s="21">
        <v>0.71</v>
      </c>
      <c r="E11" s="3" t="s">
        <v>25</v>
      </c>
    </row>
    <row r="12" spans="1:5">
      <c r="A12" s="9" t="s">
        <v>37</v>
      </c>
      <c r="B12" s="21">
        <v>9.3546720000000008</v>
      </c>
      <c r="C12" s="21">
        <v>-75.366541999999995</v>
      </c>
      <c r="D12" s="21">
        <v>0.14000000000000001</v>
      </c>
      <c r="E12" s="3" t="s">
        <v>33</v>
      </c>
    </row>
    <row r="13" spans="1:5">
      <c r="A13" s="9" t="s">
        <v>38</v>
      </c>
      <c r="B13" s="21">
        <v>9.3424990000000001</v>
      </c>
      <c r="C13" s="21">
        <v>-75.360330000000005</v>
      </c>
      <c r="D13" s="21">
        <v>0.5</v>
      </c>
      <c r="E13" s="3" t="s">
        <v>25</v>
      </c>
    </row>
    <row r="14" spans="1:5">
      <c r="A14" s="9" t="s">
        <v>39</v>
      </c>
      <c r="B14" s="21">
        <v>9.3349259999999994</v>
      </c>
      <c r="C14" s="21">
        <v>-75.360091999999995</v>
      </c>
      <c r="D14" s="21">
        <v>0.68</v>
      </c>
      <c r="E14" s="3" t="s">
        <v>25</v>
      </c>
    </row>
    <row r="15" spans="1:5">
      <c r="A15" s="9" t="s">
        <v>40</v>
      </c>
      <c r="B15" s="21">
        <v>9.3226119999999995</v>
      </c>
      <c r="C15" s="21">
        <v>-75.289133000000007</v>
      </c>
      <c r="D15" s="21">
        <v>0.23</v>
      </c>
      <c r="E15" s="3" t="s">
        <v>33</v>
      </c>
    </row>
    <row r="16" spans="1:5">
      <c r="A16" s="9" t="s">
        <v>41</v>
      </c>
      <c r="B16" s="21">
        <v>9.3258960000000002</v>
      </c>
      <c r="C16" s="21">
        <v>-75.300736000000001</v>
      </c>
      <c r="D16" s="21">
        <v>0.74</v>
      </c>
      <c r="E16" s="3" t="s">
        <v>25</v>
      </c>
    </row>
    <row r="17" spans="1:6">
      <c r="A17" s="9" t="s">
        <v>42</v>
      </c>
      <c r="B17" s="21">
        <v>9.3348820000000003</v>
      </c>
      <c r="C17" s="21">
        <v>-75.305818000000002</v>
      </c>
      <c r="D17" s="21">
        <v>0.19</v>
      </c>
      <c r="E17" s="3" t="s">
        <v>33</v>
      </c>
    </row>
    <row r="18" spans="1:6">
      <c r="A18" s="10" t="s">
        <v>43</v>
      </c>
      <c r="B18" s="22">
        <v>9.2601279999999999</v>
      </c>
      <c r="C18" s="22">
        <v>-75.355224000000007</v>
      </c>
      <c r="D18" s="22">
        <v>0.57999999999999996</v>
      </c>
      <c r="E18" s="5" t="s">
        <v>25</v>
      </c>
    </row>
    <row r="21" spans="1:6">
      <c r="A21" s="29" t="s">
        <v>116</v>
      </c>
      <c r="B21" s="29"/>
      <c r="C21" s="29"/>
      <c r="D21" s="29"/>
      <c r="E21" s="29"/>
      <c r="F21" s="29"/>
    </row>
    <row r="22" spans="1:6">
      <c r="A22" s="29"/>
      <c r="B22" s="29"/>
      <c r="C22" s="29"/>
      <c r="D22" s="29"/>
      <c r="E22" s="29"/>
      <c r="F22" s="29"/>
    </row>
    <row r="23" spans="1:6">
      <c r="A23" s="29"/>
      <c r="B23" s="29"/>
      <c r="C23" s="29"/>
      <c r="D23" s="29"/>
      <c r="E23" s="29"/>
      <c r="F23" s="29"/>
    </row>
    <row r="24" spans="1:6">
      <c r="A24" s="29"/>
      <c r="B24" s="29"/>
      <c r="C24" s="29"/>
      <c r="D24" s="29"/>
      <c r="E24" s="29"/>
      <c r="F24" s="29"/>
    </row>
  </sheetData>
  <mergeCells count="1">
    <mergeCell ref="A21:F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>
      <selection sqref="A1:H2"/>
    </sheetView>
  </sheetViews>
  <sheetFormatPr baseColWidth="10" defaultColWidth="8.796875" defaultRowHeight="13.8"/>
  <cols>
    <col min="1" max="8" width="16" customWidth="1"/>
  </cols>
  <sheetData>
    <row r="1" spans="1:8">
      <c r="A1" s="32" t="s">
        <v>117</v>
      </c>
      <c r="B1" s="32"/>
      <c r="C1" s="32"/>
      <c r="D1" s="32"/>
      <c r="E1" s="32"/>
      <c r="F1" s="32"/>
      <c r="G1" s="32"/>
      <c r="H1" s="32"/>
    </row>
    <row r="2" spans="1:8">
      <c r="A2" s="32"/>
      <c r="B2" s="32"/>
      <c r="C2" s="32"/>
      <c r="D2" s="32"/>
      <c r="E2" s="32"/>
      <c r="F2" s="32"/>
      <c r="G2" s="32"/>
      <c r="H2" s="32"/>
    </row>
    <row r="4" spans="1:8" ht="27.15" customHeight="1">
      <c r="A4" s="34" t="s">
        <v>118</v>
      </c>
      <c r="B4" s="35"/>
      <c r="C4" s="35"/>
      <c r="D4" s="35"/>
      <c r="E4" s="35"/>
      <c r="F4" s="35"/>
      <c r="G4" s="35"/>
      <c r="H4" s="36"/>
    </row>
    <row r="5" spans="1:8" ht="27.15" customHeight="1">
      <c r="A5" s="34" t="s">
        <v>119</v>
      </c>
      <c r="B5" s="35"/>
      <c r="C5" s="35"/>
      <c r="D5" s="35"/>
      <c r="E5" s="35"/>
      <c r="F5" s="35"/>
      <c r="G5" s="35"/>
      <c r="H5" s="36"/>
    </row>
    <row r="6" spans="1:8" ht="27.15" customHeight="1">
      <c r="A6" s="34" t="s">
        <v>120</v>
      </c>
      <c r="B6" s="35"/>
      <c r="C6" s="35"/>
      <c r="D6" s="35"/>
      <c r="E6" s="35"/>
      <c r="F6" s="35"/>
      <c r="G6" s="35"/>
      <c r="H6" s="36"/>
    </row>
    <row r="7" spans="1:8" ht="27.15" customHeight="1">
      <c r="A7" s="34" t="s">
        <v>121</v>
      </c>
      <c r="B7" s="35"/>
      <c r="C7" s="35"/>
      <c r="D7" s="35"/>
      <c r="E7" s="35"/>
      <c r="F7" s="35"/>
      <c r="G7" s="35"/>
      <c r="H7" s="36"/>
    </row>
    <row r="8" spans="1:8" ht="27.15" customHeight="1">
      <c r="A8" s="34" t="s">
        <v>122</v>
      </c>
      <c r="B8" s="35"/>
      <c r="C8" s="35"/>
      <c r="D8" s="35"/>
      <c r="E8" s="35"/>
      <c r="F8" s="35"/>
      <c r="G8" s="35"/>
      <c r="H8" s="36"/>
    </row>
    <row r="9" spans="1:8" ht="27.15" customHeight="1">
      <c r="A9" s="34" t="s">
        <v>123</v>
      </c>
      <c r="B9" s="35"/>
      <c r="C9" s="35"/>
      <c r="D9" s="35"/>
      <c r="E9" s="35"/>
      <c r="F9" s="35"/>
      <c r="G9" s="35"/>
      <c r="H9" s="36"/>
    </row>
    <row r="10" spans="1:8" ht="27.15" customHeight="1">
      <c r="A10" s="34" t="s">
        <v>124</v>
      </c>
      <c r="B10" s="35"/>
      <c r="C10" s="35"/>
      <c r="D10" s="35"/>
      <c r="E10" s="35"/>
      <c r="F10" s="35"/>
      <c r="G10" s="35"/>
      <c r="H10" s="36"/>
    </row>
    <row r="13" spans="1:8">
      <c r="A13" s="29" t="s">
        <v>125</v>
      </c>
      <c r="B13" s="29"/>
      <c r="C13" s="29"/>
      <c r="D13" s="29"/>
      <c r="E13" s="29"/>
      <c r="F13" s="29"/>
      <c r="G13" s="29"/>
      <c r="H13" s="29"/>
    </row>
    <row r="14" spans="1:8">
      <c r="A14" s="29"/>
      <c r="B14" s="29"/>
      <c r="C14" s="29"/>
      <c r="D14" s="29"/>
      <c r="E14" s="29"/>
      <c r="F14" s="29"/>
      <c r="G14" s="29"/>
      <c r="H14" s="29"/>
    </row>
    <row r="15" spans="1:8">
      <c r="A15" s="29"/>
      <c r="B15" s="29"/>
      <c r="C15" s="29"/>
      <c r="D15" s="29"/>
      <c r="E15" s="29"/>
      <c r="F15" s="29"/>
      <c r="G15" s="29"/>
      <c r="H15" s="29"/>
    </row>
    <row r="16" spans="1:8">
      <c r="A16" s="29"/>
      <c r="B16" s="29"/>
      <c r="C16" s="29"/>
      <c r="D16" s="29"/>
      <c r="E16" s="29"/>
      <c r="F16" s="29"/>
      <c r="G16" s="29"/>
      <c r="H16" s="29"/>
    </row>
  </sheetData>
  <mergeCells count="9">
    <mergeCell ref="A8:H8"/>
    <mergeCell ref="A9:H9"/>
    <mergeCell ref="A10:H10"/>
    <mergeCell ref="A13:H16"/>
    <mergeCell ref="A1:H2"/>
    <mergeCell ref="A4:H4"/>
    <mergeCell ref="A5:H5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Base de cálculo</vt:lpstr>
      <vt:lpstr>Descriptivos</vt:lpstr>
      <vt:lpstr>Perfiles por categoría</vt:lpstr>
      <vt:lpstr>Correlaciones</vt:lpstr>
      <vt:lpstr>Validación estadística</vt:lpstr>
      <vt:lpstr>Bootstrap IC95</vt:lpstr>
      <vt:lpstr>Sensibilidad empírica</vt:lpstr>
      <vt:lpstr>Distribución espacial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ENERGETICA20301</dc:creator>
  <cp:lastModifiedBy>Carlos Segundo Cohen Manrique</cp:lastModifiedBy>
  <dcterms:created xsi:type="dcterms:W3CDTF">2026-07-21T05:07:47Z</dcterms:created>
  <dcterms:modified xsi:type="dcterms:W3CDTF">2026-09-02T20:12:55Z</dcterms:modified>
</cp:coreProperties>
</file>
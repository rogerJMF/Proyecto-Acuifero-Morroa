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"/>
    </mc:Choice>
  </mc:AlternateContent>
  <xr:revisionPtr revIDLastSave="0" documentId="13_ncr:1_{2D88167C-ECA7-4EC4-84AE-52A5800A8922}" xr6:coauthVersionLast="47" xr6:coauthVersionMax="47" xr10:uidLastSave="{00000000-0000-0000-0000-000000000000}"/>
  <bookViews>
    <workbookView xWindow="19090" yWindow="-110" windowWidth="19420" windowHeight="10300" firstSheet="1" activeTab="2" xr2:uid="{E5E9CCF0-5678-4735-9D6E-80B7D3AD4582}"/>
  </bookViews>
  <sheets>
    <sheet name="Datos" sheetId="1" state="hidden" r:id="rId1"/>
    <sheet name="Niveles Imputados" sheetId="25" r:id="rId2"/>
    <sheet name="Gradientes x Pozo" sheetId="23" r:id="rId3"/>
    <sheet name="Hoja1" sheetId="24" state="hidden" r:id="rId4"/>
    <sheet name="Consolidado Pozos" sheetId="22" state="hidden" r:id="rId5"/>
    <sheet name="Sampues - # 52-II-C-PZ-01" sheetId="2" state="hidden" r:id="rId6"/>
    <sheet name="Finca el socorro (Ovejas) - # 4" sheetId="3" state="hidden" r:id="rId7"/>
    <sheet name="Ovejas - # 44-II-D-PO-14" sheetId="4" state="hidden" r:id="rId8"/>
    <sheet name="Los Palmitos - # 44-IV-B-PZ-01 " sheetId="5" state="hidden" r:id="rId9"/>
    <sheet name="Morroa (Bremen) - # 44-IV-C-PZ-" sheetId="7" state="hidden" r:id="rId10"/>
    <sheet name="Bremen - # 44-IV-C-PZ-01 B" sheetId="8" state="hidden" r:id="rId11"/>
    <sheet name="Las Tinas (Morroa)A" sheetId="9" state="hidden" r:id="rId12"/>
    <sheet name="Las Tinas (Morroa)B" sheetId="10" state="hidden" r:id="rId13"/>
    <sheet name="Arroyo salida a Betulia (Coroza" sheetId="12" state="hidden" r:id="rId14"/>
    <sheet name=" (Corozal) - # 44-IV-D-PZ-01 B" sheetId="13" state="hidden" r:id="rId15"/>
    <sheet name="Sabanas de cali (El Tesoro)" sheetId="14" state="hidden" r:id="rId16"/>
    <sheet name="Finca el tesoro - # 44-IV-D-PZ-" sheetId="15" state="hidden" r:id="rId17"/>
    <sheet name="Basurero Viejo, Pileta (Corozal" sheetId="16" state="hidden" r:id="rId18"/>
    <sheet name="Corozal - # 44-IV-D-PO-14" sheetId="17" state="hidden" r:id="rId19"/>
    <sheet name="Corozal - # 44-IV-D-PZ-20" sheetId="18" state="hidden" r:id="rId20"/>
    <sheet name="Corozal - # 44-IV-D-PZ-22" sheetId="19" state="hidden" r:id="rId21"/>
    <sheet name="Cantagallo" sheetId="20" state="hidden" r:id="rId22"/>
  </sheets>
  <definedNames>
    <definedName name="_xlnm._FilterDatabase" localSheetId="14" hidden="1">' (Corozal) - # 44-IV-D-PZ-01 B'!$A$1:$A$103</definedName>
    <definedName name="_xlnm._FilterDatabase" localSheetId="13" hidden="1">'Arroyo salida a Betulia (Coroza'!$A$1:$A$192</definedName>
    <definedName name="_xlnm._FilterDatabase" localSheetId="17" hidden="1">'Basurero Viejo, Pileta (Corozal'!$A$1:$A$1085</definedName>
    <definedName name="_xlnm._FilterDatabase" localSheetId="21" hidden="1">Cantagallo!$A$1:$A$1085</definedName>
    <definedName name="_xlnm._FilterDatabase" localSheetId="18" hidden="1">'Corozal - # 44-IV-D-PO-14'!$A$1:$A$1085</definedName>
    <definedName name="_xlnm._FilterDatabase" localSheetId="19" hidden="1">'Corozal - # 44-IV-D-PZ-20'!$A$1:$A$1085</definedName>
    <definedName name="_xlnm._FilterDatabase" localSheetId="20" hidden="1">'Corozal - # 44-IV-D-PZ-22'!$A$1:$A$1085</definedName>
    <definedName name="_xlnm._FilterDatabase" localSheetId="16" hidden="1">'Finca el tesoro - # 44-IV-D-PZ-'!$A$1:$A$345</definedName>
    <definedName name="_xlnm._FilterDatabase" localSheetId="12" hidden="1">'Las Tinas (Morroa)B'!$A$1:$A$92</definedName>
    <definedName name="_xlnm._FilterDatabase" localSheetId="15" hidden="1">'Sabanas de cali (El Tesoro)'!$A$1:$A$354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9" i="23" l="1"/>
  <c r="BD10" i="23"/>
  <c r="BD8" i="23"/>
  <c r="BE4" i="23"/>
  <c r="BD4" i="23"/>
  <c r="BC5" i="23"/>
  <c r="BC4" i="23"/>
  <c r="AY78" i="25"/>
  <c r="AX78" i="25"/>
  <c r="AV74" i="25"/>
  <c r="AU74" i="25"/>
  <c r="AS26" i="25"/>
  <c r="AR26" i="25"/>
  <c r="AP88" i="25"/>
  <c r="AO88" i="25"/>
  <c r="AM87" i="25"/>
  <c r="AL87" i="25"/>
  <c r="AJ157" i="25"/>
  <c r="AI157" i="25"/>
  <c r="AG110" i="25"/>
  <c r="AF110" i="25"/>
  <c r="AD117" i="25"/>
  <c r="AC117" i="25"/>
  <c r="AA203" i="25"/>
  <c r="Z203" i="25"/>
  <c r="X115" i="25"/>
  <c r="W115" i="25"/>
  <c r="U110" i="25"/>
  <c r="T110" i="25"/>
  <c r="R130" i="25"/>
  <c r="Q130" i="25"/>
  <c r="O130" i="25"/>
  <c r="N130" i="25"/>
  <c r="L75" i="25"/>
  <c r="K75" i="25"/>
  <c r="I51" i="25"/>
  <c r="H51" i="25"/>
  <c r="F57" i="25" l="1"/>
  <c r="E57" i="25"/>
  <c r="B74" i="25"/>
  <c r="C74" i="25"/>
  <c r="AL2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9" i="23" s="1"/>
  <c r="H14" i="23" s="1"/>
  <c r="AL56" i="25"/>
  <c r="Z84" i="25"/>
  <c r="T89" i="25"/>
  <c r="Z152" i="25"/>
  <c r="Z194" i="25"/>
  <c r="Z195" i="25" s="1"/>
  <c r="H8" i="23"/>
  <c r="H13" i="23" s="1"/>
  <c r="B9" i="23"/>
  <c r="B14" i="23" s="1"/>
  <c r="BA6" i="23"/>
  <c r="BA12" i="23" s="1"/>
  <c r="AX6" i="23"/>
  <c r="BA9" i="23"/>
  <c r="BA14" i="23" s="1"/>
  <c r="BA8" i="23"/>
  <c r="BA13" i="23" s="1"/>
  <c r="AL12" i="23"/>
  <c r="AX14" i="23"/>
  <c r="AX13" i="23"/>
  <c r="AI13" i="23"/>
  <c r="Z13" i="23"/>
  <c r="B8" i="23"/>
  <c r="B13" i="23" s="1"/>
  <c r="B7" i="23"/>
  <c r="B12" i="23" s="1"/>
  <c r="AX9" i="23"/>
  <c r="AX8" i="23"/>
  <c r="AX7" i="23"/>
  <c r="AX12" i="23" s="1"/>
  <c r="AU9" i="23"/>
  <c r="AU14" i="23" s="1"/>
  <c r="AU8" i="23"/>
  <c r="AU13" i="23" s="1"/>
  <c r="AU7" i="23"/>
  <c r="AU12" i="23" s="1"/>
  <c r="AU6" i="23"/>
  <c r="AR8" i="23"/>
  <c r="AR13" i="23" s="1"/>
  <c r="AR7" i="23"/>
  <c r="AR12" i="23" s="1"/>
  <c r="AR9" i="23"/>
  <c r="AR14" i="23" s="1"/>
  <c r="AR6" i="23"/>
  <c r="AO9" i="23"/>
  <c r="AO14" i="23" s="1"/>
  <c r="AO8" i="23"/>
  <c r="AO13" i="23" s="1"/>
  <c r="AO7" i="23"/>
  <c r="AO12" i="23" s="1"/>
  <c r="AO6" i="23"/>
  <c r="AL9" i="23"/>
  <c r="AL14" i="23" s="1"/>
  <c r="AL8" i="23"/>
  <c r="AL13" i="23" s="1"/>
  <c r="AL7" i="23"/>
  <c r="AL6" i="23"/>
  <c r="AI9" i="23"/>
  <c r="AI14" i="23" s="1"/>
  <c r="AI8" i="23"/>
  <c r="AI7" i="23"/>
  <c r="AI12" i="23" s="1"/>
  <c r="AI6" i="23"/>
  <c r="AF9" i="23"/>
  <c r="AF14" i="23" s="1"/>
  <c r="AF8" i="23"/>
  <c r="AF13" i="23" s="1"/>
  <c r="AF7" i="23"/>
  <c r="AF12" i="23" s="1"/>
  <c r="AF6" i="23"/>
  <c r="AC9" i="23"/>
  <c r="AC14" i="23" s="1"/>
  <c r="AC8" i="23"/>
  <c r="AC13" i="23" s="1"/>
  <c r="AC7" i="23"/>
  <c r="AC12" i="23" s="1"/>
  <c r="AC6" i="23"/>
  <c r="Z9" i="23"/>
  <c r="Z14" i="23" s="1"/>
  <c r="Z8" i="23"/>
  <c r="Z7" i="23"/>
  <c r="Z12" i="23" s="1"/>
  <c r="Z6" i="23"/>
  <c r="W9" i="23"/>
  <c r="W14" i="23" s="1"/>
  <c r="W8" i="23"/>
  <c r="W13" i="23" s="1"/>
  <c r="W7" i="23"/>
  <c r="W12" i="23" s="1"/>
  <c r="W6" i="23"/>
  <c r="T9" i="23"/>
  <c r="T14" i="23" s="1"/>
  <c r="T8" i="23"/>
  <c r="T13" i="23" s="1"/>
  <c r="T7" i="23"/>
  <c r="T12" i="23" s="1"/>
  <c r="T6" i="23"/>
  <c r="Q8" i="23"/>
  <c r="Q13" i="23" s="1"/>
  <c r="Q7" i="23"/>
  <c r="Q12" i="23" s="1"/>
  <c r="Q9" i="23"/>
  <c r="Q14" i="23" s="1"/>
  <c r="Q6" i="23"/>
  <c r="N9" i="23"/>
  <c r="N14" i="23" s="1"/>
  <c r="N8" i="23"/>
  <c r="N13" i="23" s="1"/>
  <c r="N7" i="23"/>
  <c r="N12" i="23" s="1"/>
  <c r="N6" i="23"/>
  <c r="K9" i="23"/>
  <c r="K14" i="23" s="1"/>
  <c r="K8" i="23"/>
  <c r="K13" i="23" s="1"/>
  <c r="K7" i="23"/>
  <c r="K12" i="23" s="1"/>
  <c r="H7" i="23"/>
  <c r="H12" i="23" s="1"/>
  <c r="K6" i="23"/>
  <c r="H6" i="23"/>
  <c r="E9" i="23"/>
  <c r="E14" i="23" s="1"/>
  <c r="E8" i="23"/>
  <c r="E13" i="23" s="1"/>
  <c r="E6" i="23"/>
  <c r="B6" i="23"/>
  <c r="AP56" i="1"/>
  <c r="AP26" i="1"/>
  <c r="AD78" i="1"/>
  <c r="AD79" i="1" s="1"/>
  <c r="AD36" i="1"/>
  <c r="X34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E7" i="23"/>
  <c r="E12" i="23" s="1"/>
  <c r="D50" i="1"/>
  <c r="J33" i="22"/>
  <c r="K33" i="22"/>
  <c r="C33" i="22"/>
  <c r="D33" i="22"/>
  <c r="E33" i="22"/>
  <c r="F33" i="22"/>
  <c r="G33" i="22"/>
  <c r="H33" i="22"/>
  <c r="I33" i="22"/>
  <c r="B33" i="22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H34" i="19"/>
  <c r="H33" i="19"/>
  <c r="H32" i="19"/>
  <c r="H31" i="19"/>
  <c r="H30" i="19"/>
  <c r="H29" i="19"/>
  <c r="H28" i="19"/>
  <c r="H27" i="19"/>
  <c r="H26" i="19"/>
  <c r="H25" i="19"/>
  <c r="H24" i="19"/>
  <c r="I24" i="19" s="1"/>
  <c r="H23" i="19"/>
  <c r="I23" i="19" s="1"/>
  <c r="H22" i="19"/>
  <c r="H20" i="19"/>
  <c r="H19" i="19"/>
  <c r="I19" i="19" s="1"/>
  <c r="H18" i="19"/>
  <c r="I18" i="19" s="1"/>
  <c r="I34" i="19"/>
  <c r="I33" i="19"/>
  <c r="I32" i="19"/>
  <c r="I31" i="19"/>
  <c r="I30" i="19"/>
  <c r="I29" i="19"/>
  <c r="I28" i="19"/>
  <c r="I27" i="19"/>
  <c r="I26" i="19"/>
  <c r="I25" i="19"/>
  <c r="I22" i="19"/>
  <c r="I21" i="19"/>
  <c r="I20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H6" i="18"/>
  <c r="H4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I22" i="18" s="1"/>
  <c r="H21" i="18"/>
  <c r="I21" i="18" s="1"/>
  <c r="H20" i="18"/>
  <c r="I20" i="18" s="1"/>
  <c r="H19" i="18"/>
  <c r="I19" i="18" s="1"/>
  <c r="H18" i="18"/>
  <c r="H17" i="18"/>
  <c r="H16" i="18"/>
  <c r="H14" i="18"/>
  <c r="H13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H24" i="17"/>
  <c r="H25" i="17"/>
  <c r="H26" i="17"/>
  <c r="I26" i="17" s="1"/>
  <c r="H27" i="17"/>
  <c r="H28" i="17"/>
  <c r="H29" i="17"/>
  <c r="I29" i="17" s="1"/>
  <c r="H30" i="17"/>
  <c r="I30" i="17" s="1"/>
  <c r="H31" i="17"/>
  <c r="H32" i="17"/>
  <c r="I32" i="17" s="1"/>
  <c r="H33" i="17"/>
  <c r="H34" i="17"/>
  <c r="H23" i="17"/>
  <c r="I33" i="17"/>
  <c r="I34" i="17"/>
  <c r="I24" i="17"/>
  <c r="I25" i="17"/>
  <c r="I31" i="17"/>
  <c r="I28" i="17"/>
  <c r="I27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H23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C180" i="16"/>
  <c r="C178" i="16"/>
  <c r="B166" i="16"/>
  <c r="B136" i="16"/>
  <c r="B73" i="16"/>
  <c r="B14" i="16"/>
  <c r="H25" i="15"/>
  <c r="H26" i="15"/>
  <c r="H27" i="15"/>
  <c r="H28" i="15"/>
  <c r="H29" i="15"/>
  <c r="H30" i="15"/>
  <c r="H31" i="15"/>
  <c r="H32" i="15"/>
  <c r="I32" i="15" s="1"/>
  <c r="H33" i="15"/>
  <c r="I33" i="15" s="1"/>
  <c r="H34" i="15"/>
  <c r="I25" i="15"/>
  <c r="I26" i="15"/>
  <c r="I27" i="15"/>
  <c r="I28" i="15"/>
  <c r="I29" i="15"/>
  <c r="I30" i="15"/>
  <c r="I31" i="15"/>
  <c r="I34" i="15"/>
  <c r="H24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I4" i="13"/>
  <c r="I5" i="13"/>
  <c r="I6" i="13"/>
  <c r="I7" i="13"/>
  <c r="I9" i="13"/>
  <c r="I10" i="13"/>
  <c r="I13" i="13"/>
  <c r="I15" i="13"/>
  <c r="I16" i="13"/>
  <c r="I17" i="13"/>
  <c r="I18" i="13"/>
  <c r="I20" i="13"/>
  <c r="I21" i="13"/>
  <c r="I22" i="13"/>
  <c r="I23" i="13"/>
  <c r="I25" i="13"/>
  <c r="I26" i="13"/>
  <c r="I28" i="13"/>
  <c r="I32" i="13"/>
  <c r="I33" i="13"/>
  <c r="H33" i="13"/>
  <c r="H32" i="13"/>
  <c r="H31" i="13"/>
  <c r="I31" i="13" s="1"/>
  <c r="H30" i="13"/>
  <c r="I30" i="13" s="1"/>
  <c r="H29" i="13"/>
  <c r="I29" i="13" s="1"/>
  <c r="H27" i="13"/>
  <c r="I27" i="13" s="1"/>
  <c r="H24" i="13"/>
  <c r="I24" i="13" s="1"/>
  <c r="H22" i="13"/>
  <c r="H20" i="13"/>
  <c r="H19" i="13"/>
  <c r="I19" i="13" s="1"/>
  <c r="H15" i="13"/>
  <c r="H14" i="13"/>
  <c r="I14" i="13" s="1"/>
  <c r="H12" i="13"/>
  <c r="I12" i="13" s="1"/>
  <c r="H11" i="13"/>
  <c r="I11" i="13" s="1"/>
  <c r="H10" i="13"/>
  <c r="H8" i="13"/>
  <c r="I8" i="13" s="1"/>
  <c r="H28" i="13"/>
  <c r="H26" i="13"/>
  <c r="H25" i="13"/>
  <c r="I3" i="13"/>
  <c r="C102" i="13"/>
  <c r="C101" i="13"/>
  <c r="C100" i="13"/>
  <c r="C99" i="13"/>
  <c r="C98" i="13"/>
  <c r="C97" i="13"/>
  <c r="C96" i="13"/>
  <c r="C95" i="13"/>
  <c r="C94" i="13"/>
  <c r="C93" i="13"/>
  <c r="H33" i="12"/>
  <c r="H32" i="12"/>
  <c r="H31" i="12"/>
  <c r="H30" i="12"/>
  <c r="H29" i="12"/>
  <c r="H26" i="12"/>
  <c r="I26" i="12" s="1"/>
  <c r="H25" i="12"/>
  <c r="I25" i="12" s="1"/>
  <c r="H22" i="12"/>
  <c r="I22" i="12" s="1"/>
  <c r="H20" i="12"/>
  <c r="I20" i="12" s="1"/>
  <c r="I33" i="12"/>
  <c r="I32" i="12"/>
  <c r="I31" i="12"/>
  <c r="I30" i="12"/>
  <c r="I29" i="12"/>
  <c r="I28" i="12"/>
  <c r="I27" i="12"/>
  <c r="I24" i="12"/>
  <c r="I23" i="12"/>
  <c r="I21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B152" i="12"/>
  <c r="B84" i="12"/>
  <c r="H33" i="10"/>
  <c r="I33" i="10" s="1"/>
  <c r="H32" i="10"/>
  <c r="H31" i="10"/>
  <c r="H30" i="10"/>
  <c r="H29" i="10"/>
  <c r="H28" i="10"/>
  <c r="H27" i="10"/>
  <c r="H26" i="10"/>
  <c r="H25" i="10"/>
  <c r="I25" i="10" s="1"/>
  <c r="H24" i="10"/>
  <c r="I24" i="10" s="1"/>
  <c r="H20" i="10"/>
  <c r="H19" i="10"/>
  <c r="H18" i="10"/>
  <c r="H5" i="10"/>
  <c r="H6" i="10"/>
  <c r="H4" i="10"/>
  <c r="I3" i="10"/>
  <c r="I32" i="10"/>
  <c r="I31" i="10"/>
  <c r="I30" i="10"/>
  <c r="I29" i="10"/>
  <c r="I28" i="10"/>
  <c r="I27" i="10"/>
  <c r="I26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H33" i="9"/>
  <c r="H32" i="9"/>
  <c r="I32" i="9" s="1"/>
  <c r="H31" i="9"/>
  <c r="I31" i="9" s="1"/>
  <c r="H30" i="9"/>
  <c r="I30" i="9" s="1"/>
  <c r="H29" i="9"/>
  <c r="H28" i="9"/>
  <c r="I28" i="9" s="1"/>
  <c r="H27" i="9"/>
  <c r="I27" i="9" s="1"/>
  <c r="H26" i="9"/>
  <c r="I26" i="9" s="1"/>
  <c r="H25" i="9"/>
  <c r="H21" i="9"/>
  <c r="I21" i="9" s="1"/>
  <c r="H20" i="9"/>
  <c r="I20" i="9" s="1"/>
  <c r="H19" i="9"/>
  <c r="I19" i="9" s="1"/>
  <c r="H18" i="9"/>
  <c r="I18" i="9" s="1"/>
  <c r="H6" i="9"/>
  <c r="H5" i="9"/>
  <c r="H4" i="9"/>
  <c r="I25" i="9"/>
  <c r="I6" i="9"/>
  <c r="I5" i="9"/>
  <c r="I33" i="9"/>
  <c r="I29" i="9"/>
  <c r="I24" i="9"/>
  <c r="I23" i="9"/>
  <c r="I22" i="9"/>
  <c r="I17" i="9"/>
  <c r="I16" i="9"/>
  <c r="I15" i="9"/>
  <c r="I14" i="9"/>
  <c r="I13" i="9"/>
  <c r="I12" i="9"/>
  <c r="I11" i="9"/>
  <c r="I10" i="9"/>
  <c r="I9" i="9"/>
  <c r="I8" i="9"/>
  <c r="I7" i="9"/>
  <c r="I4" i="9"/>
  <c r="I3" i="9"/>
  <c r="B84" i="9"/>
  <c r="H20" i="8"/>
  <c r="H19" i="8"/>
  <c r="H33" i="8"/>
  <c r="I33" i="8" s="1"/>
  <c r="H31" i="8"/>
  <c r="I31" i="8" s="1"/>
  <c r="H30" i="8"/>
  <c r="I30" i="8" s="1"/>
  <c r="H29" i="8"/>
  <c r="I29" i="8" s="1"/>
  <c r="H28" i="8"/>
  <c r="I28" i="8" s="1"/>
  <c r="H27" i="8"/>
  <c r="I27" i="8" s="1"/>
  <c r="H26" i="8"/>
  <c r="I26" i="8" s="1"/>
  <c r="H25" i="8"/>
  <c r="I25" i="8" s="1"/>
  <c r="H24" i="8"/>
  <c r="I24" i="8" s="1"/>
  <c r="H3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32" i="8"/>
  <c r="I3" i="8"/>
  <c r="G25" i="7"/>
  <c r="G24" i="7"/>
  <c r="G20" i="7"/>
  <c r="G19" i="7"/>
  <c r="G12" i="7"/>
  <c r="G27" i="7"/>
  <c r="H27" i="7" s="1"/>
  <c r="G28" i="7"/>
  <c r="H28" i="7" s="1"/>
  <c r="G29" i="7"/>
  <c r="H29" i="7" s="1"/>
  <c r="G30" i="7"/>
  <c r="H30" i="7" s="1"/>
  <c r="G31" i="7"/>
  <c r="G32" i="7"/>
  <c r="G33" i="7"/>
  <c r="G26" i="7"/>
  <c r="H26" i="7" s="1"/>
  <c r="H33" i="7"/>
  <c r="H32" i="7"/>
  <c r="H31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G33" i="5"/>
  <c r="G32" i="5"/>
  <c r="G31" i="5"/>
  <c r="G30" i="5"/>
  <c r="H30" i="5" s="1"/>
  <c r="G29" i="5"/>
  <c r="G28" i="5"/>
  <c r="G26" i="5"/>
  <c r="G24" i="5"/>
  <c r="G23" i="5"/>
  <c r="G20" i="5"/>
  <c r="G19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1" i="5"/>
  <c r="H32" i="5"/>
  <c r="H33" i="5"/>
  <c r="H3" i="5"/>
  <c r="G23" i="4"/>
  <c r="G24" i="4"/>
  <c r="H24" i="4" s="1"/>
  <c r="G25" i="4"/>
  <c r="G26" i="4"/>
  <c r="H26" i="4" s="1"/>
  <c r="G27" i="4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22" i="4"/>
  <c r="H22" i="4" s="1"/>
  <c r="G8" i="4"/>
  <c r="G4" i="4"/>
  <c r="G5" i="4"/>
  <c r="G6" i="4"/>
  <c r="G3" i="4"/>
  <c r="H7" i="4"/>
  <c r="H27" i="4"/>
  <c r="H25" i="4"/>
  <c r="H23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G24" i="3"/>
  <c r="G25" i="3"/>
  <c r="G26" i="3"/>
  <c r="G27" i="3"/>
  <c r="G28" i="3"/>
  <c r="G29" i="3"/>
  <c r="H29" i="3" s="1"/>
  <c r="G30" i="3"/>
  <c r="H30" i="3" s="1"/>
  <c r="G31" i="3"/>
  <c r="H31" i="3" s="1"/>
  <c r="G32" i="3"/>
  <c r="H32" i="3" s="1"/>
  <c r="G33" i="3"/>
  <c r="H33" i="3" s="1"/>
  <c r="G23" i="3"/>
  <c r="H23" i="3" s="1"/>
  <c r="G20" i="3"/>
  <c r="G21" i="3"/>
  <c r="H21" i="3" s="1"/>
  <c r="G19" i="3"/>
  <c r="H19" i="3"/>
  <c r="H20" i="3"/>
  <c r="H11" i="3"/>
  <c r="H12" i="3"/>
  <c r="H13" i="3"/>
  <c r="H14" i="3"/>
  <c r="H15" i="3"/>
  <c r="H16" i="3"/>
  <c r="H17" i="3"/>
  <c r="H18" i="3"/>
  <c r="H22" i="3"/>
  <c r="H24" i="3"/>
  <c r="H25" i="3"/>
  <c r="H26" i="3"/>
  <c r="H27" i="3"/>
  <c r="H28" i="3"/>
  <c r="G18" i="3"/>
  <c r="G3" i="3"/>
  <c r="G4" i="3"/>
  <c r="G5" i="3"/>
  <c r="G6" i="3"/>
  <c r="G7" i="3"/>
  <c r="G8" i="3"/>
  <c r="G9" i="3"/>
  <c r="H9" i="3" s="1"/>
  <c r="G10" i="3"/>
  <c r="H10" i="3" s="1"/>
  <c r="J9" i="3"/>
  <c r="G22" i="3"/>
  <c r="G17" i="3"/>
  <c r="G16" i="3"/>
  <c r="G15" i="3"/>
  <c r="G13" i="3"/>
  <c r="G12" i="3"/>
  <c r="G14" i="3"/>
  <c r="G11" i="3"/>
  <c r="B29" i="3"/>
  <c r="B31" i="3" s="1"/>
  <c r="B28" i="3"/>
  <c r="B27" i="3"/>
  <c r="B26" i="3"/>
  <c r="B22" i="3"/>
  <c r="B21" i="3"/>
  <c r="B16" i="3"/>
  <c r="H29" i="2"/>
  <c r="G30" i="2"/>
  <c r="H30" i="2" s="1"/>
  <c r="G31" i="2"/>
  <c r="H31" i="2" s="1"/>
  <c r="G32" i="2"/>
  <c r="H32" i="2" s="1"/>
  <c r="G33" i="2"/>
  <c r="G29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33" i="2"/>
  <c r="H4" i="2"/>
  <c r="H5" i="2"/>
  <c r="H6" i="2"/>
  <c r="H7" i="2"/>
  <c r="H8" i="2"/>
  <c r="H9" i="2"/>
  <c r="H10" i="2"/>
  <c r="H3" i="2"/>
  <c r="AQ180" i="1"/>
  <c r="AQ178" i="1"/>
  <c r="AH102" i="1"/>
  <c r="AH101" i="1"/>
  <c r="AH100" i="1"/>
  <c r="AH98" i="1"/>
  <c r="AH99" i="1"/>
  <c r="AH97" i="1"/>
  <c r="AH96" i="1"/>
  <c r="AH95" i="1"/>
  <c r="AH94" i="1"/>
  <c r="AH93" i="1"/>
  <c r="D51" i="1" l="1"/>
  <c r="D52" i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6" i="1" s="1"/>
  <c r="D67" i="1" l="1"/>
  <c r="D68" i="1" l="1"/>
  <c r="D69" i="1" l="1"/>
  <c r="D70" i="1" l="1"/>
  <c r="D71" i="1" l="1"/>
  <c r="D72" i="1" l="1"/>
</calcChain>
</file>

<file path=xl/sharedStrings.xml><?xml version="1.0" encoding="utf-8"?>
<sst xmlns="http://schemas.openxmlformats.org/spreadsheetml/2006/main" count="560" uniqueCount="67">
  <si>
    <t>Sampues - # 52-II-C-PZ-01</t>
  </si>
  <si>
    <t>Fecha Medida</t>
  </si>
  <si>
    <t>Nivel Estático (m)</t>
  </si>
  <si>
    <t>Nivel Piezometrico</t>
  </si>
  <si>
    <t>Finca el socorro (Ovejas) - # 44-II-D-PO-02</t>
  </si>
  <si>
    <t>Ovejas - # 44-II-D-PO-05</t>
  </si>
  <si>
    <t>Ovejas - # 44-II-D-PO-14</t>
  </si>
  <si>
    <t>Morroa (Bremen) - # 44-IV-C-PZ-01 A</t>
  </si>
  <si>
    <t>Las Tinas (Morroa) - # 44-IV-C-PZ-02 A</t>
  </si>
  <si>
    <t>Las Tinas (Morroa) - # 44-IV-C-PZ-02 B</t>
  </si>
  <si>
    <t>Arroyo salida a Betulia (Corozal) - # 44-IV-D-PZ-01 A</t>
  </si>
  <si>
    <t>Arroyo salida a Betulia (Corozal) - # 44-IV-D-PZ-01 B</t>
  </si>
  <si>
    <t>Sabanas de cali (El Tesoro) - # 44-IV-D-PZ-02</t>
  </si>
  <si>
    <t>Finca el tesoro - # 44-IV-D-PZ-04</t>
  </si>
  <si>
    <t>Basurero Viejo, Pileta (Corozal) - # 52-II-B-PZ-01 A</t>
  </si>
  <si>
    <t>Basurero Viejo, Pileta (Corozal) - # 52-II-B-PZ-01 B</t>
  </si>
  <si>
    <t>Insignares - # 44-IV-D-PO-02</t>
  </si>
  <si>
    <t>Corozal - # 44-IV-D-PO-14</t>
  </si>
  <si>
    <t>Corozal - # 44-IV-D-PZ-20</t>
  </si>
  <si>
    <t>Corozal - # 44-IV-D-PZ-22</t>
  </si>
  <si>
    <t>Los Palmitos - # 44-IV-B-PZ-01 Piñal</t>
  </si>
  <si>
    <t>Bremen - # 44-IV-C-PZ-01 B</t>
  </si>
  <si>
    <t>Bajo</t>
  </si>
  <si>
    <t>04/0$/2025</t>
  </si>
  <si>
    <t>Cantagallo - # 52-II-A-PZ-01 Corozal</t>
  </si>
  <si>
    <t>Las Tinas (Morroa)A</t>
  </si>
  <si>
    <t>28/24/2010</t>
  </si>
  <si>
    <t>Bajó</t>
  </si>
  <si>
    <t>117/09/2024</t>
  </si>
  <si>
    <t>31/06/2020</t>
  </si>
  <si>
    <t>11/43/2025</t>
  </si>
  <si>
    <t>Diferencia</t>
  </si>
  <si>
    <t>2010-2015</t>
  </si>
  <si>
    <t>2015-2020</t>
  </si>
  <si>
    <t>2020-2025</t>
  </si>
  <si>
    <t>Sabanas de cali (El Tesoro) - # 44-IV-D-PZ-04</t>
  </si>
  <si>
    <t>Gradientes</t>
  </si>
  <si>
    <t>2010_2015</t>
  </si>
  <si>
    <t>2015_2020</t>
  </si>
  <si>
    <t>2020_2025</t>
  </si>
  <si>
    <t>Cerrado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</si>
  <si>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</si>
  <si>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</si>
  <si>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</si>
  <si>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</si>
  <si>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</si>
  <si>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</si>
  <si>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</si>
  <si>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</si>
  <si>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</si>
  <si>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</si>
  <si>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</si>
  <si>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</si>
  <si>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</si>
  <si>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</si>
  <si>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Mayor (1)</t>
  </si>
  <si>
    <t>Menor(1)</t>
  </si>
  <si>
    <t>Nivel de confianza(95,0%)</t>
  </si>
  <si>
    <t>Sin Imputación</t>
  </si>
  <si>
    <t>Imputado</t>
  </si>
  <si>
    <t>imputado</t>
  </si>
  <si>
    <t>Análisis por Zonas</t>
  </si>
  <si>
    <t>Total</t>
  </si>
  <si>
    <t>Pomedio Niveles (m)</t>
  </si>
  <si>
    <t>Pérdida Total (m)</t>
  </si>
  <si>
    <t>Prom Anual (m)</t>
  </si>
  <si>
    <t>Gradientes Prom.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</si>
</sst>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0.0000"/>
    <numFmt numFmtId="166" formatCode="0.000"/>
    <numFmt numFmtId="167" formatCode="0.0000000"/>
    <numFmt numFmtId="168" formatCode="0.0"/>
  </numFmts>
  <fonts count="4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rgb="FF0070C0"/>
      <name val="Calibri"/>
      <family val="2"/>
    </font>
    <font>
      <sz val="10"/>
      <color rgb="FF0070C0"/>
      <name val="Arial"/>
      <family val="2"/>
    </font>
    <font>
      <b/>
      <sz val="11"/>
      <color theme="4"/>
      <name val="Calibri"/>
      <family val="2"/>
    </font>
    <font>
      <sz val="11"/>
      <color theme="4"/>
      <name val="Calibri"/>
      <family val="2"/>
    </font>
    <font>
      <sz val="11"/>
      <color rgb="FF7030A0"/>
      <name val="Calibri"/>
      <family val="2"/>
    </font>
    <font>
      <sz val="11"/>
      <color rgb="FF7030A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4"/>
      <name val="Aptos Narrow"/>
      <family val="2"/>
      <scheme val="minor"/>
    </font>
    <font>
      <sz val="11"/>
      <name val="Arial"/>
      <family val="2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9"/>
      <name val="Arial"/>
      <family val="2"/>
    </font>
    <font>
      <sz val="11"/>
      <color theme="9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6"/>
      <name val="Calibri"/>
      <family val="2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0"/>
      <color theme="6"/>
      <name val="Arial"/>
      <family val="2"/>
    </font>
    <font>
      <sz val="8"/>
      <color rgb="FFD4D4D4"/>
      <name val="Courier New"/>
      <family val="3"/>
    </font>
    <font>
      <sz val="8"/>
      <color rgb="FFB5CEA8"/>
      <name val="Courier New"/>
      <family val="3"/>
    </font>
    <font>
      <sz val="11"/>
      <color theme="6"/>
      <name val="Arial"/>
      <family val="2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sz val="11"/>
      <color rgb="FF0070C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rgb="FFFBB4AF"/>
        <bgColor indexed="64"/>
      </patternFill>
    </fill>
    <fill>
      <patternFill patternType="solid">
        <fgColor rgb="FFFBB4AF"/>
        <bgColor rgb="FFD8D8D8"/>
      </patternFill>
    </fill>
    <fill>
      <patternFill patternType="solid">
        <fgColor rgb="FFFFFF00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66FFFF"/>
      </patternFill>
    </fill>
    <fill>
      <patternFill patternType="solid">
        <fgColor theme="0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34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6" fontId="4" fillId="7" borderId="4" xfId="0" applyNumberFormat="1" applyFont="1" applyFill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65" fontId="10" fillId="7" borderId="4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166" fontId="10" fillId="7" borderId="4" xfId="0" applyNumberFormat="1" applyFont="1" applyFill="1" applyBorder="1" applyAlignment="1">
      <alignment horizontal="center" vertical="center" wrapText="1"/>
    </xf>
    <xf numFmtId="0" fontId="1" fillId="7" borderId="13" xfId="0" applyFont="1" applyFill="1" applyBorder="1"/>
    <xf numFmtId="0" fontId="9" fillId="3" borderId="8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164" fontId="11" fillId="0" borderId="8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64" fontId="11" fillId="8" borderId="8" xfId="0" applyNumberFormat="1" applyFont="1" applyFill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164" fontId="12" fillId="0" borderId="15" xfId="0" applyNumberFormat="1" applyFont="1" applyBorder="1" applyAlignment="1">
      <alignment horizontal="center" wrapText="1"/>
    </xf>
    <xf numFmtId="0" fontId="10" fillId="5" borderId="9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164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7" borderId="9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wrapText="1"/>
    </xf>
    <xf numFmtId="164" fontId="11" fillId="0" borderId="10" xfId="0" applyNumberFormat="1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164" fontId="11" fillId="0" borderId="8" xfId="0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164" fontId="10" fillId="0" borderId="8" xfId="0" applyNumberFormat="1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164" fontId="11" fillId="4" borderId="8" xfId="0" applyNumberFormat="1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wrapText="1"/>
    </xf>
    <xf numFmtId="164" fontId="11" fillId="9" borderId="8" xfId="0" applyNumberFormat="1" applyFont="1" applyFill="1" applyBorder="1" applyAlignment="1">
      <alignment horizontal="center" wrapText="1"/>
    </xf>
    <xf numFmtId="0" fontId="11" fillId="9" borderId="9" xfId="0" applyFont="1" applyFill="1" applyBorder="1" applyAlignment="1">
      <alignment horizontal="center" wrapText="1"/>
    </xf>
    <xf numFmtId="0" fontId="11" fillId="9" borderId="9" xfId="0" applyFont="1" applyFill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 wrapText="1"/>
    </xf>
    <xf numFmtId="0" fontId="13" fillId="6" borderId="9" xfId="0" applyFont="1" applyFill="1" applyBorder="1" applyAlignment="1">
      <alignment wrapText="1"/>
    </xf>
    <xf numFmtId="0" fontId="14" fillId="7" borderId="9" xfId="0" applyFont="1" applyFill="1" applyBorder="1" applyAlignment="1">
      <alignment horizontal="center" vertical="center" wrapText="1"/>
    </xf>
    <xf numFmtId="164" fontId="10" fillId="9" borderId="8" xfId="0" applyNumberFormat="1" applyFont="1" applyFill="1" applyBorder="1" applyAlignment="1">
      <alignment horizontal="center" wrapText="1"/>
    </xf>
    <xf numFmtId="164" fontId="11" fillId="9" borderId="8" xfId="0" applyNumberFormat="1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164" fontId="11" fillId="10" borderId="8" xfId="0" applyNumberFormat="1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wrapText="1"/>
    </xf>
    <xf numFmtId="14" fontId="12" fillId="0" borderId="4" xfId="0" applyNumberFormat="1" applyFont="1" applyBorder="1" applyAlignment="1">
      <alignment horizontal="center" wrapText="1"/>
    </xf>
    <xf numFmtId="0" fontId="10" fillId="9" borderId="4" xfId="0" applyFont="1" applyFill="1" applyBorder="1" applyAlignment="1">
      <alignment horizontal="center" vertical="center" wrapText="1"/>
    </xf>
    <xf numFmtId="164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164" fontId="10" fillId="4" borderId="4" xfId="0" applyNumberFormat="1" applyFont="1" applyFill="1" applyBorder="1" applyAlignment="1">
      <alignment horizontal="center" vertical="center" wrapText="1"/>
    </xf>
    <xf numFmtId="164" fontId="10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wrapText="1"/>
    </xf>
    <xf numFmtId="164" fontId="11" fillId="4" borderId="4" xfId="0" applyNumberFormat="1" applyFont="1" applyFill="1" applyBorder="1" applyAlignment="1">
      <alignment horizontal="center" wrapText="1"/>
    </xf>
    <xf numFmtId="14" fontId="10" fillId="13" borderId="4" xfId="0" applyNumberFormat="1" applyFont="1" applyFill="1" applyBorder="1" applyAlignment="1">
      <alignment horizontal="center" wrapText="1"/>
    </xf>
    <xf numFmtId="0" fontId="10" fillId="1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7" fillId="0" borderId="4" xfId="0" applyNumberFormat="1" applyFont="1" applyBorder="1" applyAlignment="1">
      <alignment horizontal="center" wrapText="1"/>
    </xf>
    <xf numFmtId="0" fontId="17" fillId="0" borderId="4" xfId="0" applyFont="1" applyBorder="1" applyAlignment="1">
      <alignment horizontal="center" vertical="center" wrapText="1"/>
    </xf>
    <xf numFmtId="17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14" fontId="0" fillId="0" borderId="0" xfId="0" applyNumberFormat="1"/>
    <xf numFmtId="0" fontId="12" fillId="0" borderId="18" xfId="0" applyFont="1" applyBorder="1" applyAlignment="1">
      <alignment horizontal="center" wrapText="1"/>
    </xf>
    <xf numFmtId="0" fontId="11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wrapText="1"/>
    </xf>
    <xf numFmtId="0" fontId="10" fillId="0" borderId="19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wrapText="1"/>
    </xf>
    <xf numFmtId="0" fontId="19" fillId="3" borderId="17" xfId="0" applyFont="1" applyFill="1" applyBorder="1" applyAlignment="1">
      <alignment horizont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/>
    </xf>
    <xf numFmtId="0" fontId="22" fillId="0" borderId="0" xfId="0" applyFont="1"/>
    <xf numFmtId="0" fontId="23" fillId="0" borderId="17" xfId="0" applyFont="1" applyBorder="1" applyAlignment="1">
      <alignment horizontal="center" wrapText="1"/>
    </xf>
    <xf numFmtId="0" fontId="11" fillId="0" borderId="17" xfId="0" applyFont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0" fontId="10" fillId="20" borderId="17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wrapText="1"/>
    </xf>
    <xf numFmtId="0" fontId="9" fillId="3" borderId="21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0" fillId="0" borderId="17" xfId="0" applyBorder="1"/>
    <xf numFmtId="0" fontId="4" fillId="7" borderId="17" xfId="0" applyFont="1" applyFill="1" applyBorder="1" applyAlignment="1">
      <alignment vertical="center" wrapText="1"/>
    </xf>
    <xf numFmtId="0" fontId="1" fillId="0" borderId="17" xfId="0" applyFont="1" applyBorder="1"/>
    <xf numFmtId="0" fontId="1" fillId="20" borderId="17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 wrapText="1"/>
    </xf>
    <xf numFmtId="0" fontId="11" fillId="20" borderId="17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0" fontId="21" fillId="20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11" fillId="0" borderId="22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164" fontId="11" fillId="9" borderId="17" xfId="0" applyNumberFormat="1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wrapText="1"/>
    </xf>
    <xf numFmtId="0" fontId="21" fillId="4" borderId="19" xfId="0" applyFont="1" applyFill="1" applyBorder="1" applyAlignment="1">
      <alignment horizontal="center" wrapText="1"/>
    </xf>
    <xf numFmtId="164" fontId="10" fillId="4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64" fontId="11" fillId="4" borderId="0" xfId="0" applyNumberFormat="1" applyFont="1" applyFill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4" fillId="20" borderId="17" xfId="0" applyFont="1" applyFill="1" applyBorder="1" applyAlignment="1">
      <alignment horizontal="center" vertical="center" wrapText="1"/>
    </xf>
    <xf numFmtId="0" fontId="1" fillId="20" borderId="17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20" borderId="21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9" fillId="3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5" fillId="0" borderId="0" xfId="0" applyFont="1"/>
    <xf numFmtId="0" fontId="19" fillId="3" borderId="4" xfId="0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wrapText="1"/>
    </xf>
    <xf numFmtId="14" fontId="3" fillId="0" borderId="12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wrapText="1"/>
    </xf>
    <xf numFmtId="14" fontId="1" fillId="0" borderId="17" xfId="0" applyNumberFormat="1" applyFont="1" applyBorder="1"/>
    <xf numFmtId="14" fontId="3" fillId="0" borderId="17" xfId="0" applyNumberFormat="1" applyFont="1" applyBorder="1" applyAlignment="1">
      <alignment horizontal="center" wrapText="1"/>
    </xf>
    <xf numFmtId="14" fontId="20" fillId="0" borderId="17" xfId="0" applyNumberFormat="1" applyFont="1" applyBorder="1"/>
    <xf numFmtId="0" fontId="20" fillId="0" borderId="17" xfId="0" applyFont="1" applyBorder="1"/>
    <xf numFmtId="0" fontId="3" fillId="12" borderId="2" xfId="0" applyFont="1" applyFill="1" applyBorder="1"/>
    <xf numFmtId="0" fontId="27" fillId="0" borderId="0" xfId="0" applyFont="1"/>
    <xf numFmtId="14" fontId="10" fillId="21" borderId="17" xfId="0" applyNumberFormat="1" applyFont="1" applyFill="1" applyBorder="1" applyAlignment="1">
      <alignment horizontal="center" vertical="center" wrapText="1"/>
    </xf>
    <xf numFmtId="0" fontId="10" fillId="21" borderId="17" xfId="0" applyFont="1" applyFill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0" fillId="0" borderId="0" xfId="0" applyFont="1"/>
    <xf numFmtId="0" fontId="9" fillId="3" borderId="1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23" borderId="4" xfId="0" applyFont="1" applyFill="1" applyBorder="1" applyAlignment="1">
      <alignment horizontal="center" vertical="center" wrapText="1"/>
    </xf>
    <xf numFmtId="14" fontId="10" fillId="22" borderId="4" xfId="0" applyNumberFormat="1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0" fillId="22" borderId="0" xfId="0" applyFill="1"/>
    <xf numFmtId="164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2" fillId="0" borderId="17" xfId="0" applyNumberFormat="1" applyFont="1" applyBorder="1" applyAlignment="1">
      <alignment horizontal="center" wrapText="1"/>
    </xf>
    <xf numFmtId="14" fontId="0" fillId="0" borderId="17" xfId="0" applyNumberFormat="1" applyBorder="1"/>
    <xf numFmtId="164" fontId="23" fillId="0" borderId="17" xfId="0" applyNumberFormat="1" applyFont="1" applyBorder="1" applyAlignment="1">
      <alignment horizontal="center" wrapText="1"/>
    </xf>
    <xf numFmtId="14" fontId="1" fillId="0" borderId="17" xfId="0" applyNumberFormat="1" applyFont="1" applyBorder="1" applyAlignment="1">
      <alignment horizontal="center" vertical="center"/>
    </xf>
    <xf numFmtId="164" fontId="23" fillId="0" borderId="17" xfId="0" applyNumberFormat="1" applyFont="1" applyBorder="1" applyAlignment="1">
      <alignment horizontal="center" vertical="center" wrapText="1"/>
    </xf>
    <xf numFmtId="164" fontId="12" fillId="0" borderId="17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164" fontId="21" fillId="0" borderId="17" xfId="0" applyNumberFormat="1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wrapText="1"/>
    </xf>
    <xf numFmtId="164" fontId="12" fillId="0" borderId="22" xfId="0" applyNumberFormat="1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5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1" fillId="7" borderId="17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4" fontId="10" fillId="0" borderId="22" xfId="0" applyNumberFormat="1" applyFont="1" applyBorder="1" applyAlignment="1">
      <alignment horizontal="center" vertical="center" wrapText="1"/>
    </xf>
    <xf numFmtId="0" fontId="9" fillId="21" borderId="29" xfId="0" applyFont="1" applyFill="1" applyBorder="1" applyAlignment="1">
      <alignment horizontal="center" vertical="center" wrapText="1"/>
    </xf>
    <xf numFmtId="14" fontId="2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3" fillId="6" borderId="17" xfId="0" applyFont="1" applyFill="1" applyBorder="1" applyAlignment="1">
      <alignment horizontal="center" vertical="center" wrapText="1"/>
    </xf>
    <xf numFmtId="164" fontId="21" fillId="4" borderId="17" xfId="0" applyNumberFormat="1" applyFont="1" applyFill="1" applyBorder="1" applyAlignment="1">
      <alignment horizontal="center" vertical="center" wrapText="1"/>
    </xf>
    <xf numFmtId="14" fontId="20" fillId="0" borderId="17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7" borderId="14" xfId="0" applyFont="1" applyFill="1" applyBorder="1" applyAlignment="1">
      <alignment vertical="center" wrapText="1"/>
    </xf>
    <xf numFmtId="164" fontId="11" fillId="0" borderId="22" xfId="0" applyNumberFormat="1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164" fontId="21" fillId="9" borderId="17" xfId="0" applyNumberFormat="1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10" fillId="9" borderId="3" xfId="0" applyFont="1" applyFill="1" applyBorder="1" applyAlignment="1">
      <alignment horizontal="center" vertical="center" wrapText="1"/>
    </xf>
    <xf numFmtId="14" fontId="10" fillId="0" borderId="25" xfId="0" applyNumberFormat="1" applyFont="1" applyBorder="1" applyAlignment="1">
      <alignment horizontal="center" wrapText="1"/>
    </xf>
    <xf numFmtId="164" fontId="3" fillId="4" borderId="17" xfId="0" applyNumberFormat="1" applyFont="1" applyFill="1" applyBorder="1" applyAlignment="1">
      <alignment horizontal="center" vertical="center" wrapText="1"/>
    </xf>
    <xf numFmtId="164" fontId="3" fillId="4" borderId="17" xfId="0" applyNumberFormat="1" applyFont="1" applyFill="1" applyBorder="1" applyAlignment="1">
      <alignment horizontal="center" wrapText="1"/>
    </xf>
    <xf numFmtId="0" fontId="21" fillId="4" borderId="17" xfId="0" applyFont="1" applyFill="1" applyBorder="1" applyAlignment="1">
      <alignment horizontal="center" wrapText="1"/>
    </xf>
    <xf numFmtId="0" fontId="3" fillId="4" borderId="17" xfId="0" applyFont="1" applyFill="1" applyBorder="1" applyAlignment="1">
      <alignment horizontal="center" wrapText="1"/>
    </xf>
    <xf numFmtId="164" fontId="21" fillId="4" borderId="17" xfId="0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4" fontId="11" fillId="4" borderId="25" xfId="0" applyNumberFormat="1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164" fontId="21" fillId="4" borderId="4" xfId="0" applyNumberFormat="1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164" fontId="3" fillId="4" borderId="12" xfId="0" applyNumberFormat="1" applyFont="1" applyFill="1" applyBorder="1" applyAlignment="1">
      <alignment horizontal="center" vertical="center" wrapText="1"/>
    </xf>
    <xf numFmtId="164" fontId="3" fillId="4" borderId="25" xfId="0" applyNumberFormat="1" applyFont="1" applyFill="1" applyBorder="1" applyAlignment="1">
      <alignment horizontal="center" vertical="center" wrapText="1"/>
    </xf>
    <xf numFmtId="164" fontId="21" fillId="4" borderId="12" xfId="0" applyNumberFormat="1" applyFont="1" applyFill="1" applyBorder="1" applyAlignment="1">
      <alignment horizontal="center" vertical="center" wrapText="1"/>
    </xf>
    <xf numFmtId="164" fontId="3" fillId="4" borderId="25" xfId="0" applyNumberFormat="1" applyFont="1" applyFill="1" applyBorder="1" applyAlignment="1">
      <alignment horizontal="center" wrapText="1"/>
    </xf>
    <xf numFmtId="164" fontId="11" fillId="4" borderId="17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23" fillId="0" borderId="17" xfId="0" applyNumberFormat="1" applyFont="1" applyBorder="1" applyAlignment="1">
      <alignment horizontal="center" wrapText="1"/>
    </xf>
    <xf numFmtId="0" fontId="20" fillId="0" borderId="17" xfId="0" applyFont="1" applyBorder="1" applyAlignment="1">
      <alignment horizontal="center"/>
    </xf>
    <xf numFmtId="0" fontId="9" fillId="24" borderId="17" xfId="0" applyFont="1" applyFill="1" applyBorder="1" applyAlignment="1">
      <alignment horizontal="center" vertical="center" wrapText="1"/>
    </xf>
    <xf numFmtId="14" fontId="31" fillId="0" borderId="4" xfId="0" applyNumberFormat="1" applyFont="1" applyBorder="1" applyAlignment="1">
      <alignment horizontal="center" wrapText="1"/>
    </xf>
    <xf numFmtId="0" fontId="31" fillId="0" borderId="4" xfId="0" applyFont="1" applyBorder="1" applyAlignment="1">
      <alignment horizontal="center" vertical="center" wrapText="1"/>
    </xf>
    <xf numFmtId="14" fontId="32" fillId="0" borderId="17" xfId="0" applyNumberFormat="1" applyFont="1" applyBorder="1"/>
    <xf numFmtId="0" fontId="31" fillId="0" borderId="17" xfId="0" applyFont="1" applyBorder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17" xfId="0" applyFont="1" applyBorder="1"/>
    <xf numFmtId="0" fontId="32" fillId="0" borderId="17" xfId="0" applyFont="1" applyBorder="1" applyAlignment="1">
      <alignment horizontal="center" vertical="center"/>
    </xf>
    <xf numFmtId="2" fontId="32" fillId="0" borderId="17" xfId="0" applyNumberFormat="1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/>
    </xf>
    <xf numFmtId="167" fontId="1" fillId="0" borderId="17" xfId="0" applyNumberFormat="1" applyFont="1" applyBorder="1" applyAlignment="1">
      <alignment horizontal="center"/>
    </xf>
    <xf numFmtId="167" fontId="32" fillId="0" borderId="17" xfId="0" applyNumberFormat="1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14" fontId="31" fillId="21" borderId="17" xfId="0" applyNumberFormat="1" applyFont="1" applyFill="1" applyBorder="1" applyAlignment="1">
      <alignment horizontal="center" vertical="center" wrapText="1"/>
    </xf>
    <xf numFmtId="0" fontId="31" fillId="21" borderId="17" xfId="0" applyFont="1" applyFill="1" applyBorder="1" applyAlignment="1">
      <alignment horizontal="center" vertical="center" wrapText="1"/>
    </xf>
    <xf numFmtId="14" fontId="31" fillId="20" borderId="17" xfId="0" applyNumberFormat="1" applyFont="1" applyFill="1" applyBorder="1" applyAlignment="1">
      <alignment horizontal="center" vertical="center" wrapText="1"/>
    </xf>
    <xf numFmtId="0" fontId="32" fillId="20" borderId="17" xfId="0" applyFont="1" applyFill="1" applyBorder="1" applyAlignment="1">
      <alignment horizontal="center"/>
    </xf>
    <xf numFmtId="14" fontId="31" fillId="0" borderId="1" xfId="0" applyNumberFormat="1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164" fontId="35" fillId="0" borderId="17" xfId="0" applyNumberFormat="1" applyFont="1" applyBorder="1" applyAlignment="1">
      <alignment horizontal="center" vertical="center" wrapText="1"/>
    </xf>
    <xf numFmtId="164" fontId="35" fillId="0" borderId="4" xfId="0" applyNumberFormat="1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2" fontId="32" fillId="0" borderId="17" xfId="0" applyNumberFormat="1" applyFont="1" applyBorder="1" applyAlignment="1">
      <alignment horizontal="center"/>
    </xf>
    <xf numFmtId="164" fontId="31" fillId="0" borderId="17" xfId="0" applyNumberFormat="1" applyFont="1" applyBorder="1" applyAlignment="1">
      <alignment horizontal="center" vertical="center" wrapText="1"/>
    </xf>
    <xf numFmtId="14" fontId="32" fillId="0" borderId="17" xfId="0" applyNumberFormat="1" applyFont="1" applyBorder="1" applyAlignment="1">
      <alignment horizontal="center"/>
    </xf>
    <xf numFmtId="14" fontId="32" fillId="0" borderId="17" xfId="0" applyNumberFormat="1" applyFont="1" applyBorder="1" applyAlignment="1">
      <alignment horizontal="center" vertical="center"/>
    </xf>
    <xf numFmtId="164" fontId="32" fillId="0" borderId="17" xfId="0" applyNumberFormat="1" applyFont="1" applyBorder="1" applyAlignment="1">
      <alignment horizontal="center"/>
    </xf>
    <xf numFmtId="164" fontId="35" fillId="4" borderId="17" xfId="0" applyNumberFormat="1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164" fontId="32" fillId="0" borderId="17" xfId="0" applyNumberFormat="1" applyFont="1" applyBorder="1" applyAlignment="1">
      <alignment horizontal="center" vertical="center"/>
    </xf>
    <xf numFmtId="168" fontId="32" fillId="0" borderId="17" xfId="0" applyNumberFormat="1" applyFont="1" applyBorder="1" applyAlignment="1">
      <alignment horizontal="center"/>
    </xf>
    <xf numFmtId="14" fontId="31" fillId="0" borderId="17" xfId="0" applyNumberFormat="1" applyFont="1" applyBorder="1" applyAlignment="1">
      <alignment horizontal="center" wrapText="1"/>
    </xf>
    <xf numFmtId="164" fontId="35" fillId="4" borderId="4" xfId="0" applyNumberFormat="1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2" fontId="3" fillId="0" borderId="17" xfId="0" applyNumberFormat="1" applyFont="1" applyBorder="1" applyAlignment="1">
      <alignment horizontal="center" vertical="center" wrapText="1"/>
    </xf>
    <xf numFmtId="0" fontId="0" fillId="25" borderId="0" xfId="0" applyFill="1" applyAlignment="1">
      <alignment horizontal="center"/>
    </xf>
    <xf numFmtId="14" fontId="38" fillId="25" borderId="4" xfId="0" applyNumberFormat="1" applyFont="1" applyFill="1" applyBorder="1" applyAlignment="1">
      <alignment horizontal="center" wrapText="1"/>
    </xf>
    <xf numFmtId="0" fontId="31" fillId="25" borderId="4" xfId="0" applyFont="1" applyFill="1" applyBorder="1" applyAlignment="1">
      <alignment horizontal="center" vertical="center" wrapText="1"/>
    </xf>
    <xf numFmtId="0" fontId="0" fillId="25" borderId="0" xfId="0" applyFill="1"/>
    <xf numFmtId="0" fontId="32" fillId="25" borderId="17" xfId="0" applyFont="1" applyFill="1" applyBorder="1"/>
    <xf numFmtId="2" fontId="32" fillId="25" borderId="17" xfId="0" applyNumberFormat="1" applyFont="1" applyFill="1" applyBorder="1" applyAlignment="1">
      <alignment horizontal="center"/>
    </xf>
    <xf numFmtId="2" fontId="32" fillId="25" borderId="17" xfId="0" applyNumberFormat="1" applyFont="1" applyFill="1" applyBorder="1" applyAlignment="1">
      <alignment horizontal="center" vertical="center"/>
    </xf>
    <xf numFmtId="0" fontId="0" fillId="25" borderId="17" xfId="0" applyFill="1" applyBorder="1"/>
    <xf numFmtId="0" fontId="0" fillId="25" borderId="17" xfId="0" applyFill="1" applyBorder="1" applyAlignment="1">
      <alignment horizontal="center" vertical="center"/>
    </xf>
    <xf numFmtId="0" fontId="0" fillId="0" borderId="31" xfId="0" applyBorder="1"/>
    <xf numFmtId="0" fontId="39" fillId="0" borderId="32" xfId="0" applyFont="1" applyBorder="1" applyAlignment="1">
      <alignment horizontal="centerContinuous"/>
    </xf>
    <xf numFmtId="0" fontId="39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14" fontId="3" fillId="21" borderId="17" xfId="0" applyNumberFormat="1" applyFont="1" applyFill="1" applyBorder="1" applyAlignment="1">
      <alignment horizontal="center" vertical="center" wrapText="1"/>
    </xf>
    <xf numFmtId="2" fontId="20" fillId="0" borderId="17" xfId="0" applyNumberFormat="1" applyFont="1" applyBorder="1" applyAlignment="1">
      <alignment horizontal="center" vertical="center"/>
    </xf>
    <xf numFmtId="165" fontId="3" fillId="20" borderId="17" xfId="0" applyNumberFormat="1" applyFont="1" applyFill="1" applyBorder="1" applyAlignment="1">
      <alignment horizontal="center" vertical="center" wrapText="1"/>
    </xf>
    <xf numFmtId="166" fontId="3" fillId="20" borderId="17" xfId="0" applyNumberFormat="1" applyFont="1" applyFill="1" applyBorder="1" applyAlignment="1">
      <alignment horizontal="center" vertical="center" wrapText="1"/>
    </xf>
    <xf numFmtId="166" fontId="10" fillId="20" borderId="17" xfId="0" applyNumberFormat="1" applyFont="1" applyFill="1" applyBorder="1" applyAlignment="1">
      <alignment horizontal="center" vertical="center" wrapText="1"/>
    </xf>
    <xf numFmtId="0" fontId="3" fillId="21" borderId="17" xfId="0" applyFont="1" applyFill="1" applyBorder="1" applyAlignment="1">
      <alignment horizontal="center" vertical="center" wrapText="1"/>
    </xf>
    <xf numFmtId="0" fontId="20" fillId="20" borderId="17" xfId="0" applyFont="1" applyFill="1" applyBorder="1" applyAlignment="1">
      <alignment horizontal="center"/>
    </xf>
    <xf numFmtId="164" fontId="7" fillId="20" borderId="17" xfId="0" applyNumberFormat="1" applyFont="1" applyFill="1" applyBorder="1" applyAlignment="1">
      <alignment horizontal="center" vertical="center" wrapText="1"/>
    </xf>
    <xf numFmtId="164" fontId="12" fillId="20" borderId="17" xfId="0" applyNumberFormat="1" applyFont="1" applyFill="1" applyBorder="1" applyAlignment="1">
      <alignment horizontal="center" vertical="center" wrapText="1"/>
    </xf>
    <xf numFmtId="164" fontId="23" fillId="20" borderId="17" xfId="0" applyNumberFormat="1" applyFont="1" applyFill="1" applyBorder="1" applyAlignment="1">
      <alignment horizontal="center" vertical="center" wrapText="1"/>
    </xf>
    <xf numFmtId="164" fontId="28" fillId="20" borderId="17" xfId="0" applyNumberFormat="1" applyFont="1" applyFill="1" applyBorder="1" applyAlignment="1">
      <alignment horizontal="center" vertical="center" wrapText="1"/>
    </xf>
    <xf numFmtId="0" fontId="28" fillId="20" borderId="17" xfId="0" applyFont="1" applyFill="1" applyBorder="1" applyAlignment="1">
      <alignment horizontal="center" vertical="center" wrapText="1"/>
    </xf>
    <xf numFmtId="164" fontId="21" fillId="20" borderId="17" xfId="0" applyNumberFormat="1" applyFont="1" applyFill="1" applyBorder="1" applyAlignment="1">
      <alignment horizontal="center" vertical="center" wrapText="1"/>
    </xf>
    <xf numFmtId="164" fontId="11" fillId="20" borderId="17" xfId="0" applyNumberFormat="1" applyFont="1" applyFill="1" applyBorder="1" applyAlignment="1">
      <alignment horizontal="center" vertical="center" wrapText="1"/>
    </xf>
    <xf numFmtId="0" fontId="3" fillId="26" borderId="17" xfId="0" applyFont="1" applyFill="1" applyBorder="1" applyAlignment="1">
      <alignment horizontal="center" vertical="center" wrapText="1"/>
    </xf>
    <xf numFmtId="14" fontId="1" fillId="20" borderId="17" xfId="0" applyNumberFormat="1" applyFont="1" applyFill="1" applyBorder="1" applyAlignment="1">
      <alignment horizontal="center" vertical="center"/>
    </xf>
    <xf numFmtId="0" fontId="20" fillId="20" borderId="17" xfId="0" applyFont="1" applyFill="1" applyBorder="1" applyAlignment="1">
      <alignment horizontal="center" vertical="center"/>
    </xf>
    <xf numFmtId="14" fontId="20" fillId="20" borderId="17" xfId="0" applyNumberFormat="1" applyFont="1" applyFill="1" applyBorder="1" applyAlignment="1">
      <alignment horizontal="center" vertical="center"/>
    </xf>
    <xf numFmtId="0" fontId="9" fillId="21" borderId="21" xfId="0" applyFont="1" applyFill="1" applyBorder="1" applyAlignment="1">
      <alignment horizontal="center" vertical="center"/>
    </xf>
    <xf numFmtId="0" fontId="28" fillId="20" borderId="24" xfId="0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 vertical="center"/>
    </xf>
    <xf numFmtId="0" fontId="21" fillId="20" borderId="24" xfId="0" applyFont="1" applyFill="1" applyBorder="1" applyAlignment="1">
      <alignment horizontal="center" vertical="center" wrapText="1"/>
    </xf>
    <xf numFmtId="0" fontId="20" fillId="20" borderId="24" xfId="0" applyFont="1" applyFill="1" applyBorder="1" applyAlignment="1">
      <alignment horizontal="center" vertical="center"/>
    </xf>
    <xf numFmtId="0" fontId="9" fillId="21" borderId="17" xfId="0" applyFont="1" applyFill="1" applyBorder="1" applyAlignment="1">
      <alignment horizontal="center" vertical="center"/>
    </xf>
    <xf numFmtId="0" fontId="9" fillId="21" borderId="17" xfId="0" applyFont="1" applyFill="1" applyBorder="1" applyAlignment="1">
      <alignment horizontal="center" vertical="center" wrapText="1"/>
    </xf>
    <xf numFmtId="164" fontId="29" fillId="20" borderId="17" xfId="0" applyNumberFormat="1" applyFont="1" applyFill="1" applyBorder="1" applyAlignment="1">
      <alignment horizontal="center" vertical="center" wrapText="1"/>
    </xf>
    <xf numFmtId="0" fontId="29" fillId="20" borderId="17" xfId="0" applyFont="1" applyFill="1" applyBorder="1" applyAlignment="1">
      <alignment horizontal="center" vertical="center" wrapText="1"/>
    </xf>
    <xf numFmtId="0" fontId="29" fillId="26" borderId="17" xfId="0" applyFont="1" applyFill="1" applyBorder="1" applyAlignment="1">
      <alignment horizontal="center" vertical="center" wrapText="1"/>
    </xf>
    <xf numFmtId="164" fontId="3" fillId="20" borderId="17" xfId="0" applyNumberFormat="1" applyFont="1" applyFill="1" applyBorder="1" applyAlignment="1">
      <alignment horizontal="center" vertical="center" wrapText="1"/>
    </xf>
    <xf numFmtId="164" fontId="10" fillId="20" borderId="17" xfId="0" applyNumberFormat="1" applyFont="1" applyFill="1" applyBorder="1" applyAlignment="1">
      <alignment horizontal="center" vertical="center" wrapText="1"/>
    </xf>
    <xf numFmtId="2" fontId="1" fillId="20" borderId="17" xfId="0" applyNumberFormat="1" applyFont="1" applyFill="1" applyBorder="1" applyAlignment="1">
      <alignment horizontal="center" vertical="center"/>
    </xf>
    <xf numFmtId="14" fontId="0" fillId="20" borderId="17" xfId="0" applyNumberFormat="1" applyFill="1" applyBorder="1"/>
    <xf numFmtId="164" fontId="4" fillId="20" borderId="17" xfId="0" applyNumberFormat="1" applyFont="1" applyFill="1" applyBorder="1" applyAlignment="1">
      <alignment horizontal="center" vertical="center" wrapText="1"/>
    </xf>
    <xf numFmtId="2" fontId="0" fillId="20" borderId="17" xfId="0" applyNumberFormat="1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/>
    </xf>
    <xf numFmtId="0" fontId="3" fillId="21" borderId="24" xfId="0" applyFont="1" applyFill="1" applyBorder="1" applyAlignment="1">
      <alignment horizontal="center" vertical="center" wrapText="1"/>
    </xf>
    <xf numFmtId="0" fontId="10" fillId="21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20" borderId="24" xfId="0" applyFont="1" applyFill="1" applyBorder="1" applyAlignment="1">
      <alignment horizontal="center" vertical="center" wrapText="1"/>
    </xf>
    <xf numFmtId="2" fontId="3" fillId="20" borderId="24" xfId="0" applyNumberFormat="1" applyFont="1" applyFill="1" applyBorder="1" applyAlignment="1">
      <alignment horizontal="center" vertical="center" wrapText="1"/>
    </xf>
    <xf numFmtId="166" fontId="3" fillId="20" borderId="24" xfId="0" applyNumberFormat="1" applyFont="1" applyFill="1" applyBorder="1" applyAlignment="1">
      <alignment horizontal="center" vertical="center" wrapText="1"/>
    </xf>
    <xf numFmtId="166" fontId="10" fillId="20" borderId="24" xfId="0" applyNumberFormat="1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/>
    </xf>
    <xf numFmtId="0" fontId="20" fillId="20" borderId="24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4" fontId="1" fillId="0" borderId="34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2" fontId="1" fillId="0" borderId="24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 wrapText="1"/>
    </xf>
    <xf numFmtId="14" fontId="3" fillId="21" borderId="34" xfId="0" applyNumberFormat="1" applyFont="1" applyFill="1" applyBorder="1" applyAlignment="1">
      <alignment horizontal="center" vertical="center" wrapText="1"/>
    </xf>
    <xf numFmtId="14" fontId="10" fillId="21" borderId="34" xfId="0" applyNumberFormat="1" applyFont="1" applyFill="1" applyBorder="1" applyAlignment="1">
      <alignment horizontal="center" vertical="center" wrapText="1"/>
    </xf>
    <xf numFmtId="14" fontId="3" fillId="0" borderId="34" xfId="0" applyNumberFormat="1" applyFont="1" applyBorder="1" applyAlignment="1">
      <alignment horizontal="center" vertical="center" wrapText="1"/>
    </xf>
    <xf numFmtId="14" fontId="10" fillId="0" borderId="34" xfId="0" applyNumberFormat="1" applyFont="1" applyBorder="1" applyAlignment="1">
      <alignment horizontal="center" vertical="center" wrapText="1"/>
    </xf>
    <xf numFmtId="164" fontId="28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7" fillId="0" borderId="33" xfId="0" applyNumberFormat="1" applyFont="1" applyBorder="1" applyAlignment="1">
      <alignment horizontal="center" vertical="center" wrapText="1"/>
    </xf>
    <xf numFmtId="164" fontId="12" fillId="0" borderId="34" xfId="0" applyNumberFormat="1" applyFont="1" applyBorder="1" applyAlignment="1">
      <alignment horizontal="center" wrapText="1"/>
    </xf>
    <xf numFmtId="14" fontId="20" fillId="0" borderId="34" xfId="0" applyNumberFormat="1" applyFont="1" applyBorder="1" applyAlignment="1">
      <alignment horizontal="center" vertical="center"/>
    </xf>
    <xf numFmtId="164" fontId="12" fillId="0" borderId="34" xfId="0" applyNumberFormat="1" applyFont="1" applyBorder="1" applyAlignment="1">
      <alignment horizontal="center" vertical="center" wrapText="1"/>
    </xf>
    <xf numFmtId="164" fontId="23" fillId="0" borderId="34" xfId="0" applyNumberFormat="1" applyFont="1" applyBorder="1" applyAlignment="1">
      <alignment horizontal="center" vertical="center" wrapText="1"/>
    </xf>
    <xf numFmtId="14" fontId="0" fillId="0" borderId="34" xfId="0" applyNumberFormat="1" applyBorder="1"/>
    <xf numFmtId="164" fontId="11" fillId="0" borderId="34" xfId="0" applyNumberFormat="1" applyFont="1" applyBorder="1" applyAlignment="1">
      <alignment horizontal="center" vertical="center" wrapText="1"/>
    </xf>
    <xf numFmtId="164" fontId="21" fillId="0" borderId="34" xfId="0" applyNumberFormat="1" applyFont="1" applyBorder="1" applyAlignment="1">
      <alignment horizontal="center" vertical="center" wrapText="1"/>
    </xf>
    <xf numFmtId="164" fontId="40" fillId="0" borderId="17" xfId="0" applyNumberFormat="1" applyFont="1" applyBorder="1" applyAlignment="1">
      <alignment horizontal="center" wrapText="1"/>
    </xf>
    <xf numFmtId="0" fontId="40" fillId="0" borderId="17" xfId="0" applyFont="1" applyBorder="1" applyAlignment="1">
      <alignment horizontal="center" wrapText="1"/>
    </xf>
    <xf numFmtId="164" fontId="41" fillId="0" borderId="17" xfId="0" applyNumberFormat="1" applyFont="1" applyBorder="1" applyAlignment="1">
      <alignment horizontal="center" wrapText="1"/>
    </xf>
    <xf numFmtId="164" fontId="41" fillId="0" borderId="17" xfId="0" applyNumberFormat="1" applyFont="1" applyBorder="1" applyAlignment="1">
      <alignment horizontal="center" vertical="center" wrapText="1"/>
    </xf>
    <xf numFmtId="164" fontId="42" fillId="0" borderId="17" xfId="0" applyNumberFormat="1" applyFont="1" applyBorder="1" applyAlignment="1">
      <alignment horizontal="center" vertical="center" wrapText="1"/>
    </xf>
    <xf numFmtId="14" fontId="42" fillId="0" borderId="17" xfId="0" applyNumberFormat="1" applyFont="1" applyBorder="1" applyAlignment="1">
      <alignment horizontal="center" vertical="center"/>
    </xf>
    <xf numFmtId="14" fontId="43" fillId="0" borderId="17" xfId="0" applyNumberFormat="1" applyFont="1" applyBorder="1" applyAlignment="1">
      <alignment horizontal="center" vertical="center"/>
    </xf>
    <xf numFmtId="164" fontId="44" fillId="0" borderId="17" xfId="0" applyNumberFormat="1" applyFont="1" applyBorder="1" applyAlignment="1">
      <alignment horizontal="center" vertical="center" wrapText="1"/>
    </xf>
    <xf numFmtId="164" fontId="45" fillId="0" borderId="17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64" fontId="28" fillId="20" borderId="34" xfId="0" applyNumberFormat="1" applyFont="1" applyFill="1" applyBorder="1" applyAlignment="1">
      <alignment horizontal="center" vertical="center" wrapText="1"/>
    </xf>
    <xf numFmtId="164" fontId="21" fillId="20" borderId="34" xfId="0" applyNumberFormat="1" applyFont="1" applyFill="1" applyBorder="1" applyAlignment="1">
      <alignment horizontal="center" vertical="center" wrapText="1"/>
    </xf>
    <xf numFmtId="164" fontId="11" fillId="20" borderId="34" xfId="0" applyNumberFormat="1" applyFont="1" applyFill="1" applyBorder="1" applyAlignment="1">
      <alignment horizontal="center" vertical="center" wrapText="1"/>
    </xf>
    <xf numFmtId="164" fontId="12" fillId="20" borderId="34" xfId="0" applyNumberFormat="1" applyFont="1" applyFill="1" applyBorder="1" applyAlignment="1">
      <alignment horizontal="center" vertical="center" wrapText="1"/>
    </xf>
    <xf numFmtId="164" fontId="23" fillId="20" borderId="34" xfId="0" applyNumberFormat="1" applyFont="1" applyFill="1" applyBorder="1" applyAlignment="1">
      <alignment horizontal="center" vertical="center" wrapText="1"/>
    </xf>
    <xf numFmtId="14" fontId="20" fillId="20" borderId="34" xfId="0" applyNumberFormat="1" applyFont="1" applyFill="1" applyBorder="1" applyAlignment="1">
      <alignment horizontal="center" vertical="center"/>
    </xf>
    <xf numFmtId="14" fontId="1" fillId="20" borderId="34" xfId="0" applyNumberFormat="1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164" fontId="3" fillId="0" borderId="34" xfId="0" applyNumberFormat="1" applyFont="1" applyBorder="1" applyAlignment="1">
      <alignment horizontal="center" vertical="center" wrapText="1"/>
    </xf>
    <xf numFmtId="164" fontId="10" fillId="0" borderId="34" xfId="0" applyNumberFormat="1" applyFont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164" fontId="21" fillId="20" borderId="0" xfId="0" applyNumberFormat="1" applyFont="1" applyFill="1" applyAlignment="1">
      <alignment horizontal="center" vertical="center" wrapText="1"/>
    </xf>
    <xf numFmtId="0" fontId="21" fillId="20" borderId="0" xfId="0" applyFont="1" applyFill="1" applyAlignment="1">
      <alignment horizontal="center" vertical="center" wrapText="1"/>
    </xf>
    <xf numFmtId="164" fontId="3" fillId="20" borderId="0" xfId="0" applyNumberFormat="1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164" fontId="1" fillId="20" borderId="0" xfId="0" applyNumberFormat="1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64" fontId="21" fillId="28" borderId="0" xfId="0" applyNumberFormat="1" applyFont="1" applyFill="1" applyAlignment="1">
      <alignment horizontal="center" vertical="center" wrapText="1"/>
    </xf>
    <xf numFmtId="0" fontId="21" fillId="28" borderId="0" xfId="0" applyFont="1" applyFill="1" applyAlignment="1">
      <alignment horizontal="center" vertical="center" wrapText="1"/>
    </xf>
    <xf numFmtId="14" fontId="20" fillId="20" borderId="0" xfId="0" applyNumberFormat="1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14" fontId="1" fillId="20" borderId="0" xfId="0" applyNumberFormat="1" applyFont="1" applyFill="1" applyAlignment="1">
      <alignment horizontal="center" vertical="center"/>
    </xf>
    <xf numFmtId="0" fontId="9" fillId="3" borderId="36" xfId="0" applyFont="1" applyFill="1" applyBorder="1" applyAlignment="1">
      <alignment horizontal="center" vertical="center" wrapText="1"/>
    </xf>
    <xf numFmtId="164" fontId="21" fillId="0" borderId="37" xfId="0" applyNumberFormat="1" applyFont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/>
    </xf>
    <xf numFmtId="164" fontId="21" fillId="0" borderId="38" xfId="0" applyNumberFormat="1" applyFont="1" applyBorder="1" applyAlignment="1">
      <alignment horizontal="center" vertical="center" wrapText="1"/>
    </xf>
    <xf numFmtId="164" fontId="20" fillId="0" borderId="34" xfId="0" applyNumberFormat="1" applyFont="1" applyBorder="1" applyAlignment="1">
      <alignment horizontal="center" vertical="center"/>
    </xf>
    <xf numFmtId="14" fontId="0" fillId="0" borderId="34" xfId="0" applyNumberFormat="1" applyBorder="1" applyAlignment="1">
      <alignment horizontal="center"/>
    </xf>
    <xf numFmtId="0" fontId="9" fillId="21" borderId="17" xfId="0" applyFont="1" applyFill="1" applyBorder="1" applyAlignment="1">
      <alignment horizontal="center" wrapText="1"/>
    </xf>
    <xf numFmtId="0" fontId="0" fillId="20" borderId="17" xfId="0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wrapText="1"/>
    </xf>
    <xf numFmtId="14" fontId="3" fillId="0" borderId="33" xfId="0" applyNumberFormat="1" applyFont="1" applyBorder="1" applyAlignment="1">
      <alignment horizontal="center" wrapText="1"/>
    </xf>
    <xf numFmtId="14" fontId="3" fillId="0" borderId="40" xfId="0" applyNumberFormat="1" applyFont="1" applyBorder="1" applyAlignment="1">
      <alignment horizontal="center" wrapText="1"/>
    </xf>
    <xf numFmtId="14" fontId="20" fillId="0" borderId="34" xfId="0" applyNumberFormat="1" applyFont="1" applyBorder="1"/>
    <xf numFmtId="14" fontId="3" fillId="0" borderId="41" xfId="0" applyNumberFormat="1" applyFont="1" applyBorder="1" applyAlignment="1">
      <alignment horizontal="center" wrapText="1"/>
    </xf>
    <xf numFmtId="14" fontId="10" fillId="0" borderId="33" xfId="0" applyNumberFormat="1" applyFont="1" applyBorder="1" applyAlignment="1">
      <alignment horizontal="center" wrapText="1"/>
    </xf>
    <xf numFmtId="14" fontId="3" fillId="0" borderId="34" xfId="0" applyNumberFormat="1" applyFont="1" applyBorder="1" applyAlignment="1">
      <alignment horizont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4" fontId="21" fillId="4" borderId="3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wrapText="1"/>
    </xf>
    <xf numFmtId="14" fontId="23" fillId="0" borderId="33" xfId="0" applyNumberFormat="1" applyFont="1" applyBorder="1" applyAlignment="1">
      <alignment horizontal="center" wrapText="1"/>
    </xf>
    <xf numFmtId="14" fontId="20" fillId="0" borderId="37" xfId="0" applyNumberFormat="1" applyFont="1" applyBorder="1"/>
    <xf numFmtId="0" fontId="9" fillId="3" borderId="19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/>
    </xf>
    <xf numFmtId="0" fontId="9" fillId="21" borderId="40" xfId="0" applyFont="1" applyFill="1" applyBorder="1" applyAlignment="1">
      <alignment horizontal="center" vertical="center"/>
    </xf>
    <xf numFmtId="0" fontId="9" fillId="21" borderId="19" xfId="0" applyFont="1" applyFill="1" applyBorder="1" applyAlignment="1">
      <alignment horizontal="center" vertical="center" wrapText="1"/>
    </xf>
    <xf numFmtId="14" fontId="38" fillId="25" borderId="25" xfId="0" applyNumberFormat="1" applyFont="1" applyFill="1" applyBorder="1" applyAlignment="1">
      <alignment horizontal="center" wrapText="1"/>
    </xf>
    <xf numFmtId="0" fontId="31" fillId="25" borderId="25" xfId="0" applyFont="1" applyFill="1" applyBorder="1" applyAlignment="1">
      <alignment horizontal="center" vertical="center" wrapText="1"/>
    </xf>
    <xf numFmtId="0" fontId="0" fillId="20" borderId="0" xfId="0" applyFill="1"/>
    <xf numFmtId="0" fontId="0" fillId="20" borderId="0" xfId="0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30" borderId="17" xfId="0" applyFill="1" applyBorder="1"/>
    <xf numFmtId="0" fontId="32" fillId="20" borderId="17" xfId="0" applyFont="1" applyFill="1" applyBorder="1"/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2" fillId="30" borderId="24" xfId="0" applyFont="1" applyFill="1" applyBorder="1" applyAlignment="1">
      <alignment horizontal="center"/>
    </xf>
    <xf numFmtId="0" fontId="32" fillId="30" borderId="34" xfId="0" applyFont="1" applyFill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34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4" fillId="20" borderId="0" xfId="0" applyFont="1" applyFill="1" applyAlignment="1">
      <alignment horizontal="center"/>
    </xf>
    <xf numFmtId="0" fontId="30" fillId="20" borderId="17" xfId="0" applyFont="1" applyFill="1" applyBorder="1" applyAlignment="1">
      <alignment horizontal="center"/>
    </xf>
    <xf numFmtId="0" fontId="39" fillId="25" borderId="17" xfId="0" applyFont="1" applyFill="1" applyBorder="1" applyAlignment="1">
      <alignment horizontal="center"/>
    </xf>
    <xf numFmtId="0" fontId="30" fillId="20" borderId="0" xfId="0" applyFont="1" applyFill="1" applyAlignment="1">
      <alignment horizontal="center"/>
    </xf>
    <xf numFmtId="0" fontId="33" fillId="20" borderId="0" xfId="0" applyFont="1" applyFill="1" applyAlignment="1">
      <alignment horizontal="center"/>
    </xf>
    <xf numFmtId="0" fontId="15" fillId="18" borderId="1" xfId="0" applyFont="1" applyFill="1" applyBorder="1" applyAlignment="1">
      <alignment horizontal="center" vertical="center" wrapText="1"/>
    </xf>
    <xf numFmtId="0" fontId="16" fillId="19" borderId="2" xfId="0" applyFont="1" applyFill="1" applyBorder="1"/>
    <xf numFmtId="0" fontId="16" fillId="19" borderId="3" xfId="0" applyFont="1" applyFill="1" applyBorder="1"/>
    <xf numFmtId="0" fontId="15" fillId="2" borderId="1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16" fillId="7" borderId="3" xfId="0" applyFont="1" applyFill="1" applyBorder="1"/>
    <xf numFmtId="0" fontId="16" fillId="0" borderId="2" xfId="0" applyFont="1" applyBorder="1"/>
    <xf numFmtId="0" fontId="16" fillId="0" borderId="3" xfId="0" applyFont="1" applyBorder="1"/>
    <xf numFmtId="0" fontId="2" fillId="16" borderId="5" xfId="0" applyFont="1" applyFill="1" applyBorder="1" applyAlignment="1">
      <alignment horizontal="center" vertical="center" wrapText="1"/>
    </xf>
    <xf numFmtId="0" fontId="6" fillId="17" borderId="6" xfId="0" applyFont="1" applyFill="1" applyBorder="1"/>
    <xf numFmtId="0" fontId="6" fillId="17" borderId="7" xfId="0" applyFont="1" applyFill="1" applyBorder="1"/>
    <xf numFmtId="0" fontId="15" fillId="14" borderId="1" xfId="0" applyFont="1" applyFill="1" applyBorder="1" applyAlignment="1">
      <alignment horizontal="center" vertical="center" wrapText="1"/>
    </xf>
    <xf numFmtId="0" fontId="16" fillId="15" borderId="2" xfId="0" applyFont="1" applyFill="1" applyBorder="1"/>
    <xf numFmtId="0" fontId="16" fillId="15" borderId="3" xfId="0" applyFont="1" applyFill="1" applyBorder="1"/>
    <xf numFmtId="0" fontId="9" fillId="16" borderId="5" xfId="0" applyFont="1" applyFill="1" applyBorder="1" applyAlignment="1">
      <alignment horizontal="center" vertical="center" wrapText="1"/>
    </xf>
    <xf numFmtId="0" fontId="10" fillId="17" borderId="6" xfId="0" applyFont="1" applyFill="1" applyBorder="1"/>
    <xf numFmtId="0" fontId="10" fillId="17" borderId="7" xfId="0" applyFont="1" applyFill="1" applyBorder="1"/>
    <xf numFmtId="0" fontId="2" fillId="11" borderId="1" xfId="0" applyFont="1" applyFill="1" applyBorder="1" applyAlignment="1">
      <alignment horizontal="center" vertical="center" wrapText="1"/>
    </xf>
    <xf numFmtId="0" fontId="3" fillId="12" borderId="2" xfId="0" applyFont="1" applyFill="1" applyBorder="1"/>
    <xf numFmtId="0" fontId="3" fillId="12" borderId="3" xfId="0" applyFont="1" applyFill="1" applyBorder="1"/>
    <xf numFmtId="0" fontId="2" fillId="14" borderId="1" xfId="0" applyFont="1" applyFill="1" applyBorder="1" applyAlignment="1">
      <alignment horizontal="center" vertical="center" wrapText="1"/>
    </xf>
    <xf numFmtId="0" fontId="3" fillId="15" borderId="2" xfId="0" applyFont="1" applyFill="1" applyBorder="1"/>
    <xf numFmtId="0" fontId="3" fillId="15" borderId="3" xfId="0" applyFont="1" applyFill="1" applyBorder="1"/>
    <xf numFmtId="0" fontId="2" fillId="11" borderId="5" xfId="0" applyFont="1" applyFill="1" applyBorder="1" applyAlignment="1">
      <alignment horizontal="center" wrapText="1"/>
    </xf>
    <xf numFmtId="0" fontId="3" fillId="12" borderId="6" xfId="0" applyFont="1" applyFill="1" applyBorder="1"/>
    <xf numFmtId="0" fontId="3" fillId="12" borderId="7" xfId="0" applyFont="1" applyFill="1" applyBorder="1"/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3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27" fillId="29" borderId="17" xfId="0" applyFont="1" applyFill="1" applyBorder="1" applyAlignment="1">
      <alignment horizontal="center"/>
    </xf>
    <xf numFmtId="0" fontId="27" fillId="29" borderId="17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 wrapText="1"/>
    </xf>
    <xf numFmtId="0" fontId="3" fillId="12" borderId="17" xfId="0" applyFont="1" applyFill="1" applyBorder="1"/>
    <xf numFmtId="0" fontId="3" fillId="12" borderId="17" xfId="0" applyFont="1" applyFill="1" applyBorder="1" applyAlignment="1">
      <alignment vertical="center"/>
    </xf>
    <xf numFmtId="0" fontId="2" fillId="16" borderId="17" xfId="0" applyFont="1" applyFill="1" applyBorder="1" applyAlignment="1">
      <alignment horizontal="center" vertical="center" wrapText="1"/>
    </xf>
    <xf numFmtId="0" fontId="6" fillId="17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B4AF"/>
      <color rgb="FFF86F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044457432812553"/>
                  <c:y val="0.219001895596383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yVal>
            <c:numRef>
              <c:f>Datos!$AH$3:$AH$92</c:f>
              <c:numCache>
                <c:formatCode>General</c:formatCode>
                <c:ptCount val="90"/>
                <c:pt idx="0">
                  <c:v>137.36000000000001</c:v>
                </c:pt>
                <c:pt idx="1">
                  <c:v>137.09</c:v>
                </c:pt>
                <c:pt idx="2">
                  <c:v>136.82</c:v>
                </c:pt>
                <c:pt idx="3">
                  <c:v>137.08000000000001</c:v>
                </c:pt>
                <c:pt idx="4">
                  <c:v>136.85</c:v>
                </c:pt>
                <c:pt idx="5">
                  <c:v>136.78</c:v>
                </c:pt>
                <c:pt idx="6">
                  <c:v>136.81</c:v>
                </c:pt>
                <c:pt idx="7">
                  <c:v>137.01</c:v>
                </c:pt>
                <c:pt idx="8">
                  <c:v>136.88</c:v>
                </c:pt>
                <c:pt idx="9">
                  <c:v>137.13999999999999</c:v>
                </c:pt>
                <c:pt idx="10">
                  <c:v>137.19999999999999</c:v>
                </c:pt>
                <c:pt idx="11">
                  <c:v>137.15</c:v>
                </c:pt>
                <c:pt idx="12">
                  <c:v>137.43</c:v>
                </c:pt>
                <c:pt idx="13">
                  <c:v>136.72999999999999</c:v>
                </c:pt>
                <c:pt idx="14">
                  <c:v>136.76</c:v>
                </c:pt>
                <c:pt idx="15">
                  <c:v>136.47</c:v>
                </c:pt>
                <c:pt idx="16">
                  <c:v>136.65</c:v>
                </c:pt>
                <c:pt idx="17">
                  <c:v>136.57</c:v>
                </c:pt>
                <c:pt idx="18">
                  <c:v>136.55000000000001</c:v>
                </c:pt>
                <c:pt idx="19">
                  <c:v>136.44999999999999</c:v>
                </c:pt>
                <c:pt idx="20">
                  <c:v>136.46</c:v>
                </c:pt>
                <c:pt idx="21">
                  <c:v>136.5</c:v>
                </c:pt>
                <c:pt idx="22">
                  <c:v>136.44</c:v>
                </c:pt>
                <c:pt idx="23">
                  <c:v>136.43</c:v>
                </c:pt>
                <c:pt idx="24">
                  <c:v>136.41999999999999</c:v>
                </c:pt>
                <c:pt idx="25">
                  <c:v>136.33000000000001</c:v>
                </c:pt>
                <c:pt idx="26">
                  <c:v>136.43</c:v>
                </c:pt>
                <c:pt idx="27">
                  <c:v>136.38</c:v>
                </c:pt>
                <c:pt idx="28">
                  <c:v>136.36000000000001</c:v>
                </c:pt>
                <c:pt idx="29">
                  <c:v>136.43</c:v>
                </c:pt>
                <c:pt idx="30">
                  <c:v>136.33000000000001</c:v>
                </c:pt>
                <c:pt idx="31">
                  <c:v>137.03</c:v>
                </c:pt>
                <c:pt idx="32">
                  <c:v>137.75</c:v>
                </c:pt>
                <c:pt idx="33">
                  <c:v>136.94999999999999</c:v>
                </c:pt>
                <c:pt idx="34">
                  <c:v>137.15</c:v>
                </c:pt>
                <c:pt idx="35">
                  <c:v>137.03</c:v>
                </c:pt>
                <c:pt idx="36">
                  <c:v>136.99</c:v>
                </c:pt>
                <c:pt idx="37">
                  <c:v>136.94999999999999</c:v>
                </c:pt>
                <c:pt idx="38">
                  <c:v>136.96</c:v>
                </c:pt>
                <c:pt idx="39">
                  <c:v>137.03</c:v>
                </c:pt>
                <c:pt idx="40">
                  <c:v>136.81</c:v>
                </c:pt>
                <c:pt idx="41">
                  <c:v>136.96</c:v>
                </c:pt>
                <c:pt idx="42">
                  <c:v>137.01</c:v>
                </c:pt>
                <c:pt idx="43">
                  <c:v>137.11000000000001</c:v>
                </c:pt>
                <c:pt idx="44">
                  <c:v>137.36000000000001</c:v>
                </c:pt>
                <c:pt idx="45">
                  <c:v>137.31</c:v>
                </c:pt>
                <c:pt idx="46">
                  <c:v>137.04</c:v>
                </c:pt>
                <c:pt idx="47">
                  <c:v>136.96</c:v>
                </c:pt>
                <c:pt idx="48">
                  <c:v>137.03</c:v>
                </c:pt>
                <c:pt idx="49">
                  <c:v>137.01</c:v>
                </c:pt>
                <c:pt idx="50">
                  <c:v>137.33000000000001</c:v>
                </c:pt>
                <c:pt idx="51">
                  <c:v>137.03</c:v>
                </c:pt>
                <c:pt idx="52">
                  <c:v>137.11000000000001</c:v>
                </c:pt>
                <c:pt idx="53">
                  <c:v>136.96</c:v>
                </c:pt>
                <c:pt idx="54">
                  <c:v>136.97999999999999</c:v>
                </c:pt>
                <c:pt idx="55">
                  <c:v>137.01</c:v>
                </c:pt>
                <c:pt idx="56">
                  <c:v>137.06</c:v>
                </c:pt>
                <c:pt idx="57">
                  <c:v>136.99</c:v>
                </c:pt>
                <c:pt idx="58">
                  <c:v>137.02000000000001</c:v>
                </c:pt>
                <c:pt idx="59">
                  <c:v>136.71</c:v>
                </c:pt>
                <c:pt idx="60">
                  <c:v>137.09</c:v>
                </c:pt>
                <c:pt idx="61">
                  <c:v>137.03</c:v>
                </c:pt>
                <c:pt idx="62">
                  <c:v>137.02000000000001</c:v>
                </c:pt>
                <c:pt idx="63">
                  <c:v>137.05000000000001</c:v>
                </c:pt>
                <c:pt idx="64">
                  <c:v>136.93</c:v>
                </c:pt>
                <c:pt idx="65">
                  <c:v>137.02000000000001</c:v>
                </c:pt>
                <c:pt idx="66">
                  <c:v>136.91999999999999</c:v>
                </c:pt>
                <c:pt idx="67">
                  <c:v>136.9</c:v>
                </c:pt>
                <c:pt idx="68">
                  <c:v>137.38</c:v>
                </c:pt>
                <c:pt idx="69">
                  <c:v>136.97999999999999</c:v>
                </c:pt>
                <c:pt idx="70">
                  <c:v>137.13999999999999</c:v>
                </c:pt>
                <c:pt idx="71">
                  <c:v>137.77000000000001</c:v>
                </c:pt>
                <c:pt idx="72">
                  <c:v>137.07</c:v>
                </c:pt>
                <c:pt idx="73">
                  <c:v>137.06</c:v>
                </c:pt>
                <c:pt idx="74">
                  <c:v>136.33000000000001</c:v>
                </c:pt>
                <c:pt idx="75">
                  <c:v>136.28</c:v>
                </c:pt>
                <c:pt idx="76">
                  <c:v>136.24</c:v>
                </c:pt>
                <c:pt idx="77">
                  <c:v>136.28</c:v>
                </c:pt>
                <c:pt idx="78">
                  <c:v>136.25</c:v>
                </c:pt>
                <c:pt idx="79">
                  <c:v>136.22999999999999</c:v>
                </c:pt>
                <c:pt idx="80">
                  <c:v>136.22999999999999</c:v>
                </c:pt>
                <c:pt idx="81">
                  <c:v>137.18</c:v>
                </c:pt>
                <c:pt idx="82">
                  <c:v>136.99</c:v>
                </c:pt>
                <c:pt idx="83">
                  <c:v>136.59</c:v>
                </c:pt>
                <c:pt idx="84">
                  <c:v>137.08000000000001</c:v>
                </c:pt>
                <c:pt idx="85">
                  <c:v>136.76</c:v>
                </c:pt>
                <c:pt idx="86">
                  <c:v>136.66999999999999</c:v>
                </c:pt>
                <c:pt idx="87">
                  <c:v>136.9</c:v>
                </c:pt>
                <c:pt idx="88">
                  <c:v>136.30000000000001</c:v>
                </c:pt>
                <c:pt idx="89">
                  <c:v>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2A-493F-B489-DD2D2396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0111"/>
        <c:axId val="1359759199"/>
      </c:scatterChart>
      <c:valAx>
        <c:axId val="135963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759199"/>
        <c:crosses val="autoZero"/>
        <c:crossBetween val="midCat"/>
      </c:valAx>
      <c:valAx>
        <c:axId val="135975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63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Gradiente -</a:t>
            </a:r>
            <a:r>
              <a:rPr lang="en-US" b="1" baseline="0"/>
              <a:t> Sampués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'Gradientes x Pozo'!$A$2:$B$2</c:f>
              <c:strCache>
                <c:ptCount val="1"/>
                <c:pt idx="0">
                  <c:v>Sampues - # 52-II-C-PZ-01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'Gradientes x Pozo'!$A$11:$A$14</c:f>
              <c:strCache>
                <c:ptCount val="4"/>
                <c:pt idx="0">
                  <c:v>Gradientes</c:v>
                </c:pt>
                <c:pt idx="1">
                  <c:v>2010_2015</c:v>
                </c:pt>
                <c:pt idx="2">
                  <c:v>2015_2020</c:v>
                </c:pt>
                <c:pt idx="3">
                  <c:v>2020_2025</c:v>
                </c:pt>
              </c:strCache>
            </c:strRef>
          </c:xVal>
          <c:yVal>
            <c:numRef>
              <c:f>'Gradientes x Pozo'!$B$11:$B$14</c:f>
              <c:numCache>
                <c:formatCode>General</c:formatCode>
                <c:ptCount val="4"/>
                <c:pt idx="1">
                  <c:v>0.94399999999999973</c:v>
                </c:pt>
                <c:pt idx="2">
                  <c:v>0.82550468291872936</c:v>
                </c:pt>
                <c:pt idx="3">
                  <c:v>1.0011038799645491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1F-479C-89DE-11B08F6A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87392"/>
        <c:axId val="438487872"/>
      </c:scatterChart>
      <c:valAx>
        <c:axId val="438487392"/>
        <c:scaling>
          <c:orientation val="minMax"/>
          <c:max val="4.5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872"/>
        <c:crosses val="autoZero"/>
        <c:crossBetween val="midCat"/>
      </c:valAx>
      <c:valAx>
        <c:axId val="43848787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Gradiente - Montes María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'Gradientes x Pozo'!$D$2:$E$2</c:f>
              <c:strCache>
                <c:ptCount val="1"/>
                <c:pt idx="0">
                  <c:v>Finca el socorro (Ovejas) - # 44-II-D-PO-02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'Gradientes x Pozo'!$D$12:$D$14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Pozo'!$E$12:$E$14</c:f>
              <c:numCache>
                <c:formatCode>General</c:formatCode>
                <c:ptCount val="3"/>
                <c:pt idx="0">
                  <c:v>7.4794666666667092E-2</c:v>
                </c:pt>
                <c:pt idx="1">
                  <c:v>-0.15600000000000022</c:v>
                </c:pt>
                <c:pt idx="2">
                  <c:v>0.54600000000000004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CB-4B78-BD40-E7419FA3E541}"/>
            </c:ext>
          </c:extLst>
        </c:ser>
        <c:ser>
          <c:idx val="1"/>
          <c:order val="1"/>
          <c:tx>
            <c:strRef>
              <c:f>'Gradientes x Pozo'!$G$2:$H$2</c:f>
              <c:strCache>
                <c:ptCount val="1"/>
                <c:pt idx="0">
                  <c:v>Ovejas - # 44-II-D-PO-14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'Gradientes x Pozo'!$G$12:$G$14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Pozo'!$H$12:$H$14</c:f>
              <c:numCache>
                <c:formatCode>General</c:formatCode>
                <c:ptCount val="3"/>
                <c:pt idx="0">
                  <c:v>0.57600000000000018</c:v>
                </c:pt>
                <c:pt idx="1">
                  <c:v>-1.4734443592200011</c:v>
                </c:pt>
                <c:pt idx="2">
                  <c:v>0.37729128122000188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CB-4B78-BD40-E7419FA3E541}"/>
            </c:ext>
          </c:extLst>
        </c:ser>
        <c:ser>
          <c:idx val="2"/>
          <c:order val="2"/>
          <c:tx>
            <c:strRef>
              <c:f>'Gradientes x Pozo'!$J$2:$K$2</c:f>
              <c:strCache>
                <c:ptCount val="1"/>
                <c:pt idx="0">
                  <c:v>Los Palmitos - # 44-IV-B-PZ-01 Piñal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'Gradientes x Pozo'!$J$12:$J$14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Pozo'!$K$12:$K$14</c:f>
              <c:numCache>
                <c:formatCode>General</c:formatCode>
                <c:ptCount val="3"/>
                <c:pt idx="0">
                  <c:v>0.48199999999999932</c:v>
                </c:pt>
                <c:pt idx="1">
                  <c:v>1.6600000000000024</c:v>
                </c:pt>
                <c:pt idx="2">
                  <c:v>-1.8750124999999997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CB-4B78-BD40-E7419FA3E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87392"/>
        <c:axId val="438487872"/>
      </c:scatterChart>
      <c:valAx>
        <c:axId val="438487392"/>
        <c:scaling>
          <c:orientation val="minMax"/>
          <c:max val="4.5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872"/>
        <c:crosses val="autoZero"/>
        <c:crossBetween val="midCat"/>
      </c:valAx>
      <c:valAx>
        <c:axId val="438487872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Gradiente - Morroa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'Gradientes x Pozo'!$M$2:$N$2</c:f>
              <c:strCache>
                <c:ptCount val="1"/>
                <c:pt idx="0">
                  <c:v>Morroa (Bremen) - # 44-IV-C-PZ-01 A</c:v>
                </c:pt>
              </c:strCache>
            </c:strRef>
          </c:tx>
          <c:xVal>
            <c:strRef>
              <c:f>'Gradientes x Pozo'!$M$12:$M$14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Pozo'!$N$12:$N$14</c:f>
              <c:numCache>
                <c:formatCode>General</c:formatCode>
                <c:ptCount val="3"/>
                <c:pt idx="0">
                  <c:v>0.15400000000000008</c:v>
                </c:pt>
                <c:pt idx="1">
                  <c:v>-5.2000000000000136E-2</c:v>
                </c:pt>
                <c:pt idx="2">
                  <c:v>3.6000000000000122E-2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494-408F-A1E5-ADBC42AB0DB7}"/>
            </c:ext>
          </c:extLst>
        </c:ser>
        <c:ser>
          <c:idx val="5"/>
          <c:order val="1"/>
          <c:tx>
            <c:strRef>
              <c:f>'Gradientes x Pozo'!$P$2:$Q$2</c:f>
              <c:strCache>
                <c:ptCount val="1"/>
                <c:pt idx="0">
                  <c:v>Bremen - # 44-IV-C-PZ-01 B</c:v>
                </c:pt>
              </c:strCache>
            </c:strRef>
          </c:tx>
          <c:xVal>
            <c:strRef>
              <c:f>'Gradientes x Pozo'!$P$12:$P$14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Pozo'!$Q$12:$Q$14</c:f>
              <c:numCache>
                <c:formatCode>General</c:formatCode>
                <c:ptCount val="3"/>
                <c:pt idx="0">
                  <c:v>0.158</c:v>
                </c:pt>
                <c:pt idx="1">
                  <c:v>-0.20800000000000002</c:v>
                </c:pt>
                <c:pt idx="2">
                  <c:v>0.37999999999999989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494-408F-A1E5-ADBC42AB0DB7}"/>
            </c:ext>
          </c:extLst>
        </c:ser>
        <c:ser>
          <c:idx val="6"/>
          <c:order val="2"/>
          <c:tx>
            <c:strRef>
              <c:f>'Gradientes x Pozo'!$S$2:$T$2</c:f>
              <c:strCache>
                <c:ptCount val="1"/>
                <c:pt idx="0">
                  <c:v>Las Tinas (Morroa) - # 44-IV-C-PZ-02 A</c:v>
                </c:pt>
              </c:strCache>
            </c:strRef>
          </c:tx>
          <c:xVal>
            <c:strRef>
              <c:f>'Gradientes x Pozo'!$S$12:$S$14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Pozo'!$T$12:$T$14</c:f>
              <c:numCache>
                <c:formatCode>General</c:formatCode>
                <c:ptCount val="3"/>
                <c:pt idx="0">
                  <c:v>1.0429999999999993</c:v>
                </c:pt>
                <c:pt idx="1">
                  <c:v>0.66000000000000081</c:v>
                </c:pt>
                <c:pt idx="2">
                  <c:v>0.99000000000000055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494-408F-A1E5-ADBC42AB0DB7}"/>
            </c:ext>
          </c:extLst>
        </c:ser>
        <c:ser>
          <c:idx val="7"/>
          <c:order val="3"/>
          <c:tx>
            <c:strRef>
              <c:f>'Gradientes x Pozo'!$V$2:$W$2</c:f>
              <c:strCache>
                <c:ptCount val="1"/>
                <c:pt idx="0">
                  <c:v>Las Tinas (Morroa) - # 44-IV-C-PZ-02 B</c:v>
                </c:pt>
              </c:strCache>
            </c:strRef>
          </c:tx>
          <c:xVal>
            <c:strRef>
              <c:f>'Gradientes x Pozo'!$V$12:$V$14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Pozo'!$W$12:$W$14</c:f>
              <c:numCache>
                <c:formatCode>General</c:formatCode>
                <c:ptCount val="3"/>
                <c:pt idx="0">
                  <c:v>7.3999999999999927E-2</c:v>
                </c:pt>
                <c:pt idx="1">
                  <c:v>-2.7999999999999935E-2</c:v>
                </c:pt>
                <c:pt idx="2">
                  <c:v>0.24399999999999994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494-408F-A1E5-ADBC42AB0DB7}"/>
            </c:ext>
          </c:extLst>
        </c:ser>
        <c:ser>
          <c:idx val="0"/>
          <c:order val="4"/>
          <c:tx>
            <c:strRef>
              <c:f>'Gradientes x Pozo'!$M$2:$N$2</c:f>
              <c:strCache>
                <c:ptCount val="1"/>
                <c:pt idx="0">
                  <c:v>Morroa (Bremen) - # 44-IV-C-PZ-01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'Gradientes x Pozo'!$M$12:$M$14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Pozo'!$N$12:$N$14</c:f>
              <c:numCache>
                <c:formatCode>General</c:formatCode>
                <c:ptCount val="3"/>
                <c:pt idx="0">
                  <c:v>0.15400000000000008</c:v>
                </c:pt>
                <c:pt idx="1">
                  <c:v>-5.2000000000000136E-2</c:v>
                </c:pt>
                <c:pt idx="2">
                  <c:v>3.6000000000000122E-2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94-408F-A1E5-ADBC42AB0DB7}"/>
            </c:ext>
          </c:extLst>
        </c:ser>
        <c:ser>
          <c:idx val="1"/>
          <c:order val="5"/>
          <c:tx>
            <c:strRef>
              <c:f>'Gradientes x Pozo'!$P$2:$Q$2</c:f>
              <c:strCache>
                <c:ptCount val="1"/>
                <c:pt idx="0">
                  <c:v>Bremen - # 44-IV-C-PZ-01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'Gradientes x Pozo'!$P$12:$P$14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Pozo'!$Q$12:$Q$14</c:f>
              <c:numCache>
                <c:formatCode>General</c:formatCode>
                <c:ptCount val="3"/>
                <c:pt idx="0">
                  <c:v>0.158</c:v>
                </c:pt>
                <c:pt idx="1">
                  <c:v>-0.20800000000000002</c:v>
                </c:pt>
                <c:pt idx="2">
                  <c:v>0.37999999999999989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94-408F-A1E5-ADBC42AB0DB7}"/>
            </c:ext>
          </c:extLst>
        </c:ser>
        <c:ser>
          <c:idx val="2"/>
          <c:order val="6"/>
          <c:tx>
            <c:strRef>
              <c:f>'Gradientes x Pozo'!$S$2:$T$2</c:f>
              <c:strCache>
                <c:ptCount val="1"/>
                <c:pt idx="0">
                  <c:v>Las Tinas (Morroa) - # 44-IV-C-PZ-02 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'Gradientes x Pozo'!$S$12:$S$14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Pozo'!$T$12:$T$14</c:f>
              <c:numCache>
                <c:formatCode>General</c:formatCode>
                <c:ptCount val="3"/>
                <c:pt idx="0">
                  <c:v>1.0429999999999993</c:v>
                </c:pt>
                <c:pt idx="1">
                  <c:v>0.66000000000000081</c:v>
                </c:pt>
                <c:pt idx="2">
                  <c:v>0.99000000000000055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94-408F-A1E5-ADBC42AB0DB7}"/>
            </c:ext>
          </c:extLst>
        </c:ser>
        <c:ser>
          <c:idx val="3"/>
          <c:order val="7"/>
          <c:tx>
            <c:strRef>
              <c:f>'Gradientes x Pozo'!$V$2:$W$2</c:f>
              <c:strCache>
                <c:ptCount val="1"/>
                <c:pt idx="0">
                  <c:v>Las Tinas (Morroa) - # 44-IV-C-PZ-02 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'Gradientes x Pozo'!$V$12:$V$14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Pozo'!$W$12:$W$14</c:f>
              <c:numCache>
                <c:formatCode>General</c:formatCode>
                <c:ptCount val="3"/>
                <c:pt idx="0">
                  <c:v>7.3999999999999927E-2</c:v>
                </c:pt>
                <c:pt idx="1">
                  <c:v>-2.7999999999999935E-2</c:v>
                </c:pt>
                <c:pt idx="2">
                  <c:v>0.24399999999999994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494-408F-A1E5-ADBC42AB0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87392"/>
        <c:axId val="438487872"/>
      </c:scatterChart>
      <c:valAx>
        <c:axId val="438487392"/>
        <c:scaling>
          <c:orientation val="minMax"/>
          <c:max val="4.5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872"/>
        <c:crosses val="autoZero"/>
        <c:crossBetween val="midCat"/>
      </c:valAx>
      <c:valAx>
        <c:axId val="43848787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3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Gradiente - Corozal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'Gradientes x Pozo'!$Y$2:$Z$2</c:f>
              <c:strCache>
                <c:ptCount val="1"/>
                <c:pt idx="0">
                  <c:v>Arroyo salida a Betulia (Corozal) - # 44-IV-D-PZ-01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'Gradientes x Pozo'!$Y$12:$Y$14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Pozo'!$Z$12:$Z$14</c:f>
              <c:numCache>
                <c:formatCode>General</c:formatCode>
                <c:ptCount val="3"/>
                <c:pt idx="0">
                  <c:v>0.97399999999999953</c:v>
                </c:pt>
                <c:pt idx="1">
                  <c:v>0.82399999999999951</c:v>
                </c:pt>
                <c:pt idx="2">
                  <c:v>1.4200000000000004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38-46EB-837E-B1BE21A137F8}"/>
            </c:ext>
          </c:extLst>
        </c:ser>
        <c:ser>
          <c:idx val="1"/>
          <c:order val="1"/>
          <c:tx>
            <c:strRef>
              <c:f>'Gradientes x Pozo'!$AB$2:$AC$2</c:f>
              <c:strCache>
                <c:ptCount val="1"/>
                <c:pt idx="0">
                  <c:v>Arroyo salida a Betulia (Corozal) - # 44-IV-D-PZ-01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'Gradientes x Pozo'!$AB$12:$AB$14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Pozo'!$AC$12:$AC$14</c:f>
              <c:numCache>
                <c:formatCode>General</c:formatCode>
                <c:ptCount val="3"/>
                <c:pt idx="0">
                  <c:v>3.1999999999999848E-2</c:v>
                </c:pt>
                <c:pt idx="1">
                  <c:v>0.13599999999999995</c:v>
                </c:pt>
                <c:pt idx="2">
                  <c:v>0.45000000000000018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38-46EB-837E-B1BE21A137F8}"/>
            </c:ext>
          </c:extLst>
        </c:ser>
        <c:ser>
          <c:idx val="2"/>
          <c:order val="2"/>
          <c:tx>
            <c:strRef>
              <c:f>'Gradientes x Pozo'!$AE$2:$AF$2</c:f>
              <c:strCache>
                <c:ptCount val="1"/>
                <c:pt idx="0">
                  <c:v>Sabanas de cali (El Tesoro) - # 44-IV-D-PZ-02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'Gradientes x Pozo'!$AE$12:$AE$14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Pozo'!$AF$12:$AF$14</c:f>
              <c:numCache>
                <c:formatCode>General</c:formatCode>
                <c:ptCount val="3"/>
                <c:pt idx="0">
                  <c:v>1.4799999999999982</c:v>
                </c:pt>
                <c:pt idx="1">
                  <c:v>1.9419999999999988</c:v>
                </c:pt>
                <c:pt idx="2">
                  <c:v>1.6100000000000023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738-46EB-837E-B1BE21A137F8}"/>
            </c:ext>
          </c:extLst>
        </c:ser>
        <c:ser>
          <c:idx val="3"/>
          <c:order val="3"/>
          <c:tx>
            <c:strRef>
              <c:f>'Gradientes x Pozo'!$AH$2:$AI$2</c:f>
              <c:strCache>
                <c:ptCount val="1"/>
                <c:pt idx="0">
                  <c:v>Sabanas de cali (El Tesoro) - # 44-IV-D-PZ-04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'Gradientes x Pozo'!$AH$12:$AH$14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Pozo'!$AI$12:$AI$14</c:f>
              <c:numCache>
                <c:formatCode>General</c:formatCode>
                <c:ptCount val="3"/>
                <c:pt idx="0">
                  <c:v>0.11400000000000006</c:v>
                </c:pt>
                <c:pt idx="1">
                  <c:v>0.8640000000000001</c:v>
                </c:pt>
                <c:pt idx="2">
                  <c:v>1.0700000000000016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738-46EB-837E-B1BE21A137F8}"/>
            </c:ext>
          </c:extLst>
        </c:ser>
        <c:ser>
          <c:idx val="4"/>
          <c:order val="4"/>
          <c:tx>
            <c:strRef>
              <c:f>'Gradientes x Pozo'!$AK$2:$AL$2</c:f>
              <c:strCache>
                <c:ptCount val="1"/>
                <c:pt idx="0">
                  <c:v>Basurero Viejo, Pileta (Corozal) - # 52-II-B-PZ-01 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'Gradientes x Pozo'!$AK$12:$AK$14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Pozo'!$AL$12:$AL$14</c:f>
              <c:numCache>
                <c:formatCode>General</c:formatCode>
                <c:ptCount val="3"/>
                <c:pt idx="0">
                  <c:v>0.48799999999999955</c:v>
                </c:pt>
                <c:pt idx="1">
                  <c:v>0.53199999999999936</c:v>
                </c:pt>
                <c:pt idx="2">
                  <c:v>0.37000000000000027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738-46EB-837E-B1BE21A137F8}"/>
            </c:ext>
          </c:extLst>
        </c:ser>
        <c:ser>
          <c:idx val="5"/>
          <c:order val="5"/>
          <c:tx>
            <c:strRef>
              <c:f>'Gradientes x Pozo'!$AN$2:$AO$2</c:f>
              <c:strCache>
                <c:ptCount val="1"/>
                <c:pt idx="0">
                  <c:v>Corozal - # 44-IV-D-PO-14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'Gradientes x Pozo'!$AN$12:$AN$14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Pozo'!$AO$12:$AO$14</c:f>
              <c:numCache>
                <c:formatCode>General</c:formatCode>
                <c:ptCount val="3"/>
                <c:pt idx="0">
                  <c:v>1.5900000000000021</c:v>
                </c:pt>
                <c:pt idx="1">
                  <c:v>1.6620000000000004</c:v>
                </c:pt>
                <c:pt idx="2">
                  <c:v>1.3859999999999986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738-46EB-837E-B1BE21A137F8}"/>
            </c:ext>
          </c:extLst>
        </c:ser>
        <c:ser>
          <c:idx val="6"/>
          <c:order val="6"/>
          <c:tx>
            <c:strRef>
              <c:f>'Gradientes x Pozo'!$AQ$2:$AR$2</c:f>
              <c:strCache>
                <c:ptCount val="1"/>
                <c:pt idx="0">
                  <c:v>Corozal - # 44-IV-D-PZ-20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'Gradientes x Pozo'!$AQ$12:$AQ$14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Pozo'!$AR$12:$AR$14</c:f>
              <c:numCache>
                <c:formatCode>General</c:formatCode>
                <c:ptCount val="3"/>
                <c:pt idx="0">
                  <c:v>0.26400000000000007</c:v>
                </c:pt>
                <c:pt idx="1">
                  <c:v>0.31400000000000006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738-46EB-837E-B1BE21A137F8}"/>
            </c:ext>
          </c:extLst>
        </c:ser>
        <c:ser>
          <c:idx val="7"/>
          <c:order val="7"/>
          <c:tx>
            <c:strRef>
              <c:f>'Gradientes x Pozo'!$AT$2:$AU$2</c:f>
              <c:strCache>
                <c:ptCount val="1"/>
                <c:pt idx="0">
                  <c:v>Corozal - # 44-IV-D-PZ-22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'Gradientes x Pozo'!$AT$12:$AT$14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Pozo'!$AU$12:$AU$14</c:f>
              <c:numCache>
                <c:formatCode>General</c:formatCode>
                <c:ptCount val="3"/>
                <c:pt idx="0">
                  <c:v>1.6320000000000021</c:v>
                </c:pt>
                <c:pt idx="1">
                  <c:v>1.1280000000000001</c:v>
                </c:pt>
                <c:pt idx="2">
                  <c:v>1.6400000000000006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738-46EB-837E-B1BE21A137F8}"/>
            </c:ext>
          </c:extLst>
        </c:ser>
        <c:ser>
          <c:idx val="8"/>
          <c:order val="8"/>
          <c:tx>
            <c:strRef>
              <c:f>'Gradientes x Pozo'!$AW$2:$AX$2</c:f>
              <c:strCache>
                <c:ptCount val="1"/>
                <c:pt idx="0">
                  <c:v>Cantagallo - # 52-II-A-PZ-01 Corozal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'Gradientes x Pozo'!$AW$12:$AW$14</c:f>
              <c:strCache>
                <c:ptCount val="3"/>
                <c:pt idx="0">
                  <c:v>2010_2015</c:v>
                </c:pt>
                <c:pt idx="1">
                  <c:v>2015_2020</c:v>
                </c:pt>
                <c:pt idx="2">
                  <c:v>2020_2025</c:v>
                </c:pt>
              </c:strCache>
            </c:strRef>
          </c:xVal>
          <c:yVal>
            <c:numRef>
              <c:f>'Gradientes x Pozo'!$AX$12:$AX$14</c:f>
              <c:numCache>
                <c:formatCode>General</c:formatCode>
                <c:ptCount val="3"/>
                <c:pt idx="0">
                  <c:v>0.70799999999999985</c:v>
                </c:pt>
                <c:pt idx="1">
                  <c:v>0.99600000000000077</c:v>
                </c:pt>
                <c:pt idx="2">
                  <c:v>0.54599999999999937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738-46EB-837E-B1BE21A13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87392"/>
        <c:axId val="438487872"/>
      </c:scatterChart>
      <c:valAx>
        <c:axId val="438487392"/>
        <c:scaling>
          <c:orientation val="minMax"/>
          <c:max val="4.5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872"/>
        <c:crosses val="autoZero"/>
        <c:crossBetween val="midCat"/>
      </c:valAx>
      <c:valAx>
        <c:axId val="438487872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848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'Sampues - # 52-II-C-PZ-01'!$F$2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'Sampues - # 52-II-C-PZ-01'!$E$3:$E$33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'Sampues - # 52-II-C-PZ-01'!$F$3:$F$33</c:f>
              <c:numCache>
                <c:formatCode>General</c:formatCode>
                <c:ptCount val="31"/>
                <c:pt idx="0">
                  <c:v>34.07</c:v>
                </c:pt>
                <c:pt idx="1">
                  <c:v>34.549999999999997</c:v>
                </c:pt>
                <c:pt idx="2">
                  <c:v>34.54</c:v>
                </c:pt>
                <c:pt idx="3">
                  <c:v>34.049999999999997</c:v>
                </c:pt>
                <c:pt idx="4">
                  <c:v>34.799999999999997</c:v>
                </c:pt>
                <c:pt idx="5">
                  <c:v>34.72</c:v>
                </c:pt>
                <c:pt idx="6">
                  <c:v>35.5</c:v>
                </c:pt>
                <c:pt idx="7">
                  <c:v>35.85</c:v>
                </c:pt>
                <c:pt idx="8">
                  <c:v>36.979999999999997</c:v>
                </c:pt>
                <c:pt idx="9">
                  <c:v>36.979999999999997</c:v>
                </c:pt>
                <c:pt idx="10">
                  <c:v>38.76</c:v>
                </c:pt>
                <c:pt idx="11">
                  <c:v>39.69</c:v>
                </c:pt>
                <c:pt idx="12">
                  <c:v>40.65</c:v>
                </c:pt>
                <c:pt idx="13">
                  <c:v>41.1</c:v>
                </c:pt>
                <c:pt idx="14">
                  <c:v>41.93</c:v>
                </c:pt>
                <c:pt idx="15">
                  <c:v>41.99</c:v>
                </c:pt>
                <c:pt idx="16">
                  <c:v>43.05</c:v>
                </c:pt>
                <c:pt idx="17">
                  <c:v>43.6</c:v>
                </c:pt>
                <c:pt idx="18">
                  <c:v>44.7</c:v>
                </c:pt>
                <c:pt idx="19">
                  <c:v>45.25</c:v>
                </c:pt>
                <c:pt idx="20">
                  <c:v>46.35</c:v>
                </c:pt>
                <c:pt idx="21">
                  <c:v>46.9</c:v>
                </c:pt>
                <c:pt idx="22">
                  <c:v>47</c:v>
                </c:pt>
                <c:pt idx="23">
                  <c:v>47.1</c:v>
                </c:pt>
                <c:pt idx="24">
                  <c:v>47.17</c:v>
                </c:pt>
                <c:pt idx="25">
                  <c:v>47.7</c:v>
                </c:pt>
                <c:pt idx="26">
                  <c:v>47.988999999999997</c:v>
                </c:pt>
                <c:pt idx="27">
                  <c:v>48.27</c:v>
                </c:pt>
                <c:pt idx="28">
                  <c:v>48.558</c:v>
                </c:pt>
                <c:pt idx="29">
                  <c:v>48.844000000000001</c:v>
                </c:pt>
                <c:pt idx="30">
                  <c:v>49.13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9-4B5F-B042-88420B1C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2144"/>
        <c:axId val="96084944"/>
      </c:scatterChart>
      <c:valAx>
        <c:axId val="9609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84944"/>
        <c:crosses val="autoZero"/>
        <c:crossBetween val="midCat"/>
      </c:valAx>
      <c:valAx>
        <c:axId val="9608494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9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'Finca el socorro (Ovejas) - # 4'!$F$2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'Finca el socorro (Ovejas) - # 4'!$E$3:$E$33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'Finca el socorro (Ovejas) - # 4'!$F$3:$F$33</c:f>
              <c:numCache>
                <c:formatCode>General</c:formatCode>
                <c:ptCount val="31"/>
                <c:pt idx="0">
                  <c:v>10.55</c:v>
                </c:pt>
                <c:pt idx="1">
                  <c:v>10.52</c:v>
                </c:pt>
                <c:pt idx="2">
                  <c:v>10.43</c:v>
                </c:pt>
                <c:pt idx="3">
                  <c:v>10.39</c:v>
                </c:pt>
                <c:pt idx="4">
                  <c:v>10.42</c:v>
                </c:pt>
                <c:pt idx="5">
                  <c:v>10.34</c:v>
                </c:pt>
                <c:pt idx="6">
                  <c:v>10.16</c:v>
                </c:pt>
                <c:pt idx="7">
                  <c:v>9.4600000000000009</c:v>
                </c:pt>
                <c:pt idx="8">
                  <c:v>9.4499999999999993</c:v>
                </c:pt>
                <c:pt idx="9">
                  <c:v>9.7100000000000009</c:v>
                </c:pt>
                <c:pt idx="10">
                  <c:v>10.55</c:v>
                </c:pt>
                <c:pt idx="11">
                  <c:v>11.026</c:v>
                </c:pt>
                <c:pt idx="12">
                  <c:v>9.76</c:v>
                </c:pt>
                <c:pt idx="13">
                  <c:v>9.7349999999999994</c:v>
                </c:pt>
                <c:pt idx="14">
                  <c:v>9.7230000000000008</c:v>
                </c:pt>
                <c:pt idx="15">
                  <c:v>9.73</c:v>
                </c:pt>
                <c:pt idx="16">
                  <c:v>9.7370000000000001</c:v>
                </c:pt>
                <c:pt idx="17">
                  <c:v>9.74</c:v>
                </c:pt>
                <c:pt idx="18">
                  <c:v>9.75</c:v>
                </c:pt>
                <c:pt idx="19">
                  <c:v>9.7579999999999991</c:v>
                </c:pt>
                <c:pt idx="20">
                  <c:v>9.5350000000000001</c:v>
                </c:pt>
                <c:pt idx="21">
                  <c:v>9.4860000000000007</c:v>
                </c:pt>
                <c:pt idx="22">
                  <c:v>9.4359999999999999</c:v>
                </c:pt>
                <c:pt idx="23">
                  <c:v>9.3870000000000005</c:v>
                </c:pt>
                <c:pt idx="24">
                  <c:v>9.33</c:v>
                </c:pt>
                <c:pt idx="25">
                  <c:v>9.2880000000000003</c:v>
                </c:pt>
                <c:pt idx="26">
                  <c:v>9.2390000000000008</c:v>
                </c:pt>
                <c:pt idx="27">
                  <c:v>9.18</c:v>
                </c:pt>
                <c:pt idx="28">
                  <c:v>9.1300000000000008</c:v>
                </c:pt>
                <c:pt idx="29">
                  <c:v>9.09</c:v>
                </c:pt>
                <c:pt idx="30">
                  <c:v>9.1199999999999992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F-4D4A-A6C6-2FD7C4202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4544"/>
        <c:axId val="96095024"/>
      </c:scatterChart>
      <c:valAx>
        <c:axId val="960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95024"/>
        <c:crosses val="autoZero"/>
        <c:crossBetween val="midCat"/>
      </c:valAx>
      <c:valAx>
        <c:axId val="96095024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9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'Ovejas - # 44-II-D-PO-14'!$F$2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'Ovejas - # 44-II-D-PO-14'!$E$3:$E$33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'Ovejas - # 44-II-D-PO-14'!$F$3:$F$33</c:f>
              <c:numCache>
                <c:formatCode>General</c:formatCode>
                <c:ptCount val="31"/>
                <c:pt idx="0">
                  <c:v>3.04</c:v>
                </c:pt>
                <c:pt idx="1">
                  <c:v>4.45</c:v>
                </c:pt>
                <c:pt idx="2">
                  <c:v>5.86</c:v>
                </c:pt>
                <c:pt idx="3">
                  <c:v>7.26</c:v>
                </c:pt>
                <c:pt idx="4">
                  <c:v>8.66</c:v>
                </c:pt>
                <c:pt idx="5" formatCode="0.00">
                  <c:v>10.07</c:v>
                </c:pt>
                <c:pt idx="6">
                  <c:v>11.48</c:v>
                </c:pt>
                <c:pt idx="7">
                  <c:v>10.130000000000001</c:v>
                </c:pt>
                <c:pt idx="8">
                  <c:v>9.57</c:v>
                </c:pt>
                <c:pt idx="9">
                  <c:v>9.8699999999999992</c:v>
                </c:pt>
                <c:pt idx="10">
                  <c:v>12.9</c:v>
                </c:pt>
                <c:pt idx="11">
                  <c:v>12.32</c:v>
                </c:pt>
                <c:pt idx="12">
                  <c:v>11.27</c:v>
                </c:pt>
                <c:pt idx="13">
                  <c:v>9.4600000000000009</c:v>
                </c:pt>
                <c:pt idx="14">
                  <c:v>8.8699999999999992</c:v>
                </c:pt>
                <c:pt idx="15">
                  <c:v>7.11</c:v>
                </c:pt>
                <c:pt idx="16">
                  <c:v>6.49</c:v>
                </c:pt>
                <c:pt idx="17">
                  <c:v>5.46</c:v>
                </c:pt>
                <c:pt idx="18">
                  <c:v>5.63</c:v>
                </c:pt>
                <c:pt idx="19">
                  <c:v>5.8</c:v>
                </c:pt>
                <c:pt idx="20">
                  <c:v>5.97</c:v>
                </c:pt>
                <c:pt idx="21">
                  <c:v>6.14</c:v>
                </c:pt>
                <c:pt idx="22">
                  <c:v>6.31</c:v>
                </c:pt>
                <c:pt idx="23">
                  <c:v>6.48</c:v>
                </c:pt>
                <c:pt idx="24">
                  <c:v>6.65</c:v>
                </c:pt>
                <c:pt idx="25">
                  <c:v>6.82</c:v>
                </c:pt>
                <c:pt idx="26">
                  <c:v>7.02</c:v>
                </c:pt>
                <c:pt idx="27">
                  <c:v>7.12</c:v>
                </c:pt>
                <c:pt idx="28">
                  <c:v>7.33</c:v>
                </c:pt>
                <c:pt idx="29">
                  <c:v>7.57</c:v>
                </c:pt>
                <c:pt idx="30">
                  <c:v>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6-4638-858A-51AACCF18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77584"/>
        <c:axId val="94071344"/>
      </c:scatterChart>
      <c:valAx>
        <c:axId val="9407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071344"/>
        <c:crosses val="autoZero"/>
        <c:crossBetween val="midCat"/>
      </c:valAx>
      <c:valAx>
        <c:axId val="940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07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'Los Palmitos - # 44-IV-B-PZ-01 '!$F$2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'Los Palmitos - # 44-IV-B-PZ-01 '!$E$3:$E$33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'Los Palmitos - # 44-IV-B-PZ-01 '!$F$3:$F$33</c:f>
              <c:numCache>
                <c:formatCode>General</c:formatCode>
                <c:ptCount val="31"/>
                <c:pt idx="0">
                  <c:v>71.78</c:v>
                </c:pt>
                <c:pt idx="1">
                  <c:v>71.900000000000006</c:v>
                </c:pt>
                <c:pt idx="2">
                  <c:v>71.59</c:v>
                </c:pt>
                <c:pt idx="3">
                  <c:v>71.7</c:v>
                </c:pt>
                <c:pt idx="4">
                  <c:v>71.650000000000006</c:v>
                </c:pt>
                <c:pt idx="5">
                  <c:v>71.599999999999994</c:v>
                </c:pt>
                <c:pt idx="6">
                  <c:v>71.75</c:v>
                </c:pt>
                <c:pt idx="7">
                  <c:v>72.14</c:v>
                </c:pt>
                <c:pt idx="8">
                  <c:v>72.599999999999994</c:v>
                </c:pt>
                <c:pt idx="9">
                  <c:v>73.349999999999994</c:v>
                </c:pt>
                <c:pt idx="10">
                  <c:v>73.790000000000006</c:v>
                </c:pt>
                <c:pt idx="11">
                  <c:v>74.489999999999995</c:v>
                </c:pt>
                <c:pt idx="12">
                  <c:v>75.56</c:v>
                </c:pt>
                <c:pt idx="13">
                  <c:v>75.760000000000005</c:v>
                </c:pt>
                <c:pt idx="14">
                  <c:v>76.47</c:v>
                </c:pt>
                <c:pt idx="15">
                  <c:v>77.11</c:v>
                </c:pt>
                <c:pt idx="16">
                  <c:v>78.06</c:v>
                </c:pt>
                <c:pt idx="17">
                  <c:v>79.03</c:v>
                </c:pt>
                <c:pt idx="18">
                  <c:v>79.98</c:v>
                </c:pt>
                <c:pt idx="19">
                  <c:v>81.53</c:v>
                </c:pt>
                <c:pt idx="20">
                  <c:v>81.99</c:v>
                </c:pt>
                <c:pt idx="21">
                  <c:v>82.45</c:v>
                </c:pt>
                <c:pt idx="22">
                  <c:v>82.9</c:v>
                </c:pt>
                <c:pt idx="23">
                  <c:v>83.37</c:v>
                </c:pt>
                <c:pt idx="24">
                  <c:v>83.83</c:v>
                </c:pt>
                <c:pt idx="25">
                  <c:v>84.6</c:v>
                </c:pt>
                <c:pt idx="26">
                  <c:v>85.17</c:v>
                </c:pt>
                <c:pt idx="27">
                  <c:v>85.75</c:v>
                </c:pt>
                <c:pt idx="28">
                  <c:v>86.33</c:v>
                </c:pt>
                <c:pt idx="29">
                  <c:v>86.91</c:v>
                </c:pt>
                <c:pt idx="30">
                  <c:v>88.06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B1-44A9-9943-C9D016381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65584"/>
        <c:axId val="94079024"/>
      </c:scatterChart>
      <c:valAx>
        <c:axId val="9406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079024"/>
        <c:crosses val="autoZero"/>
        <c:crossBetween val="midCat"/>
      </c:valAx>
      <c:valAx>
        <c:axId val="9407902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06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'Morroa (Bremen) - # 44-IV-C-PZ-'!$F$2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'Morroa (Bremen) - # 44-IV-C-PZ-'!$E$3:$E$33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'Morroa (Bremen) - # 44-IV-C-PZ-'!$F$3:$F$33</c:f>
              <c:numCache>
                <c:formatCode>General</c:formatCode>
                <c:ptCount val="31"/>
                <c:pt idx="0">
                  <c:v>5.71</c:v>
                </c:pt>
                <c:pt idx="1">
                  <c:v>5.18</c:v>
                </c:pt>
                <c:pt idx="2">
                  <c:v>4.7699999999999996</c:v>
                </c:pt>
                <c:pt idx="3">
                  <c:v>4.5999999999999996</c:v>
                </c:pt>
                <c:pt idx="4">
                  <c:v>4.6500000000000004</c:v>
                </c:pt>
                <c:pt idx="5">
                  <c:v>4.3499999999999996</c:v>
                </c:pt>
                <c:pt idx="6">
                  <c:v>4.8499999999999996</c:v>
                </c:pt>
                <c:pt idx="7">
                  <c:v>4.91</c:v>
                </c:pt>
                <c:pt idx="8">
                  <c:v>5.05</c:v>
                </c:pt>
                <c:pt idx="9">
                  <c:v>5.47</c:v>
                </c:pt>
                <c:pt idx="10">
                  <c:v>5.89</c:v>
                </c:pt>
                <c:pt idx="11">
                  <c:v>5.36</c:v>
                </c:pt>
                <c:pt idx="12">
                  <c:v>5.63</c:v>
                </c:pt>
                <c:pt idx="13">
                  <c:v>5.86</c:v>
                </c:pt>
                <c:pt idx="14">
                  <c:v>5.92</c:v>
                </c:pt>
                <c:pt idx="15">
                  <c:v>5.4</c:v>
                </c:pt>
                <c:pt idx="16">
                  <c:v>5.46</c:v>
                </c:pt>
                <c:pt idx="17">
                  <c:v>5.52</c:v>
                </c:pt>
                <c:pt idx="18">
                  <c:v>5.58</c:v>
                </c:pt>
                <c:pt idx="19">
                  <c:v>6.18</c:v>
                </c:pt>
                <c:pt idx="20">
                  <c:v>5.52</c:v>
                </c:pt>
                <c:pt idx="21">
                  <c:v>5.66</c:v>
                </c:pt>
                <c:pt idx="22">
                  <c:v>5.81</c:v>
                </c:pt>
                <c:pt idx="23">
                  <c:v>5.95</c:v>
                </c:pt>
                <c:pt idx="24">
                  <c:v>5.81</c:v>
                </c:pt>
                <c:pt idx="25">
                  <c:v>5.67</c:v>
                </c:pt>
                <c:pt idx="26">
                  <c:v>5.52</c:v>
                </c:pt>
                <c:pt idx="27">
                  <c:v>5.38</c:v>
                </c:pt>
                <c:pt idx="28">
                  <c:v>5.24</c:v>
                </c:pt>
                <c:pt idx="29">
                  <c:v>5.0999999999999996</c:v>
                </c:pt>
                <c:pt idx="30">
                  <c:v>4.8099999999999996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10-491F-9F37-31FD0C999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346223"/>
        <c:axId val="1168359183"/>
      </c:scatterChart>
      <c:valAx>
        <c:axId val="11683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359183"/>
        <c:crosses val="autoZero"/>
        <c:crossBetween val="midCat"/>
      </c:valAx>
      <c:valAx>
        <c:axId val="11683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34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'Bremen - # 44-IV-C-PZ-01 B'!$G$2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'Bremen - # 44-IV-C-PZ-01 B'!$F$3:$F$33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'Bremen - # 44-IV-C-PZ-01 B'!$G$3:$G$33</c:f>
              <c:numCache>
                <c:formatCode>General</c:formatCode>
                <c:ptCount val="31"/>
                <c:pt idx="0">
                  <c:v>5.61</c:v>
                </c:pt>
                <c:pt idx="1">
                  <c:v>4.66</c:v>
                </c:pt>
                <c:pt idx="2">
                  <c:v>4.8499999999999996</c:v>
                </c:pt>
                <c:pt idx="3">
                  <c:v>4.76</c:v>
                </c:pt>
                <c:pt idx="4">
                  <c:v>4.7</c:v>
                </c:pt>
                <c:pt idx="5">
                  <c:v>4.9400000000000004</c:v>
                </c:pt>
                <c:pt idx="6">
                  <c:v>5.36</c:v>
                </c:pt>
                <c:pt idx="7">
                  <c:v>4.7300000000000004</c:v>
                </c:pt>
                <c:pt idx="8">
                  <c:v>5.48</c:v>
                </c:pt>
                <c:pt idx="9">
                  <c:v>5.61</c:v>
                </c:pt>
                <c:pt idx="10">
                  <c:v>5.73</c:v>
                </c:pt>
                <c:pt idx="11">
                  <c:v>5.61</c:v>
                </c:pt>
                <c:pt idx="12">
                  <c:v>6.68</c:v>
                </c:pt>
                <c:pt idx="13">
                  <c:v>6.96</c:v>
                </c:pt>
                <c:pt idx="14">
                  <c:v>5.33</c:v>
                </c:pt>
                <c:pt idx="15">
                  <c:v>4.71</c:v>
                </c:pt>
                <c:pt idx="16">
                  <c:v>5.74</c:v>
                </c:pt>
                <c:pt idx="17">
                  <c:v>5.67</c:v>
                </c:pt>
                <c:pt idx="18">
                  <c:v>5.85</c:v>
                </c:pt>
                <c:pt idx="19">
                  <c:v>6.4</c:v>
                </c:pt>
                <c:pt idx="20">
                  <c:v>4.57</c:v>
                </c:pt>
                <c:pt idx="21">
                  <c:v>5.73</c:v>
                </c:pt>
                <c:pt idx="22">
                  <c:v>5.84</c:v>
                </c:pt>
                <c:pt idx="23">
                  <c:v>5.77</c:v>
                </c:pt>
                <c:pt idx="24">
                  <c:v>5.87</c:v>
                </c:pt>
                <c:pt idx="25">
                  <c:v>5.8</c:v>
                </c:pt>
                <c:pt idx="26">
                  <c:v>5.91</c:v>
                </c:pt>
                <c:pt idx="27">
                  <c:v>5.84</c:v>
                </c:pt>
                <c:pt idx="28">
                  <c:v>5.95</c:v>
                </c:pt>
                <c:pt idx="29">
                  <c:v>5.94</c:v>
                </c:pt>
                <c:pt idx="30">
                  <c:v>5.89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59-474C-84F6-E7AE26BA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93424"/>
        <c:axId val="94093904"/>
      </c:scatterChart>
      <c:valAx>
        <c:axId val="9409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093904"/>
        <c:crosses val="autoZero"/>
        <c:crossBetween val="midCat"/>
      </c:valAx>
      <c:valAx>
        <c:axId val="9409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0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'Las Tinas (Morroa)A'!$G$2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'Las Tinas (Morroa)A'!$F$3:$F$33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'Las Tinas (Morroa)A'!$G$3:$G$33</c:f>
              <c:numCache>
                <c:formatCode>General</c:formatCode>
                <c:ptCount val="31"/>
                <c:pt idx="0">
                  <c:v>37.630000000000003</c:v>
                </c:pt>
                <c:pt idx="1">
                  <c:v>38.130000000000003</c:v>
                </c:pt>
                <c:pt idx="2">
                  <c:v>38.521000000000001</c:v>
                </c:pt>
                <c:pt idx="3">
                  <c:v>39.520000000000003</c:v>
                </c:pt>
                <c:pt idx="4">
                  <c:v>39.04</c:v>
                </c:pt>
                <c:pt idx="5">
                  <c:v>40.44</c:v>
                </c:pt>
                <c:pt idx="6">
                  <c:v>40.78</c:v>
                </c:pt>
                <c:pt idx="7">
                  <c:v>41.04</c:v>
                </c:pt>
                <c:pt idx="8">
                  <c:v>41.56</c:v>
                </c:pt>
                <c:pt idx="9">
                  <c:v>42.1</c:v>
                </c:pt>
                <c:pt idx="10">
                  <c:v>42.51</c:v>
                </c:pt>
                <c:pt idx="11">
                  <c:v>42.9</c:v>
                </c:pt>
                <c:pt idx="12">
                  <c:v>43.65</c:v>
                </c:pt>
                <c:pt idx="13">
                  <c:v>43.64</c:v>
                </c:pt>
                <c:pt idx="14">
                  <c:v>43.45</c:v>
                </c:pt>
                <c:pt idx="15">
                  <c:v>43.973999999999997</c:v>
                </c:pt>
                <c:pt idx="16">
                  <c:v>44.05</c:v>
                </c:pt>
                <c:pt idx="17">
                  <c:v>44.32</c:v>
                </c:pt>
                <c:pt idx="18">
                  <c:v>44.39</c:v>
                </c:pt>
                <c:pt idx="19">
                  <c:v>44.47</c:v>
                </c:pt>
                <c:pt idx="20">
                  <c:v>53.37</c:v>
                </c:pt>
                <c:pt idx="21">
                  <c:v>45.17</c:v>
                </c:pt>
                <c:pt idx="22">
                  <c:v>45.2</c:v>
                </c:pt>
                <c:pt idx="23">
                  <c:v>45.42</c:v>
                </c:pt>
                <c:pt idx="24">
                  <c:v>45.62</c:v>
                </c:pt>
                <c:pt idx="25">
                  <c:v>45.82</c:v>
                </c:pt>
                <c:pt idx="26">
                  <c:v>46.03</c:v>
                </c:pt>
                <c:pt idx="27">
                  <c:v>46.21</c:v>
                </c:pt>
                <c:pt idx="28">
                  <c:v>46.43</c:v>
                </c:pt>
                <c:pt idx="29">
                  <c:v>46.7</c:v>
                </c:pt>
                <c:pt idx="30">
                  <c:v>47.04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7E-49F7-84DC-E1D6B6DB8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05424"/>
        <c:axId val="94108784"/>
      </c:scatterChart>
      <c:valAx>
        <c:axId val="9410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108784"/>
        <c:crosses val="autoZero"/>
        <c:crossBetween val="midCat"/>
      </c:valAx>
      <c:valAx>
        <c:axId val="941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10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'Las Tinas (Morroa)B'!$G$2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'Las Tinas (Morroa)B'!$F$3:$F$33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'Las Tinas (Morroa)B'!$G$3:$G$33</c:f>
              <c:numCache>
                <c:formatCode>General</c:formatCode>
                <c:ptCount val="31"/>
                <c:pt idx="0">
                  <c:v>2.7</c:v>
                </c:pt>
                <c:pt idx="1">
                  <c:v>2.72</c:v>
                </c:pt>
                <c:pt idx="2">
                  <c:v>2.75</c:v>
                </c:pt>
                <c:pt idx="3">
                  <c:v>2.7749999999999999</c:v>
                </c:pt>
                <c:pt idx="4">
                  <c:v>2.8</c:v>
                </c:pt>
                <c:pt idx="5">
                  <c:v>3.16</c:v>
                </c:pt>
                <c:pt idx="6">
                  <c:v>3</c:v>
                </c:pt>
                <c:pt idx="7">
                  <c:v>2.62</c:v>
                </c:pt>
                <c:pt idx="8">
                  <c:v>2.94</c:v>
                </c:pt>
                <c:pt idx="9">
                  <c:v>3</c:v>
                </c:pt>
                <c:pt idx="10">
                  <c:v>3.3</c:v>
                </c:pt>
                <c:pt idx="11">
                  <c:v>3.26</c:v>
                </c:pt>
                <c:pt idx="12">
                  <c:v>3.04</c:v>
                </c:pt>
                <c:pt idx="13">
                  <c:v>3.33</c:v>
                </c:pt>
                <c:pt idx="14">
                  <c:v>3.06</c:v>
                </c:pt>
                <c:pt idx="15">
                  <c:v>3.17</c:v>
                </c:pt>
                <c:pt idx="16">
                  <c:v>3.1040000000000001</c:v>
                </c:pt>
                <c:pt idx="17">
                  <c:v>3.17</c:v>
                </c:pt>
                <c:pt idx="18">
                  <c:v>3.23</c:v>
                </c:pt>
                <c:pt idx="19">
                  <c:v>3.22</c:v>
                </c:pt>
                <c:pt idx="20">
                  <c:v>3.1</c:v>
                </c:pt>
                <c:pt idx="21">
                  <c:v>3.19</c:v>
                </c:pt>
                <c:pt idx="22">
                  <c:v>3.13</c:v>
                </c:pt>
                <c:pt idx="23">
                  <c:v>3.19</c:v>
                </c:pt>
                <c:pt idx="24">
                  <c:v>3.1360000000000001</c:v>
                </c:pt>
                <c:pt idx="25">
                  <c:v>3.1890000000000001</c:v>
                </c:pt>
                <c:pt idx="26">
                  <c:v>3.18</c:v>
                </c:pt>
                <c:pt idx="27">
                  <c:v>3.13</c:v>
                </c:pt>
                <c:pt idx="28">
                  <c:v>3.16</c:v>
                </c:pt>
                <c:pt idx="29">
                  <c:v>3.1829999999999998</c:v>
                </c:pt>
                <c:pt idx="30">
                  <c:v>3.198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75-4D90-A3F2-8F55536F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137023"/>
        <c:axId val="1294137503"/>
      </c:scatterChart>
      <c:valAx>
        <c:axId val="129413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4137503"/>
        <c:crosses val="autoZero"/>
        <c:crossBetween val="midCat"/>
      </c:valAx>
      <c:valAx>
        <c:axId val="129413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413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'Arroyo salida a Betulia (Coroza'!$G$2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'Arroyo salida a Betulia (Coroza'!$F$3:$F$33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'Arroyo salida a Betulia (Coroza'!$G$3:$G$33</c:f>
              <c:numCache>
                <c:formatCode>General</c:formatCode>
                <c:ptCount val="31"/>
                <c:pt idx="0">
                  <c:v>43.63</c:v>
                </c:pt>
                <c:pt idx="1">
                  <c:v>44.21</c:v>
                </c:pt>
                <c:pt idx="2">
                  <c:v>44.49</c:v>
                </c:pt>
                <c:pt idx="3">
                  <c:v>43.95</c:v>
                </c:pt>
                <c:pt idx="4">
                  <c:v>43.95</c:v>
                </c:pt>
                <c:pt idx="5">
                  <c:v>45.76</c:v>
                </c:pt>
                <c:pt idx="6">
                  <c:v>46.37</c:v>
                </c:pt>
                <c:pt idx="7">
                  <c:v>46.98</c:v>
                </c:pt>
                <c:pt idx="8">
                  <c:v>47.32</c:v>
                </c:pt>
                <c:pt idx="9">
                  <c:v>47.66</c:v>
                </c:pt>
                <c:pt idx="10">
                  <c:v>47.86</c:v>
                </c:pt>
                <c:pt idx="11">
                  <c:v>48.63</c:v>
                </c:pt>
                <c:pt idx="12">
                  <c:v>49.31</c:v>
                </c:pt>
                <c:pt idx="13">
                  <c:v>50.28</c:v>
                </c:pt>
                <c:pt idx="14">
                  <c:v>50.73</c:v>
                </c:pt>
                <c:pt idx="15">
                  <c:v>50.82</c:v>
                </c:pt>
                <c:pt idx="16">
                  <c:v>51.17</c:v>
                </c:pt>
                <c:pt idx="17">
                  <c:v>51.88</c:v>
                </c:pt>
                <c:pt idx="18">
                  <c:v>51.89</c:v>
                </c:pt>
                <c:pt idx="19">
                  <c:v>52.901000000000003</c:v>
                </c:pt>
                <c:pt idx="20">
                  <c:v>53.42</c:v>
                </c:pt>
                <c:pt idx="21">
                  <c:v>52.87</c:v>
                </c:pt>
                <c:pt idx="22">
                  <c:v>54.27</c:v>
                </c:pt>
                <c:pt idx="23">
                  <c:v>54.94</c:v>
                </c:pt>
                <c:pt idx="24">
                  <c:v>54.87</c:v>
                </c:pt>
                <c:pt idx="25">
                  <c:v>56.76</c:v>
                </c:pt>
                <c:pt idx="26">
                  <c:v>56.311</c:v>
                </c:pt>
                <c:pt idx="27">
                  <c:v>56.978999999999999</c:v>
                </c:pt>
                <c:pt idx="28">
                  <c:v>57.33</c:v>
                </c:pt>
                <c:pt idx="29">
                  <c:v>58.32</c:v>
                </c:pt>
                <c:pt idx="30">
                  <c:v>59.02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0D-49FD-8951-062FBDC81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20015"/>
        <c:axId val="1640916655"/>
      </c:scatterChart>
      <c:valAx>
        <c:axId val="164092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0916655"/>
        <c:crosses val="autoZero"/>
        <c:crossBetween val="midCat"/>
      </c:valAx>
      <c:valAx>
        <c:axId val="16409166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0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(Corozal) - # 44-IV-D-PZ-01 B'!$G$2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(Corozal) - # 44-IV-D-PZ-01 B'!$F$3:$F$33</c:f>
              <c:numCache>
                <c:formatCode>mmm\-yy</c:formatCode>
                <c:ptCount val="31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45992</c:v>
                </c:pt>
              </c:numCache>
            </c:numRef>
          </c:xVal>
          <c:yVal>
            <c:numRef>
              <c:f>' (Corozal) - # 44-IV-D-PZ-01 B'!$G$3:$G$33</c:f>
              <c:numCache>
                <c:formatCode>General</c:formatCode>
                <c:ptCount val="31"/>
                <c:pt idx="0">
                  <c:v>7.55</c:v>
                </c:pt>
                <c:pt idx="1">
                  <c:v>7.6</c:v>
                </c:pt>
                <c:pt idx="2">
                  <c:v>7.65</c:v>
                </c:pt>
                <c:pt idx="3">
                  <c:v>6.94</c:v>
                </c:pt>
                <c:pt idx="4">
                  <c:v>6.85</c:v>
                </c:pt>
                <c:pt idx="5">
                  <c:v>6.94</c:v>
                </c:pt>
                <c:pt idx="6">
                  <c:v>7.03</c:v>
                </c:pt>
                <c:pt idx="7">
                  <c:v>7.18</c:v>
                </c:pt>
                <c:pt idx="8">
                  <c:v>7.33</c:v>
                </c:pt>
                <c:pt idx="9">
                  <c:v>7.51</c:v>
                </c:pt>
                <c:pt idx="10">
                  <c:v>7.63</c:v>
                </c:pt>
                <c:pt idx="11">
                  <c:v>7.28</c:v>
                </c:pt>
                <c:pt idx="12">
                  <c:v>6.93</c:v>
                </c:pt>
                <c:pt idx="13">
                  <c:v>6.58</c:v>
                </c:pt>
                <c:pt idx="14">
                  <c:v>6.9</c:v>
                </c:pt>
                <c:pt idx="15">
                  <c:v>6.91</c:v>
                </c:pt>
                <c:pt idx="16">
                  <c:v>6.923</c:v>
                </c:pt>
                <c:pt idx="17">
                  <c:v>6.9359999999999999</c:v>
                </c:pt>
                <c:pt idx="18">
                  <c:v>6.95</c:v>
                </c:pt>
                <c:pt idx="19">
                  <c:v>7.11</c:v>
                </c:pt>
                <c:pt idx="20">
                  <c:v>7.27</c:v>
                </c:pt>
                <c:pt idx="21">
                  <c:v>7.07</c:v>
                </c:pt>
                <c:pt idx="22">
                  <c:v>6.89</c:v>
                </c:pt>
                <c:pt idx="23">
                  <c:v>7.43</c:v>
                </c:pt>
                <c:pt idx="24">
                  <c:v>8.0280000000000005</c:v>
                </c:pt>
                <c:pt idx="25">
                  <c:v>8.6300000000000008</c:v>
                </c:pt>
                <c:pt idx="26">
                  <c:v>8.35</c:v>
                </c:pt>
                <c:pt idx="27">
                  <c:v>8.07</c:v>
                </c:pt>
                <c:pt idx="28">
                  <c:v>7.79</c:v>
                </c:pt>
                <c:pt idx="29">
                  <c:v>7.51</c:v>
                </c:pt>
                <c:pt idx="30">
                  <c:v>7.67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8-4224-8FFD-1FEDFB269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083760"/>
        <c:axId val="1404084720"/>
      </c:scatterChart>
      <c:valAx>
        <c:axId val="140408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084720"/>
        <c:crosses val="autoZero"/>
        <c:crossBetween val="midCat"/>
      </c:valAx>
      <c:valAx>
        <c:axId val="14040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08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'Sabanas de cali (El Tesoro)'!$F$2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'Sabanas de cali (El Tesoro)'!$E$3:$E$34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'Sabanas de cali (El Tesoro)'!$F$3:$F$34</c:f>
              <c:numCache>
                <c:formatCode>General</c:formatCode>
                <c:ptCount val="32"/>
                <c:pt idx="0">
                  <c:v>91.2</c:v>
                </c:pt>
                <c:pt idx="1">
                  <c:v>92.39</c:v>
                </c:pt>
                <c:pt idx="2">
                  <c:v>92.43</c:v>
                </c:pt>
                <c:pt idx="3">
                  <c:v>91.3</c:v>
                </c:pt>
                <c:pt idx="4">
                  <c:v>91.15</c:v>
                </c:pt>
                <c:pt idx="5">
                  <c:v>91.52</c:v>
                </c:pt>
                <c:pt idx="6">
                  <c:v>92.42</c:v>
                </c:pt>
                <c:pt idx="7">
                  <c:v>93.35</c:v>
                </c:pt>
                <c:pt idx="8">
                  <c:v>94.15</c:v>
                </c:pt>
                <c:pt idx="9">
                  <c:v>95.01</c:v>
                </c:pt>
                <c:pt idx="10">
                  <c:v>96</c:v>
                </c:pt>
                <c:pt idx="11">
                  <c:v>97.4</c:v>
                </c:pt>
                <c:pt idx="12">
                  <c:v>97.82</c:v>
                </c:pt>
                <c:pt idx="13">
                  <c:v>97.4</c:v>
                </c:pt>
                <c:pt idx="14">
                  <c:v>99.99</c:v>
                </c:pt>
                <c:pt idx="15">
                  <c:v>100.79</c:v>
                </c:pt>
                <c:pt idx="16">
                  <c:v>101.74</c:v>
                </c:pt>
                <c:pt idx="17">
                  <c:v>102.19</c:v>
                </c:pt>
                <c:pt idx="18">
                  <c:v>103.9</c:v>
                </c:pt>
                <c:pt idx="19">
                  <c:v>105.76</c:v>
                </c:pt>
                <c:pt idx="20">
                  <c:v>105.57</c:v>
                </c:pt>
                <c:pt idx="21">
                  <c:v>105.38</c:v>
                </c:pt>
                <c:pt idx="22">
                  <c:v>107.32</c:v>
                </c:pt>
                <c:pt idx="23">
                  <c:v>108.6</c:v>
                </c:pt>
                <c:pt idx="24">
                  <c:v>110.17</c:v>
                </c:pt>
                <c:pt idx="25">
                  <c:v>110.78</c:v>
                </c:pt>
                <c:pt idx="26">
                  <c:v>111.72</c:v>
                </c:pt>
                <c:pt idx="27">
                  <c:v>112.66</c:v>
                </c:pt>
                <c:pt idx="28">
                  <c:v>113.6</c:v>
                </c:pt>
                <c:pt idx="29">
                  <c:v>112.44</c:v>
                </c:pt>
                <c:pt idx="30">
                  <c:v>114.39</c:v>
                </c:pt>
                <c:pt idx="31">
                  <c:v>115.1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7-4922-B285-F4339BA5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240144"/>
        <c:axId val="1404226224"/>
      </c:scatterChart>
      <c:valAx>
        <c:axId val="140424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226224"/>
        <c:crosses val="autoZero"/>
        <c:crossBetween val="midCat"/>
      </c:valAx>
      <c:valAx>
        <c:axId val="14042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24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'Finca el tesoro - # 44-IV-D-PZ-'!$G$2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'Finca el tesoro - # 44-IV-D-PZ-'!$F$3:$F$34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'Finca el tesoro - # 44-IV-D-PZ-'!$G$3:$G$34</c:f>
              <c:numCache>
                <c:formatCode>General</c:formatCode>
                <c:ptCount val="32"/>
                <c:pt idx="0">
                  <c:v>59.72</c:v>
                </c:pt>
                <c:pt idx="1">
                  <c:v>58.85</c:v>
                </c:pt>
                <c:pt idx="2">
                  <c:v>57.99</c:v>
                </c:pt>
                <c:pt idx="3">
                  <c:v>52.6</c:v>
                </c:pt>
                <c:pt idx="4">
                  <c:v>58.05</c:v>
                </c:pt>
                <c:pt idx="5">
                  <c:v>58.32</c:v>
                </c:pt>
                <c:pt idx="6">
                  <c:v>59.36</c:v>
                </c:pt>
                <c:pt idx="7">
                  <c:v>58.1</c:v>
                </c:pt>
                <c:pt idx="8">
                  <c:v>59.2</c:v>
                </c:pt>
                <c:pt idx="9">
                  <c:v>56.4</c:v>
                </c:pt>
                <c:pt idx="10">
                  <c:v>59.58</c:v>
                </c:pt>
                <c:pt idx="11">
                  <c:v>60.38</c:v>
                </c:pt>
                <c:pt idx="12">
                  <c:v>60.73</c:v>
                </c:pt>
                <c:pt idx="13">
                  <c:v>60.83</c:v>
                </c:pt>
                <c:pt idx="14">
                  <c:v>61.41</c:v>
                </c:pt>
                <c:pt idx="15">
                  <c:v>62.03</c:v>
                </c:pt>
                <c:pt idx="16">
                  <c:v>62.26</c:v>
                </c:pt>
                <c:pt idx="17">
                  <c:v>62.36</c:v>
                </c:pt>
                <c:pt idx="18">
                  <c:v>66.06</c:v>
                </c:pt>
                <c:pt idx="19">
                  <c:v>65.11</c:v>
                </c:pt>
                <c:pt idx="20">
                  <c:v>64.900000000000006</c:v>
                </c:pt>
                <c:pt idx="21">
                  <c:v>64.59</c:v>
                </c:pt>
                <c:pt idx="22">
                  <c:v>64.599999999999994</c:v>
                </c:pt>
                <c:pt idx="23">
                  <c:v>65.430000000000007</c:v>
                </c:pt>
                <c:pt idx="24">
                  <c:v>65.540000000000006</c:v>
                </c:pt>
                <c:pt idx="25">
                  <c:v>67.06</c:v>
                </c:pt>
                <c:pt idx="26">
                  <c:v>67.77</c:v>
                </c:pt>
                <c:pt idx="27">
                  <c:v>67.39</c:v>
                </c:pt>
                <c:pt idx="28">
                  <c:v>68.680000000000007</c:v>
                </c:pt>
                <c:pt idx="29">
                  <c:v>67.61</c:v>
                </c:pt>
                <c:pt idx="30">
                  <c:v>68.86</c:v>
                </c:pt>
                <c:pt idx="31">
                  <c:v>68.69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E0-488E-9DB6-C556F79A1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85536"/>
        <c:axId val="65190336"/>
      </c:scatterChart>
      <c:valAx>
        <c:axId val="651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90336"/>
        <c:crosses val="autoZero"/>
        <c:crossBetween val="midCat"/>
      </c:valAx>
      <c:valAx>
        <c:axId val="6519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'Basurero Viejo, Pileta (Corozal'!$G$2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'Basurero Viejo, Pileta (Corozal'!$F$3:$F$34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'Basurero Viejo, Pileta (Corozal'!$G$3:$G$34</c:f>
              <c:numCache>
                <c:formatCode>General</c:formatCode>
                <c:ptCount val="32"/>
                <c:pt idx="0">
                  <c:v>36.450000000000003</c:v>
                </c:pt>
                <c:pt idx="1">
                  <c:v>35.44</c:v>
                </c:pt>
                <c:pt idx="2">
                  <c:v>34.49</c:v>
                </c:pt>
                <c:pt idx="3">
                  <c:v>34.29</c:v>
                </c:pt>
                <c:pt idx="4">
                  <c:v>35.35</c:v>
                </c:pt>
                <c:pt idx="5">
                  <c:v>36.125</c:v>
                </c:pt>
                <c:pt idx="6">
                  <c:v>36.97</c:v>
                </c:pt>
                <c:pt idx="7">
                  <c:v>37.15</c:v>
                </c:pt>
                <c:pt idx="8">
                  <c:v>37.909999999999997</c:v>
                </c:pt>
                <c:pt idx="9">
                  <c:v>37.65</c:v>
                </c:pt>
                <c:pt idx="10">
                  <c:v>38</c:v>
                </c:pt>
                <c:pt idx="11">
                  <c:v>38.54</c:v>
                </c:pt>
                <c:pt idx="12">
                  <c:v>39.340000000000003</c:v>
                </c:pt>
                <c:pt idx="13">
                  <c:v>39.979999999999997</c:v>
                </c:pt>
                <c:pt idx="14">
                  <c:v>39.9</c:v>
                </c:pt>
                <c:pt idx="15">
                  <c:v>39.409999999999997</c:v>
                </c:pt>
                <c:pt idx="16">
                  <c:v>40.19</c:v>
                </c:pt>
                <c:pt idx="17">
                  <c:v>40.14</c:v>
                </c:pt>
                <c:pt idx="18">
                  <c:v>40.090000000000003</c:v>
                </c:pt>
                <c:pt idx="19">
                  <c:v>40.4</c:v>
                </c:pt>
                <c:pt idx="20">
                  <c:v>41.47</c:v>
                </c:pt>
                <c:pt idx="21">
                  <c:v>41.21</c:v>
                </c:pt>
                <c:pt idx="22">
                  <c:v>42.14</c:v>
                </c:pt>
                <c:pt idx="23">
                  <c:v>41.71</c:v>
                </c:pt>
                <c:pt idx="24">
                  <c:v>42.29</c:v>
                </c:pt>
                <c:pt idx="25">
                  <c:v>42.19</c:v>
                </c:pt>
                <c:pt idx="26">
                  <c:v>42.76</c:v>
                </c:pt>
                <c:pt idx="27">
                  <c:v>42.66</c:v>
                </c:pt>
                <c:pt idx="28">
                  <c:v>43.22</c:v>
                </c:pt>
                <c:pt idx="29">
                  <c:v>42.87</c:v>
                </c:pt>
                <c:pt idx="30">
                  <c:v>43.6</c:v>
                </c:pt>
                <c:pt idx="31">
                  <c:v>43.72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96-475F-A9D0-702ED0618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02336"/>
        <c:axId val="65186016"/>
      </c:scatterChart>
      <c:valAx>
        <c:axId val="6520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6016"/>
        <c:crosses val="autoZero"/>
        <c:crossBetween val="midCat"/>
      </c:valAx>
      <c:valAx>
        <c:axId val="651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20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'Corozal - # 44-IV-D-PO-14'!$G$2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'Corozal - # 44-IV-D-PO-14'!$F$3:$F$34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'Corozal - # 44-IV-D-PO-14'!$G$3:$G$34</c:f>
              <c:numCache>
                <c:formatCode>General</c:formatCode>
                <c:ptCount val="32"/>
                <c:pt idx="0">
                  <c:v>62.6</c:v>
                </c:pt>
                <c:pt idx="1">
                  <c:v>62.92</c:v>
                </c:pt>
                <c:pt idx="2">
                  <c:v>62.9</c:v>
                </c:pt>
                <c:pt idx="3">
                  <c:v>63.8</c:v>
                </c:pt>
                <c:pt idx="4">
                  <c:v>63.24</c:v>
                </c:pt>
                <c:pt idx="5">
                  <c:v>65</c:v>
                </c:pt>
                <c:pt idx="6">
                  <c:v>65.7</c:v>
                </c:pt>
                <c:pt idx="7">
                  <c:v>66.52</c:v>
                </c:pt>
                <c:pt idx="8">
                  <c:v>67.319999999999993</c:v>
                </c:pt>
                <c:pt idx="9">
                  <c:v>67.989999999999995</c:v>
                </c:pt>
                <c:pt idx="10">
                  <c:v>68.64</c:v>
                </c:pt>
                <c:pt idx="11">
                  <c:v>70.59</c:v>
                </c:pt>
                <c:pt idx="12">
                  <c:v>70.88</c:v>
                </c:pt>
                <c:pt idx="13">
                  <c:v>71.53</c:v>
                </c:pt>
                <c:pt idx="14">
                  <c:v>72.319999999999993</c:v>
                </c:pt>
                <c:pt idx="15">
                  <c:v>73.819999999999993</c:v>
                </c:pt>
                <c:pt idx="16">
                  <c:v>74.75</c:v>
                </c:pt>
                <c:pt idx="17">
                  <c:v>75.08</c:v>
                </c:pt>
                <c:pt idx="18">
                  <c:v>76.040000000000006</c:v>
                </c:pt>
                <c:pt idx="19">
                  <c:v>76.95</c:v>
                </c:pt>
                <c:pt idx="20">
                  <c:v>78.989999999999995</c:v>
                </c:pt>
                <c:pt idx="21">
                  <c:v>79.849999999999994</c:v>
                </c:pt>
                <c:pt idx="22">
                  <c:v>80.97</c:v>
                </c:pt>
                <c:pt idx="23">
                  <c:v>84.4</c:v>
                </c:pt>
                <c:pt idx="24">
                  <c:v>82.15</c:v>
                </c:pt>
                <c:pt idx="25">
                  <c:v>83.01</c:v>
                </c:pt>
                <c:pt idx="26">
                  <c:v>83.24</c:v>
                </c:pt>
                <c:pt idx="27">
                  <c:v>84.1</c:v>
                </c:pt>
                <c:pt idx="28">
                  <c:v>83.91</c:v>
                </c:pt>
                <c:pt idx="29">
                  <c:v>84.4</c:v>
                </c:pt>
                <c:pt idx="30">
                  <c:v>84.49</c:v>
                </c:pt>
                <c:pt idx="31">
                  <c:v>85.25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B-453D-9412-731A26F2C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087600"/>
        <c:axId val="1404088080"/>
      </c:scatterChart>
      <c:valAx>
        <c:axId val="140408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088080"/>
        <c:crosses val="autoZero"/>
        <c:crossBetween val="midCat"/>
      </c:valAx>
      <c:valAx>
        <c:axId val="14040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08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'Corozal - # 44-IV-D-PZ-20'!$G$2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'Corozal - # 44-IV-D-PZ-20'!$F$3:$F$34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'Corozal - # 44-IV-D-PZ-20'!$G$3:$G$34</c:f>
              <c:numCache>
                <c:formatCode>General</c:formatCode>
                <c:ptCount val="32"/>
                <c:pt idx="0">
                  <c:v>13</c:v>
                </c:pt>
                <c:pt idx="1">
                  <c:v>11.6</c:v>
                </c:pt>
                <c:pt idx="2">
                  <c:v>10.43</c:v>
                </c:pt>
                <c:pt idx="3">
                  <c:v>10.55</c:v>
                </c:pt>
                <c:pt idx="4">
                  <c:v>11</c:v>
                </c:pt>
                <c:pt idx="5">
                  <c:v>10.94</c:v>
                </c:pt>
                <c:pt idx="6">
                  <c:v>11.56</c:v>
                </c:pt>
                <c:pt idx="7">
                  <c:v>11.37</c:v>
                </c:pt>
                <c:pt idx="8">
                  <c:v>11.32</c:v>
                </c:pt>
                <c:pt idx="9">
                  <c:v>11.22</c:v>
                </c:pt>
                <c:pt idx="10">
                  <c:v>12.02</c:v>
                </c:pt>
                <c:pt idx="11">
                  <c:v>12.59</c:v>
                </c:pt>
                <c:pt idx="12">
                  <c:v>13.39</c:v>
                </c:pt>
                <c:pt idx="13">
                  <c:v>13.36</c:v>
                </c:pt>
                <c:pt idx="14">
                  <c:v>13.57</c:v>
                </c:pt>
                <c:pt idx="15">
                  <c:v>13.54</c:v>
                </c:pt>
                <c:pt idx="16">
                  <c:v>13.75</c:v>
                </c:pt>
                <c:pt idx="17">
                  <c:v>13.72</c:v>
                </c:pt>
                <c:pt idx="18">
                  <c:v>13.91</c:v>
                </c:pt>
                <c:pt idx="19">
                  <c:v>13.99</c:v>
                </c:pt>
                <c:pt idx="20">
                  <c:v>14.11</c:v>
                </c:pt>
                <c:pt idx="21">
                  <c:v>14.07</c:v>
                </c:pt>
                <c:pt idx="22">
                  <c:v>14.28</c:v>
                </c:pt>
                <c:pt idx="23">
                  <c:v>14.25</c:v>
                </c:pt>
                <c:pt idx="24">
                  <c:v>14.46</c:v>
                </c:pt>
                <c:pt idx="25">
                  <c:v>14.44</c:v>
                </c:pt>
                <c:pt idx="26">
                  <c:v>14.63</c:v>
                </c:pt>
                <c:pt idx="27">
                  <c:v>14.6</c:v>
                </c:pt>
                <c:pt idx="28">
                  <c:v>14.82</c:v>
                </c:pt>
                <c:pt idx="29">
                  <c:v>14.79</c:v>
                </c:pt>
                <c:pt idx="30">
                  <c:v>15.03</c:v>
                </c:pt>
                <c:pt idx="31">
                  <c:v>15.34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6A-40A3-906D-79C8CAC8F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66512"/>
        <c:axId val="144562672"/>
      </c:scatterChart>
      <c:valAx>
        <c:axId val="14456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562672"/>
        <c:crosses val="autoZero"/>
        <c:crossBetween val="midCat"/>
      </c:valAx>
      <c:valAx>
        <c:axId val="1445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56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'Corozal - # 44-IV-D-PZ-22'!$G$2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'Corozal - # 44-IV-D-PZ-22'!$F$3:$F$34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'Corozal - # 44-IV-D-PZ-22'!$G$3:$G$34</c:f>
              <c:numCache>
                <c:formatCode>General</c:formatCode>
                <c:ptCount val="32"/>
                <c:pt idx="0">
                  <c:v>66.87</c:v>
                </c:pt>
                <c:pt idx="1">
                  <c:v>67.239999999999995</c:v>
                </c:pt>
                <c:pt idx="2">
                  <c:v>67.94</c:v>
                </c:pt>
                <c:pt idx="3">
                  <c:v>67.400000000000006</c:v>
                </c:pt>
                <c:pt idx="4">
                  <c:v>68</c:v>
                </c:pt>
                <c:pt idx="5">
                  <c:v>69.099999999999994</c:v>
                </c:pt>
                <c:pt idx="6">
                  <c:v>69.790000000000006</c:v>
                </c:pt>
                <c:pt idx="7">
                  <c:v>70.790000000000006</c:v>
                </c:pt>
                <c:pt idx="8">
                  <c:v>71.52</c:v>
                </c:pt>
                <c:pt idx="9">
                  <c:v>72.55</c:v>
                </c:pt>
                <c:pt idx="10">
                  <c:v>73.5</c:v>
                </c:pt>
                <c:pt idx="11">
                  <c:v>74.400000000000006</c:v>
                </c:pt>
                <c:pt idx="12">
                  <c:v>75.44</c:v>
                </c:pt>
                <c:pt idx="13">
                  <c:v>76.34</c:v>
                </c:pt>
                <c:pt idx="14">
                  <c:v>75.77</c:v>
                </c:pt>
                <c:pt idx="15">
                  <c:v>76.650000000000006</c:v>
                </c:pt>
                <c:pt idx="16">
                  <c:v>77.56</c:v>
                </c:pt>
                <c:pt idx="17">
                  <c:v>78.459999999999994</c:v>
                </c:pt>
                <c:pt idx="18">
                  <c:v>79.36</c:v>
                </c:pt>
                <c:pt idx="19">
                  <c:v>80.27</c:v>
                </c:pt>
                <c:pt idx="20">
                  <c:v>80.5</c:v>
                </c:pt>
                <c:pt idx="21">
                  <c:v>81.400000000000006</c:v>
                </c:pt>
                <c:pt idx="22">
                  <c:v>81.93</c:v>
                </c:pt>
                <c:pt idx="23">
                  <c:v>82.83</c:v>
                </c:pt>
                <c:pt idx="24">
                  <c:v>83.37</c:v>
                </c:pt>
                <c:pt idx="25">
                  <c:v>84.27</c:v>
                </c:pt>
                <c:pt idx="26">
                  <c:v>84.81</c:v>
                </c:pt>
                <c:pt idx="27">
                  <c:v>85.71</c:v>
                </c:pt>
                <c:pt idx="28">
                  <c:v>86.27</c:v>
                </c:pt>
                <c:pt idx="29">
                  <c:v>87.29</c:v>
                </c:pt>
                <c:pt idx="30">
                  <c:v>87.33</c:v>
                </c:pt>
                <c:pt idx="31">
                  <c:v>88.59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0A-4623-AB07-0D7D8881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79472"/>
        <c:axId val="144580432"/>
      </c:scatterChart>
      <c:valAx>
        <c:axId val="14457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580432"/>
        <c:crosses val="autoZero"/>
        <c:crossBetween val="midCat"/>
      </c:valAx>
      <c:valAx>
        <c:axId val="1445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5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Cantagallo!$G$2</c:f>
              <c:strCache>
                <c:ptCount val="1"/>
                <c:pt idx="0">
                  <c:v>Nivel Estático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Cantagallo!$F$3:$F$34</c:f>
              <c:numCache>
                <c:formatCode>mmm\-yy</c:formatCode>
                <c:ptCount val="32"/>
                <c:pt idx="0">
                  <c:v>40330</c:v>
                </c:pt>
                <c:pt idx="1">
                  <c:v>40513</c:v>
                </c:pt>
                <c:pt idx="2">
                  <c:v>40695</c:v>
                </c:pt>
                <c:pt idx="3">
                  <c:v>40878</c:v>
                </c:pt>
                <c:pt idx="4">
                  <c:v>41061</c:v>
                </c:pt>
                <c:pt idx="5">
                  <c:v>41244</c:v>
                </c:pt>
                <c:pt idx="6">
                  <c:v>41426</c:v>
                </c:pt>
                <c:pt idx="7">
                  <c:v>41609</c:v>
                </c:pt>
                <c:pt idx="8">
                  <c:v>41791</c:v>
                </c:pt>
                <c:pt idx="9">
                  <c:v>41974</c:v>
                </c:pt>
                <c:pt idx="10">
                  <c:v>42156</c:v>
                </c:pt>
                <c:pt idx="11">
                  <c:v>42339</c:v>
                </c:pt>
                <c:pt idx="12">
                  <c:v>42522</c:v>
                </c:pt>
                <c:pt idx="13">
                  <c:v>42705</c:v>
                </c:pt>
                <c:pt idx="14">
                  <c:v>42887</c:v>
                </c:pt>
                <c:pt idx="15">
                  <c:v>43070</c:v>
                </c:pt>
                <c:pt idx="16">
                  <c:v>43252</c:v>
                </c:pt>
                <c:pt idx="17">
                  <c:v>43435</c:v>
                </c:pt>
                <c:pt idx="18">
                  <c:v>43617</c:v>
                </c:pt>
                <c:pt idx="19">
                  <c:v>43800</c:v>
                </c:pt>
                <c:pt idx="20">
                  <c:v>43983</c:v>
                </c:pt>
                <c:pt idx="21">
                  <c:v>44166</c:v>
                </c:pt>
                <c:pt idx="22">
                  <c:v>44348</c:v>
                </c:pt>
                <c:pt idx="23">
                  <c:v>44531</c:v>
                </c:pt>
                <c:pt idx="24">
                  <c:v>44713</c:v>
                </c:pt>
                <c:pt idx="25">
                  <c:v>44896</c:v>
                </c:pt>
                <c:pt idx="26">
                  <c:v>45078</c:v>
                </c:pt>
                <c:pt idx="27">
                  <c:v>45261</c:v>
                </c:pt>
                <c:pt idx="28">
                  <c:v>45444</c:v>
                </c:pt>
                <c:pt idx="29">
                  <c:v>45627</c:v>
                </c:pt>
                <c:pt idx="30">
                  <c:v>45809</c:v>
                </c:pt>
                <c:pt idx="31">
                  <c:v>45992</c:v>
                </c:pt>
              </c:numCache>
            </c:numRef>
          </c:xVal>
          <c:yVal>
            <c:numRef>
              <c:f>Cantagallo!$G$3:$G$34</c:f>
              <c:numCache>
                <c:formatCode>General</c:formatCode>
                <c:ptCount val="32"/>
                <c:pt idx="0">
                  <c:v>33.75</c:v>
                </c:pt>
                <c:pt idx="1">
                  <c:v>33.9</c:v>
                </c:pt>
                <c:pt idx="2">
                  <c:v>34.39</c:v>
                </c:pt>
                <c:pt idx="3">
                  <c:v>34.54</c:v>
                </c:pt>
                <c:pt idx="4">
                  <c:v>34.64</c:v>
                </c:pt>
                <c:pt idx="5">
                  <c:v>34.74</c:v>
                </c:pt>
                <c:pt idx="6">
                  <c:v>35.24</c:v>
                </c:pt>
                <c:pt idx="7">
                  <c:v>35.72</c:v>
                </c:pt>
                <c:pt idx="8">
                  <c:v>36.270000000000003</c:v>
                </c:pt>
                <c:pt idx="9">
                  <c:v>36.97</c:v>
                </c:pt>
                <c:pt idx="10">
                  <c:v>37.22</c:v>
                </c:pt>
                <c:pt idx="11">
                  <c:v>37.97</c:v>
                </c:pt>
                <c:pt idx="12">
                  <c:v>38.130000000000003</c:v>
                </c:pt>
                <c:pt idx="13">
                  <c:v>38.979999999999997</c:v>
                </c:pt>
                <c:pt idx="14">
                  <c:v>39.21</c:v>
                </c:pt>
                <c:pt idx="15">
                  <c:v>39.61</c:v>
                </c:pt>
                <c:pt idx="16">
                  <c:v>40.18</c:v>
                </c:pt>
                <c:pt idx="17">
                  <c:v>40.659999999999997</c:v>
                </c:pt>
                <c:pt idx="18">
                  <c:v>41.14</c:v>
                </c:pt>
                <c:pt idx="19">
                  <c:v>41.69</c:v>
                </c:pt>
                <c:pt idx="20">
                  <c:v>42.11</c:v>
                </c:pt>
                <c:pt idx="21">
                  <c:v>42.76</c:v>
                </c:pt>
                <c:pt idx="22">
                  <c:v>43.08</c:v>
                </c:pt>
                <c:pt idx="23">
                  <c:v>43.81</c:v>
                </c:pt>
                <c:pt idx="24">
                  <c:v>44.04</c:v>
                </c:pt>
                <c:pt idx="25">
                  <c:v>44.86</c:v>
                </c:pt>
                <c:pt idx="26">
                  <c:v>44.18</c:v>
                </c:pt>
                <c:pt idx="27">
                  <c:v>44.93</c:v>
                </c:pt>
                <c:pt idx="28">
                  <c:v>44.25</c:v>
                </c:pt>
                <c:pt idx="29">
                  <c:v>45</c:v>
                </c:pt>
                <c:pt idx="30">
                  <c:v>45.2</c:v>
                </c:pt>
                <c:pt idx="31">
                  <c:v>45.94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2-4B0E-9738-994D46FCF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365343"/>
        <c:axId val="1984382143"/>
      </c:scatterChart>
      <c:valAx>
        <c:axId val="198436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4382143"/>
        <c:crosses val="autoZero"/>
        <c:crossBetween val="midCat"/>
      </c:valAx>
      <c:valAx>
        <c:axId val="198438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436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548005</xdr:colOff>
      <xdr:row>98</xdr:row>
      <xdr:rowOff>95250</xdr:rowOff>
    </xdr:from>
    <xdr:to>
      <xdr:col>28</xdr:col>
      <xdr:colOff>478155</xdr:colOff>
      <xdr:row>112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53CEDB-C144-57F7-EDC0-3F6E998FD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151534</xdr:colOff>
      <xdr:row>16</xdr:row>
      <xdr:rowOff>178377</xdr:rowOff>
    </xdr:from>
    <xdr:to>
      <xdr:col>6</xdr:col>
      <xdr:colOff>587432</xdr:colOff>
      <xdr:row>32</xdr:row>
      <xdr:rowOff>8313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959CFD-872A-7428-6CD8-3F9B0DEDF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103909</xdr:colOff>
      <xdr:row>16</xdr:row>
      <xdr:rowOff>138546</xdr:rowOff>
    </xdr:from>
    <xdr:to>
      <xdr:col>12</xdr:col>
      <xdr:colOff>872663</xdr:colOff>
      <xdr:row>31</xdr:row>
      <xdr:rowOff>159848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D55F6A-12E9-41A0-85B7-6C359F78E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355023</xdr:colOff>
      <xdr:row>16</xdr:row>
      <xdr:rowOff>142356</xdr:rowOff>
    </xdr:from>
    <xdr:to>
      <xdr:col>19</xdr:col>
      <xdr:colOff>171277</xdr:colOff>
      <xdr:row>31</xdr:row>
      <xdr:rowOff>159848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B7222C-084A-49E8-ABE5-3EE295B40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555215</xdr:colOff>
      <xdr:row>16</xdr:row>
      <xdr:rowOff>90055</xdr:rowOff>
    </xdr:from>
    <xdr:to>
      <xdr:col>27</xdr:col>
      <xdr:colOff>528204</xdr:colOff>
      <xdr:row>32</xdr:row>
      <xdr:rowOff>2251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15898D-5C4F-4CCE-AE4A-5A4BD2808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202565</xdr:colOff>
      <xdr:row>17</xdr:row>
      <xdr:rowOff>151130</xdr:rowOff>
    </xdr:from>
    <xdr:to>
      <xdr:col>14</xdr:col>
      <xdr:colOff>8255</xdr:colOff>
      <xdr:row>32</xdr:row>
      <xdr:rowOff>135890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EF35D3-FA34-7980-DF2D-877359A14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375285</xdr:colOff>
      <xdr:row>3</xdr:row>
      <xdr:rowOff>30480</xdr:rowOff>
    </xdr:from>
    <xdr:to>
      <xdr:col>14</xdr:col>
      <xdr:colOff>187325</xdr:colOff>
      <xdr:row>18</xdr:row>
      <xdr:rowOff>20320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AB1B37-2C77-602C-61CB-5A9766A2E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1</xdr:row>
      <xdr:rowOff>346710</xdr:rowOff>
    </xdr:from>
    <xdr:to>
      <xdr:col>14</xdr:col>
      <xdr:colOff>342900</xdr:colOff>
      <xdr:row>16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D36900-FC97-0919-F278-9F9590658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</xdr:row>
      <xdr:rowOff>110490</xdr:rowOff>
    </xdr:from>
    <xdr:to>
      <xdr:col>14</xdr:col>
      <xdr:colOff>723900</xdr:colOff>
      <xdr:row>16</xdr:row>
      <xdr:rowOff>186690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703439-25F1-E1FC-E43A-809DB328A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207645</xdr:colOff>
      <xdr:row>15</xdr:row>
      <xdr:rowOff>147320</xdr:rowOff>
    </xdr:from>
    <xdr:to>
      <xdr:col>14</xdr:col>
      <xdr:colOff>14605</xdr:colOff>
      <xdr:row>30</xdr:row>
      <xdr:rowOff>33020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7DFBF-B64D-AF7D-143D-1268CBBD9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731520</xdr:colOff>
      <xdr:row>11</xdr:row>
      <xdr:rowOff>133350</xdr:rowOff>
    </xdr:from>
    <xdr:to>
      <xdr:col>15</xdr:col>
      <xdr:colOff>548640</xdr:colOff>
      <xdr:row>26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071AB0-B1C7-8FDD-9A0D-13EDA72C0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746760</xdr:colOff>
      <xdr:row>12</xdr:row>
      <xdr:rowOff>41910</xdr:rowOff>
    </xdr:from>
    <xdr:to>
      <xdr:col>15</xdr:col>
      <xdr:colOff>563880</xdr:colOff>
      <xdr:row>26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52BDBA-958C-2300-49FB-D9F6C5C1D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283845</xdr:colOff>
      <xdr:row>2</xdr:row>
      <xdr:rowOff>103822</xdr:rowOff>
    </xdr:from>
    <xdr:to>
      <xdr:col>17</xdr:col>
      <xdr:colOff>110490</xdr:colOff>
      <xdr:row>16</xdr:row>
      <xdr:rowOff>180022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D3775F-7BE1-257C-A990-FDF5DF3A3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1</xdr:row>
      <xdr:rowOff>172402</xdr:rowOff>
    </xdr:from>
    <xdr:to>
      <xdr:col>15</xdr:col>
      <xdr:colOff>419100</xdr:colOff>
      <xdr:row>15</xdr:row>
      <xdr:rowOff>67627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274D81-A34F-755C-FDA4-25FDE179E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441960</xdr:colOff>
      <xdr:row>1</xdr:row>
      <xdr:rowOff>34290</xdr:rowOff>
    </xdr:from>
    <xdr:to>
      <xdr:col>15</xdr:col>
      <xdr:colOff>259080</xdr:colOff>
      <xdr:row>14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6DCB8-6DD8-3B11-E88C-125A8377A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11</xdr:row>
      <xdr:rowOff>163830</xdr:rowOff>
    </xdr:from>
    <xdr:to>
      <xdr:col>15</xdr:col>
      <xdr:colOff>30480</xdr:colOff>
      <xdr:row>26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1D0FFF-CC86-1C91-DEF0-5FF217E51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</xdr:row>
      <xdr:rowOff>293370</xdr:rowOff>
    </xdr:from>
    <xdr:to>
      <xdr:col>15</xdr:col>
      <xdr:colOff>45720</xdr:colOff>
      <xdr:row>15</xdr:row>
      <xdr:rowOff>186690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FD9B53-BECB-31F4-4A96-0701D4687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17</xdr:row>
      <xdr:rowOff>26670</xdr:rowOff>
    </xdr:from>
    <xdr:to>
      <xdr:col>15</xdr:col>
      <xdr:colOff>129540</xdr:colOff>
      <xdr:row>32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9D8831-5CD1-EEBD-801F-75277ECD9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19</xdr:row>
      <xdr:rowOff>72390</xdr:rowOff>
    </xdr:from>
    <xdr:to>
      <xdr:col>15</xdr:col>
      <xdr:colOff>144780</xdr:colOff>
      <xdr:row>34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724213-F756-6EEB-FEA5-97AB2F171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632460</xdr:colOff>
      <xdr:row>10</xdr:row>
      <xdr:rowOff>171450</xdr:rowOff>
    </xdr:from>
    <xdr:to>
      <xdr:col>15</xdr:col>
      <xdr:colOff>449580</xdr:colOff>
      <xdr:row>25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840A6E-3D9F-3FDF-C9A3-4FCF833F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617220</xdr:colOff>
      <xdr:row>10</xdr:row>
      <xdr:rowOff>19050</xdr:rowOff>
    </xdr:from>
    <xdr:to>
      <xdr:col>15</xdr:col>
      <xdr:colOff>434340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96E817-4EAD-D56B-1584-071737265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11</xdr:row>
      <xdr:rowOff>49530</xdr:rowOff>
    </xdr:from>
    <xdr:to>
      <xdr:col>15</xdr:col>
      <xdr:colOff>266700</xdr:colOff>
      <xdr:row>26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B24834-5584-0054-31A2-BBEB83229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39F4-6EC2-4EF2-8CF1-3E05A83D505B}">
  <dimension ref="A1:BL354"/>
  <sheetViews>
    <sheetView topLeftCell="Z1" zoomScale="90" zoomScaleNormal="90" workbookViewId="0">
      <selection activeCell="AD18" sqref="AD18"/>
    </sheetView>
  </sheetViews>
  <sheetFormatPr baseColWidth="10" defaultRowHeight="14.4" x14ac:dyDescent="0.3"/>
  <cols>
    <col min="2" max="2" width="12" bestFit="1" customWidth="1"/>
    <col min="3" max="3" width="13.88671875" customWidth="1"/>
    <col min="4" max="4" width="2.44140625" customWidth="1"/>
    <col min="5" max="5" width="11.6640625" bestFit="1" customWidth="1"/>
    <col min="6" max="6" width="14.109375" customWidth="1"/>
    <col min="7" max="7" width="15" customWidth="1"/>
    <col min="8" max="9" width="11.5546875" style="192"/>
    <col min="10" max="10" width="13.21875" style="192" customWidth="1"/>
    <col min="12" max="12" width="12" bestFit="1" customWidth="1"/>
    <col min="13" max="13" width="13" customWidth="1"/>
    <col min="15" max="15" width="13" customWidth="1"/>
    <col min="16" max="16" width="14" customWidth="1"/>
    <col min="19" max="19" width="12.6640625" customWidth="1"/>
    <col min="20" max="20" width="12.77734375" bestFit="1" customWidth="1"/>
    <col min="21" max="21" width="13.5546875" customWidth="1"/>
    <col min="22" max="22" width="16.6640625" bestFit="1" customWidth="1"/>
    <col min="24" max="24" width="13.88671875" customWidth="1"/>
    <col min="25" max="25" width="13.109375" customWidth="1"/>
    <col min="27" max="27" width="14.44140625" customWidth="1"/>
    <col min="28" max="28" width="14.6640625" customWidth="1"/>
    <col min="30" max="30" width="16.33203125" customWidth="1"/>
    <col min="31" max="31" width="19.6640625" customWidth="1"/>
    <col min="32" max="32" width="13.21875" customWidth="1"/>
    <col min="33" max="33" width="18.6640625" customWidth="1"/>
    <col min="34" max="34" width="20.5546875" customWidth="1"/>
    <col min="35" max="35" width="15.5546875" customWidth="1"/>
    <col min="36" max="36" width="16.5546875" customWidth="1"/>
    <col min="37" max="37" width="16" customWidth="1"/>
    <col min="38" max="38" width="13.88671875" customWidth="1"/>
    <col min="39" max="39" width="17.6640625" customWidth="1"/>
    <col min="40" max="40" width="16.21875" customWidth="1"/>
    <col min="41" max="41" width="14.5546875" customWidth="1"/>
    <col min="42" max="43" width="16.88671875" customWidth="1"/>
    <col min="45" max="45" width="14.6640625" customWidth="1"/>
    <col min="46" max="46" width="20.33203125" customWidth="1"/>
    <col min="47" max="47" width="15.109375" customWidth="1"/>
    <col min="48" max="48" width="16.21875" customWidth="1"/>
    <col min="49" max="49" width="14.44140625" customWidth="1"/>
    <col min="51" max="51" width="16.6640625" customWidth="1"/>
    <col min="52" max="52" width="17.21875" customWidth="1"/>
    <col min="55" max="55" width="14.33203125" customWidth="1"/>
    <col min="58" max="58" width="13.109375" customWidth="1"/>
    <col min="61" max="61" width="14.77734375" customWidth="1"/>
    <col min="64" max="64" width="14" customWidth="1"/>
  </cols>
  <sheetData>
    <row r="1" spans="1:64" ht="15" customHeight="1" thickBot="1" x14ac:dyDescent="0.35">
      <c r="A1" s="509" t="s">
        <v>0</v>
      </c>
      <c r="B1" s="510"/>
      <c r="C1" s="511"/>
      <c r="D1" s="175"/>
      <c r="E1" s="509" t="s">
        <v>4</v>
      </c>
      <c r="F1" s="510"/>
      <c r="G1" s="511"/>
      <c r="H1" s="512" t="s">
        <v>5</v>
      </c>
      <c r="I1" s="513"/>
      <c r="J1" s="514"/>
      <c r="K1" s="509" t="s">
        <v>6</v>
      </c>
      <c r="L1" s="510"/>
      <c r="M1" s="511"/>
      <c r="N1" s="515" t="s">
        <v>20</v>
      </c>
      <c r="O1" s="516"/>
      <c r="P1" s="517"/>
      <c r="Q1" s="518" t="s">
        <v>7</v>
      </c>
      <c r="R1" s="519"/>
      <c r="S1" s="520"/>
      <c r="T1" s="521" t="s">
        <v>21</v>
      </c>
      <c r="U1" s="522"/>
      <c r="V1" s="523"/>
      <c r="W1" s="524" t="s">
        <v>8</v>
      </c>
      <c r="X1" s="525"/>
      <c r="Y1" s="526"/>
      <c r="Z1" s="524" t="s">
        <v>9</v>
      </c>
      <c r="AA1" s="525"/>
      <c r="AB1" s="526"/>
      <c r="AC1" s="524" t="s">
        <v>10</v>
      </c>
      <c r="AD1" s="525"/>
      <c r="AE1" s="526"/>
      <c r="AF1" s="524" t="s">
        <v>11</v>
      </c>
      <c r="AG1" s="525"/>
      <c r="AH1" s="526"/>
      <c r="AI1" s="506" t="s">
        <v>12</v>
      </c>
      <c r="AJ1" s="507"/>
      <c r="AK1" s="508"/>
      <c r="AL1" s="500" t="s">
        <v>13</v>
      </c>
      <c r="AM1" s="501"/>
      <c r="AN1" s="502"/>
      <c r="AO1" s="495" t="s">
        <v>14</v>
      </c>
      <c r="AP1" s="498"/>
      <c r="AQ1" s="499"/>
      <c r="AR1" s="503" t="s">
        <v>15</v>
      </c>
      <c r="AS1" s="504"/>
      <c r="AT1" s="505"/>
      <c r="AU1" s="503" t="s">
        <v>16</v>
      </c>
      <c r="AV1" s="504"/>
      <c r="AW1" s="505"/>
      <c r="AX1" s="495" t="s">
        <v>17</v>
      </c>
      <c r="AY1" s="498"/>
      <c r="AZ1" s="499"/>
      <c r="BA1" s="492" t="s">
        <v>18</v>
      </c>
      <c r="BB1" s="493"/>
      <c r="BC1" s="494"/>
      <c r="BD1" s="492" t="s">
        <v>19</v>
      </c>
      <c r="BE1" s="493"/>
      <c r="BF1" s="494"/>
      <c r="BG1" s="495" t="s">
        <v>24</v>
      </c>
      <c r="BH1" s="496"/>
      <c r="BI1" s="497"/>
      <c r="BJ1" s="495" t="s">
        <v>0</v>
      </c>
      <c r="BK1" s="498"/>
      <c r="BL1" s="499"/>
    </row>
    <row r="2" spans="1:64" ht="43.8" customHeight="1" thickBot="1" x14ac:dyDescent="0.35">
      <c r="A2" s="166" t="s">
        <v>1</v>
      </c>
      <c r="B2" s="166" t="s">
        <v>2</v>
      </c>
      <c r="C2" s="166" t="s">
        <v>3</v>
      </c>
      <c r="D2" s="166"/>
      <c r="E2" s="8" t="s">
        <v>1</v>
      </c>
      <c r="F2" s="8" t="s">
        <v>2</v>
      </c>
      <c r="G2" s="8" t="s">
        <v>3</v>
      </c>
      <c r="H2" s="186" t="s">
        <v>1</v>
      </c>
      <c r="I2" s="186" t="s">
        <v>2</v>
      </c>
      <c r="J2" s="186" t="s">
        <v>3</v>
      </c>
      <c r="K2" s="184" t="s">
        <v>1</v>
      </c>
      <c r="L2" s="184" t="s">
        <v>2</v>
      </c>
      <c r="M2" s="8" t="s">
        <v>3</v>
      </c>
      <c r="N2" s="18" t="s">
        <v>1</v>
      </c>
      <c r="O2" s="19" t="s">
        <v>2</v>
      </c>
      <c r="P2" s="19" t="s">
        <v>3</v>
      </c>
      <c r="Q2" s="18" t="s">
        <v>1</v>
      </c>
      <c r="R2" s="19" t="s">
        <v>2</v>
      </c>
      <c r="S2" s="19" t="s">
        <v>3</v>
      </c>
      <c r="T2" s="29" t="s">
        <v>1</v>
      </c>
      <c r="U2" s="8" t="s">
        <v>2</v>
      </c>
      <c r="V2" s="29" t="s">
        <v>3</v>
      </c>
      <c r="W2" s="210" t="s">
        <v>1</v>
      </c>
      <c r="X2" s="211" t="s">
        <v>2</v>
      </c>
      <c r="Y2" s="32" t="s">
        <v>3</v>
      </c>
      <c r="Z2" s="210" t="s">
        <v>1</v>
      </c>
      <c r="AA2" s="211" t="s">
        <v>2</v>
      </c>
      <c r="AB2" s="32" t="s">
        <v>3</v>
      </c>
      <c r="AC2" s="210" t="s">
        <v>1</v>
      </c>
      <c r="AD2" s="211" t="s">
        <v>2</v>
      </c>
      <c r="AE2" s="32" t="s">
        <v>3</v>
      </c>
      <c r="AF2" s="210" t="s">
        <v>1</v>
      </c>
      <c r="AG2" s="211" t="s">
        <v>2</v>
      </c>
      <c r="AH2" s="32" t="s">
        <v>3</v>
      </c>
      <c r="AI2" s="210" t="s">
        <v>1</v>
      </c>
      <c r="AJ2" s="211" t="s">
        <v>2</v>
      </c>
      <c r="AK2" s="32" t="s">
        <v>3</v>
      </c>
      <c r="AL2" s="210" t="s">
        <v>1</v>
      </c>
      <c r="AM2" s="211" t="s">
        <v>2</v>
      </c>
      <c r="AN2" s="32" t="s">
        <v>3</v>
      </c>
      <c r="AO2" s="7" t="s">
        <v>1</v>
      </c>
      <c r="AP2" s="7" t="s">
        <v>2</v>
      </c>
      <c r="AQ2" s="3" t="s">
        <v>3</v>
      </c>
      <c r="AR2" s="3" t="s">
        <v>1</v>
      </c>
      <c r="AS2" s="3" t="s">
        <v>2</v>
      </c>
      <c r="AT2" s="3" t="s">
        <v>3</v>
      </c>
      <c r="AU2" s="3" t="s">
        <v>1</v>
      </c>
      <c r="AV2" s="3" t="s">
        <v>2</v>
      </c>
      <c r="AW2" s="3" t="s">
        <v>3</v>
      </c>
      <c r="AX2" s="184" t="s">
        <v>1</v>
      </c>
      <c r="AY2" s="184" t="s">
        <v>2</v>
      </c>
      <c r="AZ2" s="8" t="s">
        <v>3</v>
      </c>
      <c r="BA2" s="7" t="s">
        <v>1</v>
      </c>
      <c r="BB2" s="7" t="s">
        <v>2</v>
      </c>
      <c r="BC2" s="7" t="s">
        <v>3</v>
      </c>
      <c r="BD2" s="7" t="s">
        <v>1</v>
      </c>
      <c r="BE2" s="7" t="s">
        <v>2</v>
      </c>
      <c r="BF2" s="3" t="s">
        <v>3</v>
      </c>
      <c r="BG2" s="7" t="s">
        <v>1</v>
      </c>
      <c r="BH2" s="7" t="s">
        <v>2</v>
      </c>
      <c r="BI2" s="3" t="s">
        <v>3</v>
      </c>
      <c r="BJ2" s="3" t="s">
        <v>1</v>
      </c>
      <c r="BK2" s="3" t="s">
        <v>2</v>
      </c>
      <c r="BL2" s="3" t="s">
        <v>3</v>
      </c>
    </row>
    <row r="3" spans="1:64" ht="15" thickBot="1" x14ac:dyDescent="0.35">
      <c r="A3" s="167">
        <v>40224</v>
      </c>
      <c r="B3" s="140">
        <v>34.450000000000003</v>
      </c>
      <c r="C3" s="140">
        <v>140.55000000000001</v>
      </c>
      <c r="D3" s="140"/>
      <c r="E3" s="324">
        <v>40254</v>
      </c>
      <c r="F3" s="329">
        <v>10.27436</v>
      </c>
      <c r="G3" s="140">
        <v>187.84</v>
      </c>
      <c r="H3" s="187">
        <v>41032</v>
      </c>
      <c r="I3" s="188">
        <v>13.72</v>
      </c>
      <c r="J3" s="189">
        <v>209.28</v>
      </c>
      <c r="K3" s="179">
        <v>40296</v>
      </c>
      <c r="L3" s="271">
        <v>8.11</v>
      </c>
      <c r="M3" s="185">
        <v>192.33</v>
      </c>
      <c r="N3" s="193">
        <v>40224</v>
      </c>
      <c r="O3" s="194">
        <v>72.08</v>
      </c>
      <c r="P3" s="21">
        <v>180.92</v>
      </c>
      <c r="Q3" s="198">
        <v>40190</v>
      </c>
      <c r="R3" s="110">
        <v>4.59</v>
      </c>
      <c r="S3" s="26">
        <v>165</v>
      </c>
      <c r="T3" s="202">
        <v>40190</v>
      </c>
      <c r="U3" s="4">
        <v>4.59</v>
      </c>
      <c r="V3" s="208">
        <v>165.55</v>
      </c>
      <c r="W3" s="206">
        <v>40184</v>
      </c>
      <c r="X3" s="114">
        <v>37.630000000000003</v>
      </c>
      <c r="Y3" s="221">
        <v>120.87</v>
      </c>
      <c r="Z3" s="130">
        <v>40227</v>
      </c>
      <c r="AA3" s="96">
        <v>2.89</v>
      </c>
      <c r="AB3" s="221">
        <v>146.32</v>
      </c>
      <c r="AC3" s="228">
        <v>40214</v>
      </c>
      <c r="AD3" s="99">
        <v>43.56</v>
      </c>
      <c r="AE3" s="233">
        <v>113.03</v>
      </c>
      <c r="AF3" s="130">
        <v>40227</v>
      </c>
      <c r="AG3" s="96">
        <v>6.94</v>
      </c>
      <c r="AH3" s="221">
        <v>137.36000000000001</v>
      </c>
      <c r="AI3" s="95" t="s">
        <v>1</v>
      </c>
      <c r="AJ3" s="95" t="s">
        <v>2</v>
      </c>
      <c r="AK3" s="221">
        <v>118.21</v>
      </c>
      <c r="AL3" s="206">
        <v>40190</v>
      </c>
      <c r="AM3" s="114">
        <v>59.55</v>
      </c>
      <c r="AN3" s="233">
        <v>127.37</v>
      </c>
      <c r="AO3" s="206">
        <v>40214</v>
      </c>
      <c r="AP3" s="99">
        <v>36.1</v>
      </c>
      <c r="AQ3" s="185">
        <v>134.38999999999999</v>
      </c>
      <c r="AR3" s="9">
        <v>37617</v>
      </c>
      <c r="AS3" s="10">
        <v>23.73</v>
      </c>
      <c r="AT3" s="10">
        <v>140.91999999999999</v>
      </c>
      <c r="AU3" s="9">
        <v>37155</v>
      </c>
      <c r="AV3" s="10">
        <v>71.08</v>
      </c>
      <c r="AW3" s="257">
        <v>90.16</v>
      </c>
      <c r="AX3" s="239">
        <v>40214</v>
      </c>
      <c r="AY3" s="125">
        <v>61.48</v>
      </c>
      <c r="AZ3" s="185">
        <v>102.62</v>
      </c>
      <c r="BA3" s="9">
        <v>38364</v>
      </c>
      <c r="BB3" s="10">
        <v>10.8</v>
      </c>
      <c r="BC3" s="257">
        <v>130.58000000000001</v>
      </c>
      <c r="BD3" s="239">
        <v>40190</v>
      </c>
      <c r="BE3" s="125">
        <v>66.239999999999995</v>
      </c>
      <c r="BF3" s="269">
        <v>101.46</v>
      </c>
      <c r="BG3" s="172">
        <v>40214</v>
      </c>
      <c r="BH3" s="99">
        <v>34.17</v>
      </c>
      <c r="BI3" s="185">
        <v>136.83000000000001</v>
      </c>
      <c r="BJ3" s="5">
        <v>40224</v>
      </c>
      <c r="BK3" s="6">
        <v>34.450000000000003</v>
      </c>
      <c r="BL3" s="6">
        <v>140.55000000000001</v>
      </c>
    </row>
    <row r="4" spans="1:64" ht="15" thickBot="1" x14ac:dyDescent="0.35">
      <c r="A4" s="167">
        <v>40235</v>
      </c>
      <c r="B4" s="140">
        <v>34.979999999999997</v>
      </c>
      <c r="C4" s="140">
        <v>140.02000000000001</v>
      </c>
      <c r="D4" s="140"/>
      <c r="E4" s="177">
        <v>40377</v>
      </c>
      <c r="F4" s="178">
        <v>10.220000000000001</v>
      </c>
      <c r="G4" s="140">
        <v>187.66</v>
      </c>
      <c r="H4" s="187">
        <v>41401</v>
      </c>
      <c r="I4" s="188">
        <v>17.690000000000001</v>
      </c>
      <c r="J4" s="189">
        <v>205.31</v>
      </c>
      <c r="K4" s="179">
        <v>40433</v>
      </c>
      <c r="L4" s="271">
        <v>8.34</v>
      </c>
      <c r="M4" s="185">
        <v>189.52</v>
      </c>
      <c r="N4" s="193">
        <v>40235</v>
      </c>
      <c r="O4" s="194">
        <v>72.5</v>
      </c>
      <c r="P4" s="21">
        <v>180.5</v>
      </c>
      <c r="Q4" s="198">
        <v>40238</v>
      </c>
      <c r="R4" s="110">
        <v>6.4</v>
      </c>
      <c r="S4" s="26">
        <v>164.97</v>
      </c>
      <c r="T4" s="202">
        <v>40238</v>
      </c>
      <c r="U4" s="4">
        <v>6.96</v>
      </c>
      <c r="V4" s="208">
        <v>165.45</v>
      </c>
      <c r="W4" s="130">
        <v>40313</v>
      </c>
      <c r="X4" s="96">
        <v>36.869999999999997</v>
      </c>
      <c r="Y4" s="222">
        <v>121.25</v>
      </c>
      <c r="Z4" s="130">
        <v>40372</v>
      </c>
      <c r="AA4" s="96">
        <v>2.93</v>
      </c>
      <c r="AB4" s="222">
        <v>145.74</v>
      </c>
      <c r="AC4" s="228">
        <v>40235</v>
      </c>
      <c r="AD4" s="99">
        <v>44.35</v>
      </c>
      <c r="AE4" s="234">
        <v>114.89</v>
      </c>
      <c r="AF4" s="130">
        <v>40372</v>
      </c>
      <c r="AG4" s="96">
        <v>7.3</v>
      </c>
      <c r="AH4" s="222">
        <v>137.09</v>
      </c>
      <c r="AI4" s="206">
        <v>40190</v>
      </c>
      <c r="AJ4" s="114">
        <v>89.7</v>
      </c>
      <c r="AK4" s="222">
        <v>118.21</v>
      </c>
      <c r="AL4" s="206">
        <v>40238</v>
      </c>
      <c r="AM4" s="114">
        <v>60.06</v>
      </c>
      <c r="AN4" s="234">
        <v>127.48</v>
      </c>
      <c r="AO4" s="206">
        <v>40235</v>
      </c>
      <c r="AP4" s="99">
        <v>36.299999999999997</v>
      </c>
      <c r="AQ4" s="185">
        <v>133.81</v>
      </c>
      <c r="AR4" s="9">
        <v>37635</v>
      </c>
      <c r="AS4" s="10">
        <v>24.36</v>
      </c>
      <c r="AT4" s="10">
        <v>140.29</v>
      </c>
      <c r="AU4" s="9">
        <v>37169</v>
      </c>
      <c r="AV4" s="10">
        <v>71.040000000000006</v>
      </c>
      <c r="AW4" s="257">
        <v>90.2</v>
      </c>
      <c r="AX4" s="239">
        <v>40235</v>
      </c>
      <c r="AY4" s="125">
        <v>62.56</v>
      </c>
      <c r="AZ4" s="185">
        <v>102.28</v>
      </c>
      <c r="BA4" s="9">
        <v>38378</v>
      </c>
      <c r="BB4" s="10">
        <v>10.94</v>
      </c>
      <c r="BC4" s="257">
        <v>130.44</v>
      </c>
      <c r="BD4" s="239">
        <v>40235</v>
      </c>
      <c r="BE4" s="125">
        <v>66.900000000000006</v>
      </c>
      <c r="BF4" s="269">
        <v>101.46</v>
      </c>
      <c r="BG4" s="172">
        <v>40224</v>
      </c>
      <c r="BH4" s="99">
        <v>33.81</v>
      </c>
      <c r="BI4" s="185">
        <v>137.19</v>
      </c>
      <c r="BJ4" s="5">
        <v>40235</v>
      </c>
      <c r="BK4" s="6">
        <v>34.979999999999997</v>
      </c>
      <c r="BL4" s="6">
        <v>140.02000000000001</v>
      </c>
    </row>
    <row r="5" spans="1:64" ht="15" thickBot="1" x14ac:dyDescent="0.35">
      <c r="A5" s="167">
        <v>40287</v>
      </c>
      <c r="B5" s="140">
        <v>33.85</v>
      </c>
      <c r="C5" s="140">
        <v>141.15</v>
      </c>
      <c r="D5" s="140"/>
      <c r="E5" s="324">
        <v>40531</v>
      </c>
      <c r="F5" s="329">
        <v>10.23</v>
      </c>
      <c r="G5" s="140">
        <v>188.58</v>
      </c>
      <c r="H5" s="187">
        <v>41506</v>
      </c>
      <c r="I5" s="188">
        <v>16.28</v>
      </c>
      <c r="J5" s="189">
        <v>206.72</v>
      </c>
      <c r="K5" s="181">
        <v>40636</v>
      </c>
      <c r="L5" s="162">
        <v>8.5</v>
      </c>
      <c r="M5" s="185">
        <v>188.17</v>
      </c>
      <c r="N5" s="193">
        <v>40242</v>
      </c>
      <c r="O5" s="194">
        <v>72.5</v>
      </c>
      <c r="P5" s="21">
        <v>180.5</v>
      </c>
      <c r="Q5" s="198">
        <v>40287</v>
      </c>
      <c r="R5" s="110">
        <v>5.76</v>
      </c>
      <c r="S5" s="26">
        <v>165.02</v>
      </c>
      <c r="T5" s="202">
        <v>40287</v>
      </c>
      <c r="U5" s="4">
        <v>5.54</v>
      </c>
      <c r="V5" s="208">
        <v>165.39</v>
      </c>
      <c r="W5" s="206">
        <v>40494</v>
      </c>
      <c r="X5" s="98">
        <v>36.21</v>
      </c>
      <c r="Y5" s="222">
        <v>121.15</v>
      </c>
      <c r="Z5" s="130">
        <v>40540</v>
      </c>
      <c r="AA5" s="96">
        <v>2.96</v>
      </c>
      <c r="AB5" s="222">
        <v>146.22</v>
      </c>
      <c r="AC5" s="228">
        <v>40287</v>
      </c>
      <c r="AD5" s="99">
        <v>43.86</v>
      </c>
      <c r="AE5" s="234">
        <v>113.18</v>
      </c>
      <c r="AF5" s="130">
        <v>40540</v>
      </c>
      <c r="AG5" s="96">
        <v>7.49</v>
      </c>
      <c r="AH5" s="222">
        <v>136.82</v>
      </c>
      <c r="AI5" s="206">
        <v>40242</v>
      </c>
      <c r="AJ5" s="114">
        <v>91.01</v>
      </c>
      <c r="AK5" s="222">
        <v>118.41</v>
      </c>
      <c r="AL5" s="206">
        <v>40242</v>
      </c>
      <c r="AM5" s="114">
        <v>61.16</v>
      </c>
      <c r="AN5" s="234">
        <v>127.5</v>
      </c>
      <c r="AO5" s="206">
        <v>40287</v>
      </c>
      <c r="AP5" s="99">
        <v>36.549999999999997</v>
      </c>
      <c r="AQ5" s="185">
        <v>134.28</v>
      </c>
      <c r="AR5" s="9">
        <v>37642</v>
      </c>
      <c r="AS5" s="10">
        <v>23.03</v>
      </c>
      <c r="AT5" s="10">
        <v>141.62</v>
      </c>
      <c r="AU5" s="9">
        <v>37180</v>
      </c>
      <c r="AV5" s="10">
        <v>71.11</v>
      </c>
      <c r="AW5" s="257">
        <v>90.13</v>
      </c>
      <c r="AX5" s="239">
        <v>40287</v>
      </c>
      <c r="AY5" s="125">
        <v>62.5</v>
      </c>
      <c r="AZ5" s="185">
        <v>102.3</v>
      </c>
      <c r="BA5" s="9">
        <v>38442</v>
      </c>
      <c r="BB5" s="10">
        <v>11.16</v>
      </c>
      <c r="BC5" s="257">
        <v>130.22</v>
      </c>
      <c r="BD5" s="239">
        <v>40287</v>
      </c>
      <c r="BE5" s="125">
        <v>66.98</v>
      </c>
      <c r="BF5" s="269">
        <v>101.46</v>
      </c>
      <c r="BG5" s="172">
        <v>40235</v>
      </c>
      <c r="BH5" s="99">
        <v>34.200000000000003</v>
      </c>
      <c r="BI5" s="185">
        <v>136.80000000000001</v>
      </c>
      <c r="BJ5" s="5">
        <v>40287</v>
      </c>
      <c r="BK5" s="6">
        <v>33.85</v>
      </c>
      <c r="BL5" s="6">
        <v>141.15</v>
      </c>
    </row>
    <row r="6" spans="1:64" ht="15" thickBot="1" x14ac:dyDescent="0.35">
      <c r="A6" s="167">
        <v>40305</v>
      </c>
      <c r="B6" s="140">
        <v>34.869999999999997</v>
      </c>
      <c r="C6" s="140">
        <v>140.13</v>
      </c>
      <c r="D6" s="140"/>
      <c r="E6" s="177">
        <v>40607</v>
      </c>
      <c r="F6" s="178">
        <v>10.231999999999999</v>
      </c>
      <c r="G6" s="140">
        <v>188.45</v>
      </c>
      <c r="H6" s="187">
        <v>41556</v>
      </c>
      <c r="I6" s="188">
        <v>16.850000000000001</v>
      </c>
      <c r="J6" s="189">
        <v>206.15</v>
      </c>
      <c r="K6" s="179">
        <v>40848</v>
      </c>
      <c r="L6" s="271">
        <v>8.7899999999999991</v>
      </c>
      <c r="M6" s="185">
        <v>190.87</v>
      </c>
      <c r="N6" s="193">
        <v>40287</v>
      </c>
      <c r="O6" s="194">
        <v>71.98</v>
      </c>
      <c r="P6" s="21">
        <v>181.02</v>
      </c>
      <c r="Q6" s="198">
        <v>40331</v>
      </c>
      <c r="R6" s="110">
        <v>5.71</v>
      </c>
      <c r="S6" s="26">
        <v>164.9</v>
      </c>
      <c r="T6" s="202">
        <v>40331</v>
      </c>
      <c r="U6" s="4">
        <v>5.61</v>
      </c>
      <c r="V6" s="208">
        <v>165.59</v>
      </c>
      <c r="W6" s="130">
        <v>40506</v>
      </c>
      <c r="X6" s="96">
        <v>37.25</v>
      </c>
      <c r="Y6" s="222">
        <v>121.36</v>
      </c>
      <c r="Z6" s="130">
        <v>40640</v>
      </c>
      <c r="AA6" s="96">
        <v>3.13</v>
      </c>
      <c r="AB6" s="222">
        <v>145.79</v>
      </c>
      <c r="AC6" s="228">
        <v>40305</v>
      </c>
      <c r="AD6" s="99">
        <v>43.57</v>
      </c>
      <c r="AE6" s="234">
        <v>114.46</v>
      </c>
      <c r="AF6" s="228">
        <v>40575</v>
      </c>
      <c r="AG6" s="99">
        <v>7.6</v>
      </c>
      <c r="AH6" s="222">
        <v>137.08000000000001</v>
      </c>
      <c r="AI6" s="206">
        <v>40244</v>
      </c>
      <c r="AJ6" s="114">
        <v>91.02</v>
      </c>
      <c r="AK6" s="222">
        <v>118.32</v>
      </c>
      <c r="AL6" s="206">
        <v>40243</v>
      </c>
      <c r="AM6" s="114">
        <v>61.14</v>
      </c>
      <c r="AN6" s="234">
        <v>127.47</v>
      </c>
      <c r="AO6" s="206">
        <v>40305</v>
      </c>
      <c r="AP6" s="99">
        <v>36.36</v>
      </c>
      <c r="AQ6" s="185">
        <v>134.37</v>
      </c>
      <c r="AR6" s="9">
        <v>37720</v>
      </c>
      <c r="AS6" s="10">
        <v>24.01</v>
      </c>
      <c r="AT6" s="10">
        <v>140.63999999999999</v>
      </c>
      <c r="AU6" s="9">
        <v>37232</v>
      </c>
      <c r="AV6" s="10">
        <v>71.319999999999993</v>
      </c>
      <c r="AW6" s="257">
        <v>89.92</v>
      </c>
      <c r="AX6" s="239">
        <v>40305</v>
      </c>
      <c r="AY6" s="125">
        <v>62.34</v>
      </c>
      <c r="AZ6" s="185">
        <v>102.16</v>
      </c>
      <c r="BA6" s="9">
        <v>38446</v>
      </c>
      <c r="BB6" s="10">
        <v>11.03</v>
      </c>
      <c r="BC6" s="257">
        <v>130.35</v>
      </c>
      <c r="BD6" s="239">
        <v>40305</v>
      </c>
      <c r="BE6" s="125">
        <v>66.81</v>
      </c>
      <c r="BF6" s="269">
        <v>101.44</v>
      </c>
      <c r="BG6" s="172">
        <v>40242</v>
      </c>
      <c r="BH6" s="99">
        <v>34.799999999999997</v>
      </c>
      <c r="BI6" s="185">
        <v>136.19999999999999</v>
      </c>
      <c r="BJ6" s="5">
        <v>40305</v>
      </c>
      <c r="BK6" s="6">
        <v>34.869999999999997</v>
      </c>
      <c r="BL6" s="6">
        <v>140.13</v>
      </c>
    </row>
    <row r="7" spans="1:64" ht="15" thickBot="1" x14ac:dyDescent="0.35">
      <c r="A7" s="167">
        <v>40331</v>
      </c>
      <c r="B7" s="140">
        <v>34.07</v>
      </c>
      <c r="C7" s="140">
        <v>140.93</v>
      </c>
      <c r="D7" s="140"/>
      <c r="E7" s="324">
        <v>40766</v>
      </c>
      <c r="F7" s="329">
        <v>10.199999999999999</v>
      </c>
      <c r="G7" s="140">
        <v>188.54</v>
      </c>
      <c r="H7" s="187">
        <v>41617</v>
      </c>
      <c r="I7" s="188">
        <v>15.25</v>
      </c>
      <c r="J7" s="189">
        <v>207.75</v>
      </c>
      <c r="K7" s="181">
        <v>40953</v>
      </c>
      <c r="L7" s="162">
        <v>8.6300000000000008</v>
      </c>
      <c r="M7" s="185">
        <v>189.4</v>
      </c>
      <c r="N7" s="193">
        <v>40331</v>
      </c>
      <c r="O7" s="194">
        <v>71.78</v>
      </c>
      <c r="P7" s="21">
        <v>181.22</v>
      </c>
      <c r="Q7" s="198">
        <v>40393</v>
      </c>
      <c r="R7" s="110">
        <v>5.65</v>
      </c>
      <c r="S7" s="26">
        <v>164.94</v>
      </c>
      <c r="T7" s="202">
        <v>40393</v>
      </c>
      <c r="U7" s="4">
        <v>5.3</v>
      </c>
      <c r="V7" s="208">
        <v>165.4</v>
      </c>
      <c r="W7" s="206">
        <v>40660</v>
      </c>
      <c r="X7" s="98">
        <v>36.71</v>
      </c>
      <c r="Y7" s="222">
        <v>121.03</v>
      </c>
      <c r="Z7" s="130">
        <v>40810</v>
      </c>
      <c r="AA7" s="96">
        <v>2.94</v>
      </c>
      <c r="AB7" s="222">
        <v>145.79</v>
      </c>
      <c r="AC7" s="228">
        <v>40331</v>
      </c>
      <c r="AD7" s="99">
        <v>43.63</v>
      </c>
      <c r="AE7" s="234">
        <v>114.15</v>
      </c>
      <c r="AF7" s="228">
        <v>40679</v>
      </c>
      <c r="AG7" s="99">
        <v>7.65</v>
      </c>
      <c r="AH7" s="222">
        <v>136.85</v>
      </c>
      <c r="AI7" s="206">
        <v>40245</v>
      </c>
      <c r="AJ7" s="114">
        <v>91.02</v>
      </c>
      <c r="AK7" s="222">
        <v>118.4</v>
      </c>
      <c r="AL7" s="206">
        <v>40244</v>
      </c>
      <c r="AM7" s="114">
        <v>61.16</v>
      </c>
      <c r="AN7" s="234">
        <v>127.38</v>
      </c>
      <c r="AO7" s="206">
        <v>40331</v>
      </c>
      <c r="AP7" s="99">
        <v>36.450000000000003</v>
      </c>
      <c r="AQ7" s="185">
        <v>134.07</v>
      </c>
      <c r="AR7" s="9">
        <v>37726</v>
      </c>
      <c r="AS7" s="10">
        <v>24.16</v>
      </c>
      <c r="AT7" s="10">
        <v>140.49</v>
      </c>
      <c r="AU7" s="9">
        <v>37244</v>
      </c>
      <c r="AV7" s="10">
        <v>72.27</v>
      </c>
      <c r="AW7" s="257">
        <v>88.97</v>
      </c>
      <c r="AX7" s="239">
        <v>40331</v>
      </c>
      <c r="AY7" s="125">
        <v>62.6</v>
      </c>
      <c r="AZ7" s="185">
        <v>102.35</v>
      </c>
      <c r="BA7" s="9">
        <v>38453</v>
      </c>
      <c r="BB7" s="10">
        <v>11.06</v>
      </c>
      <c r="BC7" s="257">
        <v>130.32</v>
      </c>
      <c r="BD7" s="239">
        <v>40331</v>
      </c>
      <c r="BE7" s="125">
        <v>66.87</v>
      </c>
      <c r="BF7" s="269">
        <v>101.34</v>
      </c>
      <c r="BG7" s="172">
        <v>40287</v>
      </c>
      <c r="BH7" s="99">
        <v>33.79</v>
      </c>
      <c r="BI7" s="185">
        <v>137.21</v>
      </c>
      <c r="BJ7" s="5">
        <v>40331</v>
      </c>
      <c r="BK7" s="6">
        <v>34.07</v>
      </c>
      <c r="BL7" s="6">
        <v>140.93</v>
      </c>
    </row>
    <row r="8" spans="1:64" ht="15" thickBot="1" x14ac:dyDescent="0.35">
      <c r="A8" s="167">
        <v>40417</v>
      </c>
      <c r="B8" s="140">
        <v>34.549999999999997</v>
      </c>
      <c r="C8" s="140">
        <v>140.44999999999999</v>
      </c>
      <c r="D8" s="140"/>
      <c r="E8" s="324">
        <v>40985</v>
      </c>
      <c r="F8" s="329">
        <v>10.19</v>
      </c>
      <c r="G8" s="140">
        <v>188.11</v>
      </c>
      <c r="H8" s="187">
        <v>41683</v>
      </c>
      <c r="I8" s="188">
        <v>16</v>
      </c>
      <c r="J8" s="189">
        <v>185</v>
      </c>
      <c r="K8" s="179">
        <v>41032</v>
      </c>
      <c r="L8" s="99">
        <v>8.67</v>
      </c>
      <c r="M8" s="185">
        <v>190.62</v>
      </c>
      <c r="N8" s="193">
        <v>40312</v>
      </c>
      <c r="O8" s="194">
        <v>71.760000000000005</v>
      </c>
      <c r="P8" s="21">
        <v>181.24</v>
      </c>
      <c r="Q8" s="198">
        <v>40498</v>
      </c>
      <c r="R8" s="110">
        <v>5.18</v>
      </c>
      <c r="S8" s="26">
        <v>164.96</v>
      </c>
      <c r="T8" s="202">
        <v>40498</v>
      </c>
      <c r="U8" s="4">
        <v>4.66</v>
      </c>
      <c r="V8" s="208">
        <v>165.37</v>
      </c>
      <c r="W8" s="130">
        <v>40857</v>
      </c>
      <c r="X8" s="96">
        <v>36.909999999999997</v>
      </c>
      <c r="Y8" s="222">
        <v>120.94</v>
      </c>
      <c r="Z8" s="130">
        <v>40899</v>
      </c>
      <c r="AA8" s="96">
        <v>3.24</v>
      </c>
      <c r="AB8" s="222">
        <v>145.76</v>
      </c>
      <c r="AC8" s="228">
        <v>40393</v>
      </c>
      <c r="AD8" s="99">
        <v>44.25</v>
      </c>
      <c r="AE8" s="234">
        <v>115.03</v>
      </c>
      <c r="AF8" s="228">
        <v>40745</v>
      </c>
      <c r="AG8" s="99">
        <v>7.69</v>
      </c>
      <c r="AH8" s="222">
        <v>136.78</v>
      </c>
      <c r="AI8" s="206">
        <v>40253</v>
      </c>
      <c r="AJ8" s="114">
        <v>91.06</v>
      </c>
      <c r="AK8" s="222">
        <v>118.22</v>
      </c>
      <c r="AL8" s="206">
        <v>40245</v>
      </c>
      <c r="AM8" s="114">
        <v>61.16</v>
      </c>
      <c r="AN8" s="234">
        <v>127.49</v>
      </c>
      <c r="AO8" s="206">
        <v>40394</v>
      </c>
      <c r="AP8" s="99">
        <v>36</v>
      </c>
      <c r="AQ8" s="185">
        <v>134.29</v>
      </c>
      <c r="AR8" s="9">
        <v>37732</v>
      </c>
      <c r="AS8" s="10">
        <v>24.01</v>
      </c>
      <c r="AT8" s="10">
        <v>140.63999999999999</v>
      </c>
      <c r="AU8" s="9">
        <v>37246</v>
      </c>
      <c r="AV8" s="10">
        <v>72.27</v>
      </c>
      <c r="AW8" s="257">
        <v>88.97</v>
      </c>
      <c r="AX8" s="239">
        <v>40393</v>
      </c>
      <c r="AY8" s="125">
        <v>63.08</v>
      </c>
      <c r="AZ8" s="185">
        <v>102.2</v>
      </c>
      <c r="BA8" s="9">
        <v>38462</v>
      </c>
      <c r="BB8" s="10">
        <v>11.28</v>
      </c>
      <c r="BC8" s="257">
        <v>130.1</v>
      </c>
      <c r="BD8" s="239">
        <v>40393</v>
      </c>
      <c r="BE8" s="125">
        <v>67.12</v>
      </c>
      <c r="BF8" s="269">
        <v>101.54</v>
      </c>
      <c r="BG8" s="172">
        <v>40351</v>
      </c>
      <c r="BH8" s="99">
        <v>33.75</v>
      </c>
      <c r="BI8" s="185">
        <v>137.25</v>
      </c>
      <c r="BJ8" s="5">
        <v>40417</v>
      </c>
      <c r="BK8" s="6">
        <v>34.549999999999997</v>
      </c>
      <c r="BL8" s="6">
        <v>140.44999999999999</v>
      </c>
    </row>
    <row r="9" spans="1:64" ht="15" thickBot="1" x14ac:dyDescent="0.35">
      <c r="A9" s="167">
        <v>40575</v>
      </c>
      <c r="B9" s="140">
        <v>34.65</v>
      </c>
      <c r="C9" s="140">
        <v>140.35</v>
      </c>
      <c r="D9" s="140"/>
      <c r="E9" s="324">
        <v>41113</v>
      </c>
      <c r="F9" s="329">
        <v>10.11</v>
      </c>
      <c r="G9" s="140">
        <v>188.17</v>
      </c>
      <c r="H9" s="187">
        <v>41764</v>
      </c>
      <c r="I9" s="188">
        <v>15.26</v>
      </c>
      <c r="J9" s="189">
        <v>185.74</v>
      </c>
      <c r="K9" s="179">
        <v>41506</v>
      </c>
      <c r="L9" s="99">
        <v>11.48</v>
      </c>
      <c r="M9" s="185">
        <v>191.43</v>
      </c>
      <c r="N9" s="193">
        <v>40393</v>
      </c>
      <c r="O9" s="194">
        <v>71.900000000000006</v>
      </c>
      <c r="P9" s="21">
        <v>181.1</v>
      </c>
      <c r="Q9" s="198">
        <v>40777</v>
      </c>
      <c r="R9" s="110">
        <v>4.7699999999999996</v>
      </c>
      <c r="S9" s="26">
        <v>165.55</v>
      </c>
      <c r="T9" s="202">
        <v>40777</v>
      </c>
      <c r="U9" s="4">
        <v>4.8499999999999996</v>
      </c>
      <c r="V9" s="208">
        <v>165.14</v>
      </c>
      <c r="W9" s="206">
        <v>40934</v>
      </c>
      <c r="X9" s="114">
        <v>36.729999999999997</v>
      </c>
      <c r="Y9" s="222">
        <v>121.1</v>
      </c>
      <c r="Z9" s="206">
        <v>40934</v>
      </c>
      <c r="AA9" s="114">
        <v>3.11</v>
      </c>
      <c r="AB9" s="222">
        <v>146.13</v>
      </c>
      <c r="AC9" s="228">
        <v>40417</v>
      </c>
      <c r="AD9" s="99">
        <v>43.93</v>
      </c>
      <c r="AE9" s="234">
        <v>113.55</v>
      </c>
      <c r="AF9" s="228">
        <v>40777</v>
      </c>
      <c r="AG9" s="99">
        <v>7.65</v>
      </c>
      <c r="AH9" s="222">
        <v>136.81</v>
      </c>
      <c r="AI9" s="206">
        <v>40269</v>
      </c>
      <c r="AJ9" s="114">
        <v>91.14</v>
      </c>
      <c r="AK9" s="222">
        <v>118.37</v>
      </c>
      <c r="AL9" s="206">
        <v>40246</v>
      </c>
      <c r="AM9" s="114">
        <v>61.16</v>
      </c>
      <c r="AN9" s="234">
        <v>127.47</v>
      </c>
      <c r="AO9" s="206">
        <v>40417</v>
      </c>
      <c r="AP9" s="99">
        <v>36.119999999999997</v>
      </c>
      <c r="AQ9" s="185">
        <v>134.19</v>
      </c>
      <c r="AR9" s="9">
        <v>37734</v>
      </c>
      <c r="AS9" s="10">
        <v>24.19</v>
      </c>
      <c r="AT9" s="10">
        <v>140.46</v>
      </c>
      <c r="AU9" s="9">
        <v>37251</v>
      </c>
      <c r="AV9" s="10">
        <v>72.27</v>
      </c>
      <c r="AW9" s="257">
        <v>88.97</v>
      </c>
      <c r="AX9" s="239">
        <v>40403</v>
      </c>
      <c r="AY9" s="125">
        <v>63.1</v>
      </c>
      <c r="AZ9" s="185">
        <v>102.9</v>
      </c>
      <c r="BA9" s="9">
        <v>38467</v>
      </c>
      <c r="BB9" s="10">
        <v>11.4</v>
      </c>
      <c r="BC9" s="257">
        <v>129.97999999999999</v>
      </c>
      <c r="BD9" s="239">
        <v>40575</v>
      </c>
      <c r="BE9" s="125">
        <v>67.239999999999995</v>
      </c>
      <c r="BF9" s="269">
        <v>101.05</v>
      </c>
      <c r="BG9" s="172">
        <v>40305</v>
      </c>
      <c r="BH9" s="99">
        <v>34.29</v>
      </c>
      <c r="BI9" s="185">
        <v>136.71</v>
      </c>
      <c r="BJ9" s="5">
        <v>40575</v>
      </c>
      <c r="BK9" s="6">
        <v>34.65</v>
      </c>
      <c r="BL9" s="6">
        <v>140.35</v>
      </c>
    </row>
    <row r="10" spans="1:64" ht="15" thickBot="1" x14ac:dyDescent="0.35">
      <c r="A10" s="167">
        <v>40679</v>
      </c>
      <c r="B10" s="140">
        <v>34.57</v>
      </c>
      <c r="C10" s="140">
        <v>140.43</v>
      </c>
      <c r="D10" s="140"/>
      <c r="E10" s="177">
        <v>41225</v>
      </c>
      <c r="F10" s="178">
        <v>10.130000000000001</v>
      </c>
      <c r="G10" s="140">
        <v>188.55</v>
      </c>
      <c r="H10" s="187">
        <v>41793</v>
      </c>
      <c r="I10" s="188">
        <v>16.12</v>
      </c>
      <c r="J10" s="189">
        <v>184.88</v>
      </c>
      <c r="K10" s="179">
        <v>41556</v>
      </c>
      <c r="L10" s="99">
        <v>12.83</v>
      </c>
      <c r="M10" s="185">
        <v>189.68</v>
      </c>
      <c r="N10" s="193">
        <v>40417</v>
      </c>
      <c r="O10" s="194">
        <v>71.900000000000006</v>
      </c>
      <c r="P10" s="21">
        <v>181.1</v>
      </c>
      <c r="Q10" s="198">
        <v>40814</v>
      </c>
      <c r="R10" s="110">
        <v>4.6100000000000003</v>
      </c>
      <c r="S10" s="26">
        <v>164.98</v>
      </c>
      <c r="T10" s="202">
        <v>40814</v>
      </c>
      <c r="U10" s="4">
        <v>4.6500000000000004</v>
      </c>
      <c r="V10" s="208">
        <v>165.01</v>
      </c>
      <c r="W10" s="206">
        <v>41025</v>
      </c>
      <c r="X10" s="114">
        <v>37.83</v>
      </c>
      <c r="Y10" s="222">
        <v>121.43</v>
      </c>
      <c r="Z10" s="206">
        <v>41025</v>
      </c>
      <c r="AA10" s="114">
        <v>3.05</v>
      </c>
      <c r="AB10" s="222">
        <v>145.97999999999999</v>
      </c>
      <c r="AC10" s="228">
        <v>40498</v>
      </c>
      <c r="AD10" s="99">
        <v>44.1</v>
      </c>
      <c r="AE10" s="234">
        <v>113.58</v>
      </c>
      <c r="AF10" s="228">
        <v>40800</v>
      </c>
      <c r="AG10" s="99">
        <v>7.68</v>
      </c>
      <c r="AH10" s="222">
        <v>137.01</v>
      </c>
      <c r="AI10" s="206">
        <v>40278</v>
      </c>
      <c r="AJ10" s="114">
        <v>91.19</v>
      </c>
      <c r="AK10" s="222">
        <v>118.22</v>
      </c>
      <c r="AL10" s="206">
        <v>40247</v>
      </c>
      <c r="AM10" s="114">
        <v>61.15</v>
      </c>
      <c r="AN10" s="234">
        <v>127.46</v>
      </c>
      <c r="AO10" s="206">
        <v>40498</v>
      </c>
      <c r="AP10" s="99">
        <v>35.44</v>
      </c>
      <c r="AQ10" s="185">
        <v>134.07</v>
      </c>
      <c r="AR10" s="9">
        <v>37735</v>
      </c>
      <c r="AS10" s="10">
        <v>24.18</v>
      </c>
      <c r="AT10" s="10">
        <v>140.47</v>
      </c>
      <c r="AU10" s="9">
        <v>37258</v>
      </c>
      <c r="AV10" s="10">
        <v>72.25</v>
      </c>
      <c r="AW10" s="257">
        <v>88.99</v>
      </c>
      <c r="AX10" s="239">
        <v>40575</v>
      </c>
      <c r="AY10" s="125">
        <v>62.92</v>
      </c>
      <c r="AZ10" s="185">
        <v>102.03</v>
      </c>
      <c r="BA10" s="9">
        <v>38474</v>
      </c>
      <c r="BB10" s="10">
        <v>11.32</v>
      </c>
      <c r="BC10" s="257">
        <v>130.06</v>
      </c>
      <c r="BD10" s="239">
        <v>40679</v>
      </c>
      <c r="BE10" s="125">
        <v>67.739999999999995</v>
      </c>
      <c r="BF10" s="269">
        <v>101.13</v>
      </c>
      <c r="BG10" s="172">
        <v>40393</v>
      </c>
      <c r="BH10" s="99">
        <v>33.840000000000003</v>
      </c>
      <c r="BI10" s="185">
        <v>137.16</v>
      </c>
      <c r="BJ10" s="5">
        <v>40679</v>
      </c>
      <c r="BK10" s="6">
        <v>34.57</v>
      </c>
      <c r="BL10" s="6">
        <v>140.43</v>
      </c>
    </row>
    <row r="11" spans="1:64" ht="15" thickBot="1" x14ac:dyDescent="0.35">
      <c r="A11" s="167">
        <v>40745</v>
      </c>
      <c r="B11" s="140">
        <v>34.54</v>
      </c>
      <c r="C11" s="140">
        <v>140.46</v>
      </c>
      <c r="D11" s="140"/>
      <c r="E11" s="179">
        <v>41401</v>
      </c>
      <c r="F11" s="99">
        <v>10.16</v>
      </c>
      <c r="G11" s="140">
        <v>188.48</v>
      </c>
      <c r="H11" s="187">
        <v>41877</v>
      </c>
      <c r="I11" s="188">
        <v>16.89</v>
      </c>
      <c r="J11" s="189">
        <v>184.11</v>
      </c>
      <c r="K11" s="179">
        <v>41617</v>
      </c>
      <c r="L11" s="99">
        <v>10.130000000000001</v>
      </c>
      <c r="M11" s="185">
        <v>187.79</v>
      </c>
      <c r="N11" s="193">
        <v>40575</v>
      </c>
      <c r="O11" s="194">
        <v>71.52</v>
      </c>
      <c r="P11" s="21">
        <v>181.48</v>
      </c>
      <c r="Q11" s="198">
        <v>40834</v>
      </c>
      <c r="R11" s="110">
        <v>4.6500000000000004</v>
      </c>
      <c r="S11" s="26">
        <v>164.88</v>
      </c>
      <c r="T11" s="202">
        <v>40834</v>
      </c>
      <c r="U11" s="4">
        <v>4.76</v>
      </c>
      <c r="V11" s="208">
        <v>165.25</v>
      </c>
      <c r="W11" s="206">
        <v>41059</v>
      </c>
      <c r="X11" s="114">
        <v>38.799999999999997</v>
      </c>
      <c r="Y11" s="222">
        <v>121.39</v>
      </c>
      <c r="Z11" s="206">
        <v>41059</v>
      </c>
      <c r="AA11" s="114">
        <v>2.84</v>
      </c>
      <c r="AB11" s="222">
        <v>145.96</v>
      </c>
      <c r="AC11" s="228">
        <v>40575</v>
      </c>
      <c r="AD11" s="99">
        <v>44.21</v>
      </c>
      <c r="AE11" s="234">
        <v>114.02</v>
      </c>
      <c r="AF11" s="228">
        <v>40814</v>
      </c>
      <c r="AG11" s="99">
        <v>7.7</v>
      </c>
      <c r="AH11" s="222">
        <v>136.88</v>
      </c>
      <c r="AI11" s="206">
        <v>40283</v>
      </c>
      <c r="AJ11" s="114">
        <v>91.22</v>
      </c>
      <c r="AK11" s="222">
        <v>118.09</v>
      </c>
      <c r="AL11" s="206">
        <v>40248</v>
      </c>
      <c r="AM11" s="114">
        <v>61.15</v>
      </c>
      <c r="AN11" s="234">
        <v>127.51</v>
      </c>
      <c r="AO11" s="206">
        <v>40575</v>
      </c>
      <c r="AP11" s="99">
        <v>34.75</v>
      </c>
      <c r="AQ11" s="185">
        <v>134.27000000000001</v>
      </c>
      <c r="AR11" s="9">
        <v>37746</v>
      </c>
      <c r="AS11" s="10">
        <v>24.01</v>
      </c>
      <c r="AT11" s="10">
        <v>140.63999999999999</v>
      </c>
      <c r="AU11" s="9">
        <v>37280</v>
      </c>
      <c r="AV11" s="10">
        <v>72.180000000000007</v>
      </c>
      <c r="AW11" s="257">
        <v>89.06</v>
      </c>
      <c r="AX11" s="239">
        <v>40679</v>
      </c>
      <c r="AY11" s="125">
        <v>62.9</v>
      </c>
      <c r="AZ11" s="185">
        <v>102.8</v>
      </c>
      <c r="BA11" s="9">
        <v>38524</v>
      </c>
      <c r="BB11" s="10">
        <v>11.4</v>
      </c>
      <c r="BC11" s="257">
        <v>129.97999999999999</v>
      </c>
      <c r="BD11" s="239">
        <v>40745</v>
      </c>
      <c r="BE11" s="125">
        <v>67.94</v>
      </c>
      <c r="BF11" s="269">
        <v>100.89</v>
      </c>
      <c r="BG11" s="172">
        <v>40417</v>
      </c>
      <c r="BH11" s="99">
        <v>33.9</v>
      </c>
      <c r="BI11" s="185">
        <v>137.1</v>
      </c>
      <c r="BJ11" s="5">
        <v>40745</v>
      </c>
      <c r="BK11" s="6">
        <v>34.54</v>
      </c>
      <c r="BL11" s="6">
        <v>140.46</v>
      </c>
    </row>
    <row r="12" spans="1:64" ht="15" thickBot="1" x14ac:dyDescent="0.35">
      <c r="A12" s="167">
        <v>40777</v>
      </c>
      <c r="B12" s="140">
        <v>34.39</v>
      </c>
      <c r="C12" s="140">
        <v>140.61000000000001</v>
      </c>
      <c r="D12" s="140"/>
      <c r="E12" s="179">
        <v>41506</v>
      </c>
      <c r="F12" s="99">
        <v>10.34</v>
      </c>
      <c r="G12" s="140">
        <v>187.65</v>
      </c>
      <c r="H12" s="187">
        <v>41906</v>
      </c>
      <c r="I12" s="188">
        <v>17.21</v>
      </c>
      <c r="J12" s="189">
        <v>183.79</v>
      </c>
      <c r="K12" s="179">
        <v>41683</v>
      </c>
      <c r="L12" s="99">
        <v>11.6</v>
      </c>
      <c r="M12" s="185">
        <v>187.55</v>
      </c>
      <c r="N12" s="193">
        <v>40745</v>
      </c>
      <c r="O12" s="194">
        <v>71.59</v>
      </c>
      <c r="P12" s="21">
        <v>181.41</v>
      </c>
      <c r="Q12" s="198">
        <v>40911</v>
      </c>
      <c r="R12" s="110">
        <v>4.5999999999999996</v>
      </c>
      <c r="S12" s="26">
        <v>164.97</v>
      </c>
      <c r="T12" s="202">
        <v>40911</v>
      </c>
      <c r="U12" s="4">
        <v>4.7</v>
      </c>
      <c r="V12" s="208">
        <v>165.55</v>
      </c>
      <c r="W12" s="206">
        <v>41072</v>
      </c>
      <c r="X12" s="114">
        <v>39.04</v>
      </c>
      <c r="Y12" s="222">
        <v>121.35</v>
      </c>
      <c r="Z12" s="206">
        <v>41072</v>
      </c>
      <c r="AA12" s="114">
        <v>2.8</v>
      </c>
      <c r="AB12" s="222">
        <v>146.08000000000001</v>
      </c>
      <c r="AC12" s="228">
        <v>40679</v>
      </c>
      <c r="AD12" s="99">
        <v>44.49</v>
      </c>
      <c r="AE12" s="234">
        <v>115.4</v>
      </c>
      <c r="AF12" s="228">
        <v>40834</v>
      </c>
      <c r="AG12" s="99">
        <v>7.7</v>
      </c>
      <c r="AH12" s="222">
        <v>137.13999999999999</v>
      </c>
      <c r="AI12" s="206">
        <v>40284</v>
      </c>
      <c r="AJ12" s="114">
        <v>91.2</v>
      </c>
      <c r="AK12" s="222">
        <v>118.35</v>
      </c>
      <c r="AL12" s="206">
        <v>40249</v>
      </c>
      <c r="AM12" s="114">
        <v>61.15</v>
      </c>
      <c r="AN12" s="234">
        <v>127.47</v>
      </c>
      <c r="AO12" s="206">
        <v>40679</v>
      </c>
      <c r="AP12" s="99">
        <v>34.79</v>
      </c>
      <c r="AQ12" s="185">
        <v>134.34</v>
      </c>
      <c r="AR12" s="9">
        <v>37748</v>
      </c>
      <c r="AS12" s="10">
        <v>23.95</v>
      </c>
      <c r="AT12" s="10">
        <v>140.69999999999999</v>
      </c>
      <c r="AU12" s="9">
        <v>37299</v>
      </c>
      <c r="AV12" s="10">
        <v>72.5</v>
      </c>
      <c r="AW12" s="257">
        <v>88.74</v>
      </c>
      <c r="AX12" s="239">
        <v>40679</v>
      </c>
      <c r="AY12" s="125">
        <v>62.9</v>
      </c>
      <c r="AZ12" s="185">
        <v>102.01</v>
      </c>
      <c r="BA12" s="9">
        <v>38538</v>
      </c>
      <c r="BB12" s="10">
        <v>11.2</v>
      </c>
      <c r="BC12" s="257">
        <v>130.18</v>
      </c>
      <c r="BD12" s="239">
        <v>40777</v>
      </c>
      <c r="BE12" s="125">
        <v>67.7</v>
      </c>
      <c r="BF12" s="269">
        <v>101.15</v>
      </c>
      <c r="BG12" s="172">
        <v>40575</v>
      </c>
      <c r="BH12" s="99">
        <v>33.53</v>
      </c>
      <c r="BI12" s="185">
        <v>137.47</v>
      </c>
      <c r="BJ12" s="5">
        <v>40777</v>
      </c>
      <c r="BK12" s="6">
        <v>34.39</v>
      </c>
      <c r="BL12" s="6">
        <v>140.61000000000001</v>
      </c>
    </row>
    <row r="13" spans="1:64" ht="15" thickBot="1" x14ac:dyDescent="0.35">
      <c r="A13" s="167">
        <v>40800</v>
      </c>
      <c r="B13" s="140">
        <v>34.1</v>
      </c>
      <c r="C13" s="140">
        <v>140.9</v>
      </c>
      <c r="D13" s="140"/>
      <c r="E13" s="179">
        <v>41556</v>
      </c>
      <c r="F13" s="99">
        <v>9.42</v>
      </c>
      <c r="G13" s="140">
        <v>187.25</v>
      </c>
      <c r="H13" s="187">
        <v>41976</v>
      </c>
      <c r="I13" s="188">
        <v>15.16</v>
      </c>
      <c r="J13" s="189">
        <v>185.84</v>
      </c>
      <c r="K13" s="179">
        <v>41764</v>
      </c>
      <c r="L13" s="99">
        <v>10.38</v>
      </c>
      <c r="M13" s="185">
        <v>191.13</v>
      </c>
      <c r="N13" s="193">
        <v>40777</v>
      </c>
      <c r="O13" s="194">
        <v>71.7</v>
      </c>
      <c r="P13" s="21">
        <v>181.3</v>
      </c>
      <c r="Q13" s="198">
        <v>40967</v>
      </c>
      <c r="R13" s="110">
        <v>4.95</v>
      </c>
      <c r="S13" s="26">
        <v>165</v>
      </c>
      <c r="T13" s="202">
        <v>40967</v>
      </c>
      <c r="U13" s="4">
        <v>5.2</v>
      </c>
      <c r="V13" s="208">
        <v>165.55</v>
      </c>
      <c r="W13" s="206">
        <v>41171</v>
      </c>
      <c r="X13" s="114">
        <v>40.35</v>
      </c>
      <c r="Y13" s="222">
        <v>120.76</v>
      </c>
      <c r="Z13" s="206">
        <v>41171</v>
      </c>
      <c r="AA13" s="114">
        <v>2.63</v>
      </c>
      <c r="AB13" s="222">
        <v>146.04</v>
      </c>
      <c r="AC13" s="228">
        <v>40745</v>
      </c>
      <c r="AD13" s="99">
        <v>44.79</v>
      </c>
      <c r="AE13" s="234">
        <v>114.06</v>
      </c>
      <c r="AF13" s="228">
        <v>40911</v>
      </c>
      <c r="AG13" s="99">
        <v>6.75</v>
      </c>
      <c r="AH13" s="222">
        <v>137.19999999999999</v>
      </c>
      <c r="AI13" s="206">
        <v>40501</v>
      </c>
      <c r="AJ13" s="114">
        <v>92.19</v>
      </c>
      <c r="AK13" s="222">
        <v>118.28</v>
      </c>
      <c r="AL13" s="206">
        <v>40250</v>
      </c>
      <c r="AM13" s="114">
        <v>61.15</v>
      </c>
      <c r="AN13" s="234">
        <v>127.44</v>
      </c>
      <c r="AO13" s="206">
        <v>40745</v>
      </c>
      <c r="AP13" s="99">
        <v>34.49</v>
      </c>
      <c r="AQ13" s="185">
        <v>134.28</v>
      </c>
      <c r="AR13" s="9">
        <v>37749</v>
      </c>
      <c r="AS13" s="10">
        <v>23.93</v>
      </c>
      <c r="AT13" s="10">
        <v>140.72</v>
      </c>
      <c r="AU13" s="9">
        <v>37305</v>
      </c>
      <c r="AV13" s="10">
        <v>72.569999999999993</v>
      </c>
      <c r="AW13" s="257">
        <v>88.67</v>
      </c>
      <c r="AX13" s="239">
        <v>40745</v>
      </c>
      <c r="AY13" s="125">
        <v>63.09</v>
      </c>
      <c r="AZ13" s="185">
        <v>102.72</v>
      </c>
      <c r="BA13" s="9">
        <v>38596</v>
      </c>
      <c r="BB13" s="10">
        <v>11.36</v>
      </c>
      <c r="BC13" s="257">
        <v>130.02000000000001</v>
      </c>
      <c r="BD13" s="239">
        <v>40800</v>
      </c>
      <c r="BE13" s="125">
        <v>67.5</v>
      </c>
      <c r="BF13" s="269">
        <v>101</v>
      </c>
      <c r="BG13" s="172">
        <v>40679</v>
      </c>
      <c r="BH13" s="99">
        <v>34.29</v>
      </c>
      <c r="BI13" s="185">
        <v>136.71</v>
      </c>
      <c r="BJ13" s="5">
        <v>40800</v>
      </c>
      <c r="BK13" s="6">
        <v>34.1</v>
      </c>
      <c r="BL13" s="6">
        <v>140.9</v>
      </c>
    </row>
    <row r="14" spans="1:64" ht="15" thickBot="1" x14ac:dyDescent="0.35">
      <c r="A14" s="167">
        <v>40814</v>
      </c>
      <c r="B14" s="140">
        <v>34.19</v>
      </c>
      <c r="C14" s="140">
        <v>140.81</v>
      </c>
      <c r="D14" s="140"/>
      <c r="E14" s="179">
        <v>41617</v>
      </c>
      <c r="F14" s="99">
        <v>9.5500000000000007</v>
      </c>
      <c r="G14" s="140">
        <v>187.58</v>
      </c>
      <c r="H14" s="187">
        <v>42009</v>
      </c>
      <c r="I14" s="188">
        <v>16.170000000000002</v>
      </c>
      <c r="J14" s="189">
        <v>184.83</v>
      </c>
      <c r="K14" s="179">
        <v>41793</v>
      </c>
      <c r="L14" s="99">
        <v>9.57</v>
      </c>
      <c r="M14" s="185">
        <v>190.01</v>
      </c>
      <c r="N14" s="193">
        <v>40814</v>
      </c>
      <c r="O14" s="194">
        <v>71.64</v>
      </c>
      <c r="P14" s="21">
        <v>181.36</v>
      </c>
      <c r="Q14" s="198">
        <v>41011</v>
      </c>
      <c r="R14" s="110">
        <v>5.0999999999999996</v>
      </c>
      <c r="S14" s="26">
        <v>164.88</v>
      </c>
      <c r="T14" s="202">
        <v>41011</v>
      </c>
      <c r="U14" s="4">
        <v>5.35</v>
      </c>
      <c r="V14" s="208">
        <v>165.55</v>
      </c>
      <c r="W14" s="206">
        <v>41228</v>
      </c>
      <c r="X14" s="114">
        <v>45.58</v>
      </c>
      <c r="Y14" s="222">
        <v>121.15</v>
      </c>
      <c r="Z14" s="206">
        <v>41235</v>
      </c>
      <c r="AA14" s="114">
        <v>2.78</v>
      </c>
      <c r="AB14" s="222">
        <v>145.68</v>
      </c>
      <c r="AC14" s="228">
        <v>40777</v>
      </c>
      <c r="AD14" s="99">
        <v>44.49</v>
      </c>
      <c r="AE14" s="234">
        <v>113.64</v>
      </c>
      <c r="AF14" s="228">
        <v>40934</v>
      </c>
      <c r="AG14" s="99">
        <v>6.94</v>
      </c>
      <c r="AH14" s="222">
        <v>137.15</v>
      </c>
      <c r="AI14" s="206">
        <v>40502</v>
      </c>
      <c r="AJ14" s="114">
        <v>92.2</v>
      </c>
      <c r="AK14" s="222">
        <v>118.36</v>
      </c>
      <c r="AL14" s="206">
        <v>40251</v>
      </c>
      <c r="AM14" s="114">
        <v>61.15</v>
      </c>
      <c r="AN14" s="234">
        <v>127.47</v>
      </c>
      <c r="AO14" s="206">
        <v>40777</v>
      </c>
      <c r="AP14" s="99">
        <v>34.39</v>
      </c>
      <c r="AQ14" s="250">
        <v>134.65</v>
      </c>
      <c r="AR14" s="9">
        <v>37750</v>
      </c>
      <c r="AS14" s="10">
        <v>23.96</v>
      </c>
      <c r="AT14" s="10">
        <v>140.69</v>
      </c>
      <c r="AU14" s="9">
        <v>37313</v>
      </c>
      <c r="AV14" s="10">
        <v>72.34</v>
      </c>
      <c r="AW14" s="257">
        <v>88.9</v>
      </c>
      <c r="AX14" s="239">
        <v>40777</v>
      </c>
      <c r="AY14" s="125">
        <v>63.45</v>
      </c>
      <c r="AZ14" s="185">
        <v>102.68</v>
      </c>
      <c r="BA14" s="9">
        <v>38592</v>
      </c>
      <c r="BB14" s="10">
        <v>11.41</v>
      </c>
      <c r="BC14" s="257">
        <v>129.97</v>
      </c>
      <c r="BD14" s="239">
        <v>40814</v>
      </c>
      <c r="BE14" s="125">
        <v>67.48</v>
      </c>
      <c r="BF14" s="269">
        <v>100.8</v>
      </c>
      <c r="BG14" s="172">
        <v>40745</v>
      </c>
      <c r="BH14" s="99">
        <v>34.39</v>
      </c>
      <c r="BI14" s="185">
        <v>136.61000000000001</v>
      </c>
      <c r="BJ14" s="5">
        <v>40814</v>
      </c>
      <c r="BK14" s="6">
        <v>34.19</v>
      </c>
      <c r="BL14" s="6">
        <v>140.81</v>
      </c>
    </row>
    <row r="15" spans="1:64" ht="15" thickBot="1" x14ac:dyDescent="0.35">
      <c r="A15" s="167">
        <v>40834</v>
      </c>
      <c r="B15" s="140">
        <v>34.15</v>
      </c>
      <c r="C15" s="140">
        <v>140.85</v>
      </c>
      <c r="D15" s="140"/>
      <c r="E15" s="179">
        <v>41647</v>
      </c>
      <c r="F15" s="99">
        <v>9.4600000000000009</v>
      </c>
      <c r="G15" s="140">
        <v>188.29</v>
      </c>
      <c r="H15" s="187">
        <v>42255</v>
      </c>
      <c r="I15" s="188">
        <v>14.3</v>
      </c>
      <c r="J15" s="189">
        <v>186.7</v>
      </c>
      <c r="K15" s="179">
        <v>41830</v>
      </c>
      <c r="L15" s="99">
        <v>11.32</v>
      </c>
      <c r="M15" s="185">
        <v>188.1</v>
      </c>
      <c r="N15" s="193">
        <v>40834</v>
      </c>
      <c r="O15" s="194">
        <v>71.55</v>
      </c>
      <c r="P15" s="21">
        <v>181.45</v>
      </c>
      <c r="Q15" s="198">
        <v>41072</v>
      </c>
      <c r="R15" s="110">
        <v>4.6500000000000004</v>
      </c>
      <c r="S15" s="26">
        <v>165.04</v>
      </c>
      <c r="T15" s="202">
        <v>41072</v>
      </c>
      <c r="U15" s="4">
        <v>5.22</v>
      </c>
      <c r="V15" s="208">
        <v>165.47</v>
      </c>
      <c r="W15" s="206">
        <v>41235</v>
      </c>
      <c r="X15" s="114">
        <v>40.44</v>
      </c>
      <c r="Y15" s="222">
        <v>122.52</v>
      </c>
      <c r="Z15" s="206">
        <v>41278</v>
      </c>
      <c r="AA15" s="114">
        <v>3.16</v>
      </c>
      <c r="AB15" s="222">
        <v>145.91</v>
      </c>
      <c r="AC15" s="228">
        <v>40800</v>
      </c>
      <c r="AD15" s="99">
        <v>44.43</v>
      </c>
      <c r="AE15" s="234">
        <v>113.46</v>
      </c>
      <c r="AF15" s="228">
        <v>40963</v>
      </c>
      <c r="AG15" s="99">
        <v>7.34</v>
      </c>
      <c r="AH15" s="222">
        <v>137.43</v>
      </c>
      <c r="AI15" s="206">
        <v>40503</v>
      </c>
      <c r="AJ15" s="114">
        <v>92.2</v>
      </c>
      <c r="AK15" s="222">
        <v>117.93</v>
      </c>
      <c r="AL15" s="206">
        <v>40252</v>
      </c>
      <c r="AM15" s="114">
        <v>61.15</v>
      </c>
      <c r="AN15" s="234">
        <v>127.39</v>
      </c>
      <c r="AO15" s="206">
        <v>40800</v>
      </c>
      <c r="AP15" s="99">
        <v>34.270000000000003</v>
      </c>
      <c r="AQ15" s="185">
        <v>134.74</v>
      </c>
      <c r="AR15" s="9">
        <v>37755</v>
      </c>
      <c r="AS15" s="10">
        <v>24.09</v>
      </c>
      <c r="AT15" s="10">
        <v>140.56</v>
      </c>
      <c r="AU15" s="9">
        <v>37321</v>
      </c>
      <c r="AV15" s="10">
        <v>72.41</v>
      </c>
      <c r="AW15" s="257">
        <v>88.83</v>
      </c>
      <c r="AX15" s="239">
        <v>40800</v>
      </c>
      <c r="AY15" s="125">
        <v>63.46</v>
      </c>
      <c r="AZ15" s="185">
        <v>102.67</v>
      </c>
      <c r="BA15" s="9">
        <v>38629</v>
      </c>
      <c r="BB15" s="10">
        <v>11.35</v>
      </c>
      <c r="BC15" s="257">
        <v>130.03</v>
      </c>
      <c r="BD15" s="239">
        <v>40834</v>
      </c>
      <c r="BE15" s="125">
        <v>67.45</v>
      </c>
      <c r="BF15" s="269">
        <v>100.74</v>
      </c>
      <c r="BG15" s="172">
        <v>40777</v>
      </c>
      <c r="BH15" s="99">
        <v>34.49</v>
      </c>
      <c r="BI15" s="185">
        <v>136.51</v>
      </c>
      <c r="BJ15" s="5">
        <v>40834</v>
      </c>
      <c r="BK15" s="6">
        <v>34.15</v>
      </c>
      <c r="BL15" s="6">
        <v>140.85</v>
      </c>
    </row>
    <row r="16" spans="1:64" ht="15" thickBot="1" x14ac:dyDescent="0.35">
      <c r="A16" s="167">
        <v>40864</v>
      </c>
      <c r="B16" s="140">
        <v>34.049999999999997</v>
      </c>
      <c r="C16" s="140">
        <v>140.94999999999999</v>
      </c>
      <c r="D16" s="140"/>
      <c r="E16" s="179">
        <v>41683</v>
      </c>
      <c r="F16" s="99">
        <v>9.89</v>
      </c>
      <c r="G16" s="140">
        <v>198</v>
      </c>
      <c r="H16" s="187">
        <v>42353</v>
      </c>
      <c r="I16" s="188">
        <v>11.08</v>
      </c>
      <c r="J16" s="189">
        <v>189.92</v>
      </c>
      <c r="K16" s="179">
        <v>41877</v>
      </c>
      <c r="L16" s="99">
        <v>13.21</v>
      </c>
      <c r="M16" s="185">
        <v>187.63</v>
      </c>
      <c r="N16" s="193">
        <v>40864</v>
      </c>
      <c r="O16" s="194">
        <v>71.64</v>
      </c>
      <c r="P16" s="21">
        <v>181.36</v>
      </c>
      <c r="Q16" s="198">
        <v>41278</v>
      </c>
      <c r="R16" s="110">
        <v>4.3499999999999996</v>
      </c>
      <c r="S16" s="26">
        <v>165.19</v>
      </c>
      <c r="T16" s="202">
        <v>41278</v>
      </c>
      <c r="U16" s="4">
        <v>4.9400000000000004</v>
      </c>
      <c r="V16" s="208">
        <v>164.99</v>
      </c>
      <c r="W16" s="206">
        <v>41278</v>
      </c>
      <c r="X16" s="114">
        <v>40.61</v>
      </c>
      <c r="Y16" s="222">
        <v>121.22</v>
      </c>
      <c r="Z16" s="206">
        <v>41401</v>
      </c>
      <c r="AA16" s="114">
        <v>3.13</v>
      </c>
      <c r="AB16" s="222">
        <v>146.27000000000001</v>
      </c>
      <c r="AC16" s="228">
        <v>40814</v>
      </c>
      <c r="AD16" s="99">
        <v>44.44</v>
      </c>
      <c r="AE16" s="234">
        <v>116.36</v>
      </c>
      <c r="AF16" s="228">
        <v>41059</v>
      </c>
      <c r="AG16" s="99">
        <v>6.85</v>
      </c>
      <c r="AH16" s="222">
        <v>136.72999999999999</v>
      </c>
      <c r="AI16" s="206">
        <v>40504</v>
      </c>
      <c r="AJ16" s="114">
        <v>92.2</v>
      </c>
      <c r="AK16" s="222">
        <v>118.01</v>
      </c>
      <c r="AL16" s="206">
        <v>40253</v>
      </c>
      <c r="AM16" s="114">
        <v>61.16</v>
      </c>
      <c r="AN16" s="234">
        <v>127.75</v>
      </c>
      <c r="AO16" s="206">
        <v>40814</v>
      </c>
      <c r="AP16" s="99">
        <v>34.4</v>
      </c>
      <c r="AQ16" s="185">
        <v>134.02000000000001</v>
      </c>
      <c r="AR16" s="9">
        <v>37758</v>
      </c>
      <c r="AS16" s="10">
        <v>24</v>
      </c>
      <c r="AT16" s="10">
        <v>140.65</v>
      </c>
      <c r="AU16" s="9">
        <v>37326</v>
      </c>
      <c r="AV16" s="10">
        <v>72.5</v>
      </c>
      <c r="AW16" s="257">
        <v>88.74</v>
      </c>
      <c r="AX16" s="239">
        <v>40814</v>
      </c>
      <c r="AY16" s="125">
        <v>63.65</v>
      </c>
      <c r="AZ16" s="185">
        <v>102.59</v>
      </c>
      <c r="BA16" s="9">
        <v>38653</v>
      </c>
      <c r="BB16" s="10">
        <v>11.04</v>
      </c>
      <c r="BC16" s="257">
        <v>130.34</v>
      </c>
      <c r="BD16" s="239">
        <v>40864</v>
      </c>
      <c r="BE16" s="125">
        <v>67.3</v>
      </c>
      <c r="BF16" s="269">
        <v>100.77</v>
      </c>
      <c r="BG16" s="172">
        <v>40800</v>
      </c>
      <c r="BH16" s="99">
        <v>34.4</v>
      </c>
      <c r="BI16" s="185">
        <v>136.6</v>
      </c>
      <c r="BJ16" s="5">
        <v>40864</v>
      </c>
      <c r="BK16" s="6">
        <v>34.049999999999997</v>
      </c>
      <c r="BL16" s="6">
        <v>140.94999999999999</v>
      </c>
    </row>
    <row r="17" spans="1:64" ht="15" thickBot="1" x14ac:dyDescent="0.35">
      <c r="A17" s="167">
        <v>40911</v>
      </c>
      <c r="B17" s="140">
        <v>34.35</v>
      </c>
      <c r="C17" s="140">
        <v>140.65</v>
      </c>
      <c r="D17" s="140"/>
      <c r="E17" s="179">
        <v>41764</v>
      </c>
      <c r="F17" s="99">
        <v>9.83</v>
      </c>
      <c r="G17" s="140">
        <v>187.45</v>
      </c>
      <c r="H17" s="187">
        <v>42471</v>
      </c>
      <c r="I17" s="188">
        <v>16.63</v>
      </c>
      <c r="J17" s="189">
        <v>184.37</v>
      </c>
      <c r="K17" s="179">
        <v>41906</v>
      </c>
      <c r="L17" s="99">
        <v>13.45</v>
      </c>
      <c r="M17" s="185">
        <v>188.05</v>
      </c>
      <c r="N17" s="193">
        <v>40889</v>
      </c>
      <c r="O17" s="194">
        <v>71.7</v>
      </c>
      <c r="P17" s="21">
        <v>181.3</v>
      </c>
      <c r="Q17" s="198">
        <v>41401</v>
      </c>
      <c r="R17" s="110">
        <v>4.9000000000000004</v>
      </c>
      <c r="S17" s="26">
        <v>165.3</v>
      </c>
      <c r="T17" s="202">
        <v>41401</v>
      </c>
      <c r="U17" s="4">
        <v>5.47</v>
      </c>
      <c r="V17" s="208">
        <v>165.01</v>
      </c>
      <c r="W17" s="206">
        <v>41401</v>
      </c>
      <c r="X17" s="114">
        <v>40.700000000000003</v>
      </c>
      <c r="Y17" s="222">
        <v>121.49</v>
      </c>
      <c r="Z17" s="206">
        <v>41436</v>
      </c>
      <c r="AA17" s="114">
        <v>3</v>
      </c>
      <c r="AB17" s="222">
        <v>146.49</v>
      </c>
      <c r="AC17" s="228">
        <v>40834</v>
      </c>
      <c r="AD17" s="99">
        <v>44.05</v>
      </c>
      <c r="AE17" s="234">
        <v>116.74</v>
      </c>
      <c r="AF17" s="228">
        <v>41368</v>
      </c>
      <c r="AG17" s="99">
        <v>7.17</v>
      </c>
      <c r="AH17" s="222">
        <v>136.76</v>
      </c>
      <c r="AI17" s="206">
        <v>40505</v>
      </c>
      <c r="AJ17" s="114">
        <v>92.2</v>
      </c>
      <c r="AK17" s="222">
        <v>118.07</v>
      </c>
      <c r="AL17" s="206">
        <v>40254</v>
      </c>
      <c r="AM17" s="114">
        <v>61.16</v>
      </c>
      <c r="AN17" s="234">
        <v>127.88</v>
      </c>
      <c r="AO17" s="206">
        <v>40834</v>
      </c>
      <c r="AP17" s="99">
        <v>34.299999999999997</v>
      </c>
      <c r="AQ17" s="185">
        <v>133.88999999999999</v>
      </c>
      <c r="AR17" s="9">
        <v>37768</v>
      </c>
      <c r="AS17" s="10">
        <v>23.97</v>
      </c>
      <c r="AT17" s="10">
        <v>140.68</v>
      </c>
      <c r="AU17" s="9">
        <v>37333</v>
      </c>
      <c r="AV17" s="10">
        <v>72.599999999999994</v>
      </c>
      <c r="AW17" s="257">
        <v>88.64</v>
      </c>
      <c r="AX17" s="239">
        <v>40834</v>
      </c>
      <c r="AY17" s="125">
        <v>63.49</v>
      </c>
      <c r="AZ17" s="185">
        <v>102.58</v>
      </c>
      <c r="BA17" s="9">
        <v>38665</v>
      </c>
      <c r="BB17" s="10">
        <v>11.27</v>
      </c>
      <c r="BC17" s="257">
        <v>130.11000000000001</v>
      </c>
      <c r="BD17" s="239">
        <v>40911</v>
      </c>
      <c r="BE17" s="125">
        <v>67.400000000000006</v>
      </c>
      <c r="BF17" s="269">
        <v>100.61</v>
      </c>
      <c r="BG17" s="172">
        <v>40814</v>
      </c>
      <c r="BH17" s="99">
        <v>34.43</v>
      </c>
      <c r="BI17" s="185">
        <v>136.57</v>
      </c>
      <c r="BJ17" s="5">
        <v>40911</v>
      </c>
      <c r="BK17" s="6">
        <v>34.35</v>
      </c>
      <c r="BL17" s="6">
        <v>140.65</v>
      </c>
    </row>
    <row r="18" spans="1:64" ht="15" thickBot="1" x14ac:dyDescent="0.35">
      <c r="A18" s="167">
        <v>40963</v>
      </c>
      <c r="B18" s="140">
        <v>34.6</v>
      </c>
      <c r="C18" s="140">
        <v>140.4</v>
      </c>
      <c r="D18" s="140"/>
      <c r="E18" s="179">
        <v>41793</v>
      </c>
      <c r="F18" s="99">
        <v>9.4499999999999993</v>
      </c>
      <c r="G18" s="140">
        <v>186.8</v>
      </c>
      <c r="H18" s="187">
        <v>42591</v>
      </c>
      <c r="I18" s="188">
        <v>14.94</v>
      </c>
      <c r="J18" s="189">
        <v>186.06</v>
      </c>
      <c r="K18" s="179">
        <v>41976</v>
      </c>
      <c r="L18" s="99">
        <v>9.8699999999999992</v>
      </c>
      <c r="M18" s="185">
        <v>189.02</v>
      </c>
      <c r="N18" s="193">
        <v>40934</v>
      </c>
      <c r="O18" s="194">
        <v>71.75</v>
      </c>
      <c r="P18" s="21">
        <v>181.25</v>
      </c>
      <c r="Q18" s="198">
        <v>41438</v>
      </c>
      <c r="R18" s="110">
        <v>4.8499999999999996</v>
      </c>
      <c r="S18" s="26">
        <v>165.27</v>
      </c>
      <c r="T18" s="202">
        <v>41438</v>
      </c>
      <c r="U18" s="4">
        <v>5.36</v>
      </c>
      <c r="V18" s="208">
        <v>165.05</v>
      </c>
      <c r="W18" s="206">
        <v>41436</v>
      </c>
      <c r="X18" s="114">
        <v>40.78</v>
      </c>
      <c r="Y18" s="222">
        <v>120.96</v>
      </c>
      <c r="Z18" s="206">
        <v>41471</v>
      </c>
      <c r="AA18" s="114">
        <v>2.8</v>
      </c>
      <c r="AB18" s="222">
        <v>146.35</v>
      </c>
      <c r="AC18" s="228">
        <v>40864</v>
      </c>
      <c r="AD18" s="99">
        <v>43.99</v>
      </c>
      <c r="AE18" s="234">
        <v>116.46</v>
      </c>
      <c r="AF18" s="228">
        <v>41401</v>
      </c>
      <c r="AG18" s="99">
        <v>7.26</v>
      </c>
      <c r="AH18" s="222">
        <v>136.47</v>
      </c>
      <c r="AI18" s="206">
        <v>40506</v>
      </c>
      <c r="AJ18" s="114">
        <v>92.2</v>
      </c>
      <c r="AK18" s="222">
        <v>118.12</v>
      </c>
      <c r="AL18" s="206">
        <v>40255</v>
      </c>
      <c r="AM18" s="114">
        <v>61.17</v>
      </c>
      <c r="AN18" s="234">
        <v>127.42</v>
      </c>
      <c r="AO18" s="206">
        <v>40864</v>
      </c>
      <c r="AP18" s="99">
        <v>34.29</v>
      </c>
      <c r="AQ18" s="185">
        <v>133.86000000000001</v>
      </c>
      <c r="AR18" s="9">
        <v>37777</v>
      </c>
      <c r="AS18" s="10">
        <v>24.16</v>
      </c>
      <c r="AT18" s="10">
        <v>140.49</v>
      </c>
      <c r="AU18" s="9">
        <v>37341</v>
      </c>
      <c r="AV18" s="10">
        <v>72.63</v>
      </c>
      <c r="AW18" s="257">
        <v>88.61</v>
      </c>
      <c r="AX18" s="239">
        <v>40864</v>
      </c>
      <c r="AY18" s="125">
        <v>63.8</v>
      </c>
      <c r="AZ18" s="185">
        <v>102.63</v>
      </c>
      <c r="BA18" s="9">
        <v>38687</v>
      </c>
      <c r="BB18" s="10">
        <v>11.3</v>
      </c>
      <c r="BC18" s="257">
        <v>130.08000000000001</v>
      </c>
      <c r="BD18" s="239">
        <v>40934</v>
      </c>
      <c r="BE18" s="125">
        <v>67.349999999999994</v>
      </c>
      <c r="BF18" s="269">
        <v>100.84</v>
      </c>
      <c r="BG18" s="172">
        <v>40834</v>
      </c>
      <c r="BH18" s="99">
        <v>34.450000000000003</v>
      </c>
      <c r="BI18" s="185">
        <v>136.55000000000001</v>
      </c>
      <c r="BJ18" s="5">
        <v>40963</v>
      </c>
      <c r="BK18" s="6">
        <v>34.6</v>
      </c>
      <c r="BL18" s="6">
        <v>140.4</v>
      </c>
    </row>
    <row r="19" spans="1:64" ht="15" thickBot="1" x14ac:dyDescent="0.35">
      <c r="A19" s="167">
        <v>41073</v>
      </c>
      <c r="B19" s="140">
        <v>34.799999999999997</v>
      </c>
      <c r="C19" s="140">
        <v>140.19999999999999</v>
      </c>
      <c r="D19" s="140"/>
      <c r="E19" s="179">
        <v>41830</v>
      </c>
      <c r="F19" s="99">
        <v>9.52</v>
      </c>
      <c r="G19" s="140">
        <v>186.74</v>
      </c>
      <c r="H19" s="187">
        <v>42780</v>
      </c>
      <c r="I19" s="188">
        <v>14</v>
      </c>
      <c r="J19" s="189">
        <v>187</v>
      </c>
      <c r="K19" s="179">
        <v>42009</v>
      </c>
      <c r="L19" s="99">
        <v>10.99</v>
      </c>
      <c r="M19" s="185">
        <v>188.68</v>
      </c>
      <c r="N19" s="193">
        <v>40967</v>
      </c>
      <c r="O19" s="194">
        <v>71.7</v>
      </c>
      <c r="P19" s="21">
        <v>181.3</v>
      </c>
      <c r="Q19" s="198">
        <v>41472</v>
      </c>
      <c r="R19" s="110">
        <v>4.7</v>
      </c>
      <c r="S19" s="26">
        <v>165.3</v>
      </c>
      <c r="T19" s="202">
        <v>41472</v>
      </c>
      <c r="U19" s="4">
        <v>5.18</v>
      </c>
      <c r="V19" s="208">
        <v>165.02</v>
      </c>
      <c r="W19" s="206">
        <v>41471</v>
      </c>
      <c r="X19" s="114">
        <v>40.89</v>
      </c>
      <c r="Y19" s="222">
        <v>120.94</v>
      </c>
      <c r="Z19" s="206">
        <v>41506</v>
      </c>
      <c r="AA19" s="114">
        <v>2.87</v>
      </c>
      <c r="AB19" s="222">
        <v>146.30000000000001</v>
      </c>
      <c r="AC19" s="228">
        <v>40911</v>
      </c>
      <c r="AD19" s="99">
        <v>43.95</v>
      </c>
      <c r="AE19" s="234">
        <v>114.95</v>
      </c>
      <c r="AF19" s="228">
        <v>41437</v>
      </c>
      <c r="AG19" s="99">
        <v>7.03</v>
      </c>
      <c r="AH19" s="222">
        <v>136.65</v>
      </c>
      <c r="AI19" s="206">
        <v>40507</v>
      </c>
      <c r="AJ19" s="114">
        <v>92.21</v>
      </c>
      <c r="AK19" s="222">
        <v>118.16</v>
      </c>
      <c r="AL19" s="206">
        <v>40256</v>
      </c>
      <c r="AM19" s="114">
        <v>61.18</v>
      </c>
      <c r="AN19" s="234">
        <v>128.47</v>
      </c>
      <c r="AO19" s="206">
        <v>40911</v>
      </c>
      <c r="AP19" s="99">
        <v>34.299999999999997</v>
      </c>
      <c r="AQ19" s="185">
        <v>133.5</v>
      </c>
      <c r="AR19" s="9">
        <v>37797</v>
      </c>
      <c r="AS19" s="10">
        <v>24.12</v>
      </c>
      <c r="AT19" s="10">
        <v>140.53</v>
      </c>
      <c r="AU19" s="9">
        <v>37348</v>
      </c>
      <c r="AV19" s="10">
        <v>72.61</v>
      </c>
      <c r="AW19" s="257">
        <v>88.63</v>
      </c>
      <c r="AX19" s="239">
        <v>40911</v>
      </c>
      <c r="AY19" s="125">
        <v>64</v>
      </c>
      <c r="AZ19" s="185">
        <v>102.55</v>
      </c>
      <c r="BA19" s="9">
        <v>38740</v>
      </c>
      <c r="BB19" s="10">
        <v>11.3</v>
      </c>
      <c r="BC19" s="257">
        <v>130.08000000000001</v>
      </c>
      <c r="BD19" s="239">
        <v>40967</v>
      </c>
      <c r="BE19" s="125">
        <v>67.739999999999995</v>
      </c>
      <c r="BF19" s="269">
        <v>100.57</v>
      </c>
      <c r="BG19" s="172">
        <v>40864</v>
      </c>
      <c r="BH19" s="99">
        <v>33.369999999999997</v>
      </c>
      <c r="BI19" s="185">
        <v>137.63</v>
      </c>
      <c r="BJ19" s="5">
        <v>41073</v>
      </c>
      <c r="BK19" s="6">
        <v>34.799999999999997</v>
      </c>
      <c r="BL19" s="6">
        <v>140.19999999999999</v>
      </c>
    </row>
    <row r="20" spans="1:64" ht="15" thickBot="1" x14ac:dyDescent="0.35">
      <c r="A20" s="167">
        <v>41098</v>
      </c>
      <c r="B20" s="140">
        <v>34.799999999999997</v>
      </c>
      <c r="C20" s="140">
        <v>140.19999999999999</v>
      </c>
      <c r="D20" s="140"/>
      <c r="E20" s="179">
        <v>41877</v>
      </c>
      <c r="F20" s="99">
        <v>10.35</v>
      </c>
      <c r="G20" s="140">
        <v>186.75</v>
      </c>
      <c r="H20" s="187">
        <v>42888</v>
      </c>
      <c r="I20" s="188">
        <v>13.62</v>
      </c>
      <c r="J20" s="189">
        <v>187.38</v>
      </c>
      <c r="K20" s="179">
        <v>42157</v>
      </c>
      <c r="L20" s="99">
        <v>12.9</v>
      </c>
      <c r="M20" s="185">
        <v>187.53</v>
      </c>
      <c r="N20" s="193">
        <v>41031</v>
      </c>
      <c r="O20" s="194">
        <v>71.650000000000006</v>
      </c>
      <c r="P20" s="21">
        <v>181.35</v>
      </c>
      <c r="Q20" s="198">
        <v>41506</v>
      </c>
      <c r="R20" s="110">
        <v>4.5599999999999996</v>
      </c>
      <c r="S20" s="26">
        <v>165.3</v>
      </c>
      <c r="T20" s="202">
        <v>41506</v>
      </c>
      <c r="U20" s="4">
        <v>5.1100000000000003</v>
      </c>
      <c r="V20" s="208">
        <v>164.3</v>
      </c>
      <c r="W20" s="206">
        <v>41506</v>
      </c>
      <c r="X20" s="114">
        <v>40.78</v>
      </c>
      <c r="Y20" s="222">
        <v>120.96</v>
      </c>
      <c r="Z20" s="206">
        <v>41556</v>
      </c>
      <c r="AA20" s="114">
        <v>2.92</v>
      </c>
      <c r="AB20" s="222">
        <v>146.21</v>
      </c>
      <c r="AC20" s="228">
        <v>40934</v>
      </c>
      <c r="AD20" s="99">
        <v>44.05</v>
      </c>
      <c r="AE20" s="234">
        <v>114.64</v>
      </c>
      <c r="AF20" s="228">
        <v>42220</v>
      </c>
      <c r="AG20" s="99">
        <v>7.63</v>
      </c>
      <c r="AH20" s="222">
        <v>136.57</v>
      </c>
      <c r="AI20" s="206">
        <v>40531</v>
      </c>
      <c r="AJ20" s="114">
        <v>92.33</v>
      </c>
      <c r="AK20" s="222">
        <v>118.07</v>
      </c>
      <c r="AL20" s="206">
        <v>40257</v>
      </c>
      <c r="AM20" s="114">
        <v>61.17</v>
      </c>
      <c r="AN20" s="234">
        <v>128.56</v>
      </c>
      <c r="AO20" s="206">
        <v>40934</v>
      </c>
      <c r="AP20" s="99">
        <v>34.4</v>
      </c>
      <c r="AQ20" s="185">
        <v>133.65</v>
      </c>
      <c r="AR20" s="9">
        <v>37809</v>
      </c>
      <c r="AS20" s="10">
        <v>24.2</v>
      </c>
      <c r="AT20" s="10">
        <v>140.44999999999999</v>
      </c>
      <c r="AU20" s="9">
        <v>37355</v>
      </c>
      <c r="AV20" s="10">
        <v>72.599999999999994</v>
      </c>
      <c r="AW20" s="257">
        <v>88.64</v>
      </c>
      <c r="AX20" s="239">
        <v>40934</v>
      </c>
      <c r="AY20" s="125">
        <v>63.95</v>
      </c>
      <c r="AZ20" s="185">
        <v>102.95</v>
      </c>
      <c r="BA20" s="9">
        <v>38825</v>
      </c>
      <c r="BB20" s="10">
        <v>10.29</v>
      </c>
      <c r="BC20" s="257">
        <v>131.09</v>
      </c>
      <c r="BD20" s="239">
        <v>41023</v>
      </c>
      <c r="BE20" s="125">
        <v>67.55</v>
      </c>
      <c r="BF20" s="269">
        <v>100.83</v>
      </c>
      <c r="BG20" s="172">
        <v>40911</v>
      </c>
      <c r="BH20" s="99">
        <v>34.54</v>
      </c>
      <c r="BI20" s="185">
        <v>136.46</v>
      </c>
      <c r="BJ20" s="5">
        <v>41098</v>
      </c>
      <c r="BK20" s="6">
        <v>34.799999999999997</v>
      </c>
      <c r="BL20" s="6">
        <v>140.19999999999999</v>
      </c>
    </row>
    <row r="21" spans="1:64" ht="15" thickBot="1" x14ac:dyDescent="0.35">
      <c r="A21" s="167">
        <v>41191</v>
      </c>
      <c r="B21" s="140">
        <v>35.49</v>
      </c>
      <c r="C21" s="140">
        <v>139.51</v>
      </c>
      <c r="D21" s="140"/>
      <c r="E21" s="179">
        <v>41906</v>
      </c>
      <c r="F21" s="99">
        <v>10.75</v>
      </c>
      <c r="G21" s="140">
        <v>198</v>
      </c>
      <c r="H21" s="187">
        <v>43263</v>
      </c>
      <c r="I21" s="188">
        <v>11.2</v>
      </c>
      <c r="J21" s="189">
        <v>189.8</v>
      </c>
      <c r="K21" s="179">
        <v>42220</v>
      </c>
      <c r="L21" s="99">
        <v>13.37</v>
      </c>
      <c r="M21" s="185">
        <v>187.98</v>
      </c>
      <c r="N21" s="193">
        <v>41072</v>
      </c>
      <c r="O21" s="194">
        <v>71.650000000000006</v>
      </c>
      <c r="P21" s="21">
        <v>181.35</v>
      </c>
      <c r="Q21" s="198">
        <v>41617</v>
      </c>
      <c r="R21" s="110">
        <v>4.49</v>
      </c>
      <c r="S21" s="26">
        <v>165.27</v>
      </c>
      <c r="T21" s="202">
        <v>41617</v>
      </c>
      <c r="U21" s="4">
        <v>4.7300000000000004</v>
      </c>
      <c r="V21" s="208">
        <v>164.94</v>
      </c>
      <c r="W21" s="206">
        <v>41556</v>
      </c>
      <c r="X21" s="114">
        <v>40.9</v>
      </c>
      <c r="Y21" s="222">
        <v>120.93</v>
      </c>
      <c r="Z21" s="206">
        <v>41617</v>
      </c>
      <c r="AA21" s="114">
        <v>2.62</v>
      </c>
      <c r="AB21" s="222">
        <v>146.25</v>
      </c>
      <c r="AC21" s="228">
        <v>40963</v>
      </c>
      <c r="AD21" s="99">
        <v>44</v>
      </c>
      <c r="AE21" s="234">
        <v>114.91</v>
      </c>
      <c r="AF21" s="130">
        <v>42306</v>
      </c>
      <c r="AG21" s="96">
        <v>7.4</v>
      </c>
      <c r="AH21" s="222">
        <v>136.55000000000001</v>
      </c>
      <c r="AI21" s="206">
        <v>40540</v>
      </c>
      <c r="AJ21" s="114">
        <v>92.37</v>
      </c>
      <c r="AK21" s="222">
        <v>118.05</v>
      </c>
      <c r="AL21" s="206">
        <v>40258</v>
      </c>
      <c r="AM21" s="114">
        <v>61.17</v>
      </c>
      <c r="AN21" s="234">
        <v>128.56</v>
      </c>
      <c r="AO21" s="206">
        <v>40963</v>
      </c>
      <c r="AP21" s="99">
        <v>34.549999999999997</v>
      </c>
      <c r="AQ21" s="185">
        <v>133.87</v>
      </c>
      <c r="AR21" s="9">
        <v>37816</v>
      </c>
      <c r="AS21" s="10">
        <v>24.05</v>
      </c>
      <c r="AT21" s="10">
        <v>140.6</v>
      </c>
      <c r="AU21" s="9">
        <v>37382</v>
      </c>
      <c r="AV21" s="10">
        <v>72.290000000000006</v>
      </c>
      <c r="AW21" s="257">
        <v>88.95</v>
      </c>
      <c r="AX21" s="239">
        <v>40967</v>
      </c>
      <c r="AY21" s="125">
        <v>64.099999999999994</v>
      </c>
      <c r="AZ21" s="185">
        <v>103.72</v>
      </c>
      <c r="BA21" s="9">
        <v>38833</v>
      </c>
      <c r="BB21" s="10">
        <v>10.19</v>
      </c>
      <c r="BC21" s="257">
        <v>131.19</v>
      </c>
      <c r="BD21" s="239">
        <v>41059</v>
      </c>
      <c r="BE21" s="125">
        <v>68</v>
      </c>
      <c r="BF21" s="269">
        <v>100.63</v>
      </c>
      <c r="BG21" s="172">
        <v>40934</v>
      </c>
      <c r="BH21" s="99">
        <v>34.54</v>
      </c>
      <c r="BI21" s="185">
        <v>136.46</v>
      </c>
      <c r="BJ21" s="5">
        <v>41191</v>
      </c>
      <c r="BK21" s="6">
        <v>35.49</v>
      </c>
      <c r="BL21" s="6">
        <v>139.51</v>
      </c>
    </row>
    <row r="22" spans="1:64" ht="15" thickBot="1" x14ac:dyDescent="0.35">
      <c r="A22" s="167">
        <v>41228</v>
      </c>
      <c r="B22" s="140">
        <v>34.72</v>
      </c>
      <c r="C22" s="140">
        <v>140.28</v>
      </c>
      <c r="D22" s="140"/>
      <c r="E22" s="179">
        <v>41936</v>
      </c>
      <c r="F22" s="112">
        <v>10.42</v>
      </c>
      <c r="G22" s="140">
        <v>198</v>
      </c>
      <c r="H22" s="187">
        <v>43297</v>
      </c>
      <c r="I22" s="188">
        <v>10.41</v>
      </c>
      <c r="J22" s="189">
        <v>190.59</v>
      </c>
      <c r="K22" s="179">
        <v>42255</v>
      </c>
      <c r="L22" s="99">
        <v>12.95</v>
      </c>
      <c r="M22" s="185">
        <v>188.68</v>
      </c>
      <c r="N22" s="193">
        <v>41098</v>
      </c>
      <c r="O22" s="194">
        <v>71.64</v>
      </c>
      <c r="P22" s="21">
        <v>181.36</v>
      </c>
      <c r="Q22" s="198">
        <v>41647</v>
      </c>
      <c r="R22" s="110">
        <v>4.63</v>
      </c>
      <c r="S22" s="26">
        <v>165.26</v>
      </c>
      <c r="T22" s="202">
        <v>41647</v>
      </c>
      <c r="U22" s="4">
        <v>5.04</v>
      </c>
      <c r="V22" s="208">
        <v>164.8</v>
      </c>
      <c r="W22" s="206">
        <v>41617</v>
      </c>
      <c r="X22" s="114">
        <v>41.04</v>
      </c>
      <c r="Y22" s="222">
        <v>120.8</v>
      </c>
      <c r="Z22" s="206">
        <v>41647</v>
      </c>
      <c r="AA22" s="114">
        <v>2.7</v>
      </c>
      <c r="AB22" s="222">
        <v>146.04</v>
      </c>
      <c r="AC22" s="228">
        <v>41017</v>
      </c>
      <c r="AD22" s="99">
        <v>43.88</v>
      </c>
      <c r="AE22" s="234">
        <v>114.72</v>
      </c>
      <c r="AF22" s="130">
        <v>42353</v>
      </c>
      <c r="AG22" s="96">
        <v>7.1</v>
      </c>
      <c r="AH22" s="222">
        <v>136.44999999999999</v>
      </c>
      <c r="AI22" s="206">
        <v>40541</v>
      </c>
      <c r="AJ22" s="114">
        <v>92.37</v>
      </c>
      <c r="AK22" s="222">
        <v>118.11</v>
      </c>
      <c r="AL22" s="206">
        <v>40259</v>
      </c>
      <c r="AM22" s="114">
        <v>61.17</v>
      </c>
      <c r="AN22" s="234">
        <v>126.63</v>
      </c>
      <c r="AO22" s="206">
        <v>41011</v>
      </c>
      <c r="AP22" s="99">
        <v>34.9</v>
      </c>
      <c r="AQ22" s="185">
        <v>133.69999999999999</v>
      </c>
      <c r="AR22" s="9">
        <v>37817</v>
      </c>
      <c r="AS22" s="10">
        <v>24.19</v>
      </c>
      <c r="AT22" s="10">
        <v>140.46</v>
      </c>
      <c r="AU22" s="9">
        <v>37390</v>
      </c>
      <c r="AV22" s="10">
        <v>72.55</v>
      </c>
      <c r="AW22" s="257">
        <v>88.69</v>
      </c>
      <c r="AX22" s="239">
        <v>41022</v>
      </c>
      <c r="AY22" s="125">
        <v>64.11</v>
      </c>
      <c r="AZ22" s="185">
        <v>103.97</v>
      </c>
      <c r="BA22" s="9">
        <v>38844</v>
      </c>
      <c r="BB22" s="10">
        <v>11.08</v>
      </c>
      <c r="BC22" s="257">
        <v>130.30000000000001</v>
      </c>
      <c r="BD22" s="239">
        <v>41072</v>
      </c>
      <c r="BE22" s="125">
        <v>68</v>
      </c>
      <c r="BF22" s="269">
        <v>101.65</v>
      </c>
      <c r="BG22" s="172">
        <v>40963</v>
      </c>
      <c r="BH22" s="99">
        <v>34.6</v>
      </c>
      <c r="BI22" s="185">
        <v>136.4</v>
      </c>
      <c r="BJ22" s="5">
        <v>41228</v>
      </c>
      <c r="BK22" s="6">
        <v>34.72</v>
      </c>
      <c r="BL22" s="6">
        <v>140.28</v>
      </c>
    </row>
    <row r="23" spans="1:64" ht="15" thickBot="1" x14ac:dyDescent="0.35">
      <c r="A23" s="167">
        <v>41278</v>
      </c>
      <c r="B23" s="140">
        <v>35.200000000000003</v>
      </c>
      <c r="C23" s="140">
        <v>139.80000000000001</v>
      </c>
      <c r="D23" s="140"/>
      <c r="E23" s="179">
        <v>41976</v>
      </c>
      <c r="F23" s="112">
        <v>9.7100000000000009</v>
      </c>
      <c r="G23" s="140">
        <v>186.34</v>
      </c>
      <c r="H23" s="187">
        <v>43122</v>
      </c>
      <c r="I23" s="188">
        <v>12.22</v>
      </c>
      <c r="J23" s="189">
        <v>188.78</v>
      </c>
      <c r="K23" s="179">
        <v>42292</v>
      </c>
      <c r="L23" s="99">
        <v>11.98</v>
      </c>
      <c r="M23" s="185">
        <v>189.73</v>
      </c>
      <c r="N23" s="193">
        <v>41235</v>
      </c>
      <c r="O23" s="194">
        <v>71.599999999999994</v>
      </c>
      <c r="P23" s="21">
        <v>181.4</v>
      </c>
      <c r="Q23" s="198">
        <v>41683</v>
      </c>
      <c r="R23" s="110">
        <v>4.91</v>
      </c>
      <c r="S23" s="26">
        <v>165.59</v>
      </c>
      <c r="T23" s="202">
        <v>41683</v>
      </c>
      <c r="U23" s="4">
        <v>5.26</v>
      </c>
      <c r="V23" s="208">
        <v>164.84</v>
      </c>
      <c r="W23" s="206">
        <v>41647</v>
      </c>
      <c r="X23" s="114">
        <v>41.1</v>
      </c>
      <c r="Y23" s="222">
        <v>121</v>
      </c>
      <c r="Z23" s="206">
        <v>41683</v>
      </c>
      <c r="AA23" s="114">
        <v>3.06</v>
      </c>
      <c r="AB23" s="222">
        <v>145.97</v>
      </c>
      <c r="AC23" s="228">
        <v>41059</v>
      </c>
      <c r="AD23" s="99">
        <v>43.95</v>
      </c>
      <c r="AE23" s="234">
        <v>114.64</v>
      </c>
      <c r="AF23" s="130">
        <v>42512</v>
      </c>
      <c r="AG23" s="96">
        <v>6.7</v>
      </c>
      <c r="AH23" s="222">
        <v>136.46</v>
      </c>
      <c r="AI23" s="206">
        <v>40542</v>
      </c>
      <c r="AJ23" s="114">
        <v>92.36</v>
      </c>
      <c r="AK23" s="222">
        <v>118.05</v>
      </c>
      <c r="AL23" s="206">
        <v>40260</v>
      </c>
      <c r="AM23" s="114">
        <v>61.16</v>
      </c>
      <c r="AN23" s="234">
        <v>128.68</v>
      </c>
      <c r="AO23" s="206">
        <v>41072</v>
      </c>
      <c r="AP23" s="99">
        <v>35.35</v>
      </c>
      <c r="AQ23" s="185">
        <v>133.77000000000001</v>
      </c>
      <c r="AR23" s="9">
        <v>37823</v>
      </c>
      <c r="AS23" s="10">
        <v>24.18</v>
      </c>
      <c r="AT23" s="10">
        <v>140.47</v>
      </c>
      <c r="AU23" s="9">
        <v>37396</v>
      </c>
      <c r="AV23" s="10">
        <v>72.27</v>
      </c>
      <c r="AW23" s="257">
        <v>88.97</v>
      </c>
      <c r="AX23" s="239">
        <v>41059</v>
      </c>
      <c r="AY23" s="125">
        <v>64.16</v>
      </c>
      <c r="AZ23" s="185">
        <v>103.69</v>
      </c>
      <c r="BA23" s="9">
        <v>38849</v>
      </c>
      <c r="BB23" s="10">
        <v>10.51</v>
      </c>
      <c r="BC23" s="257">
        <v>130.87</v>
      </c>
      <c r="BD23" s="239">
        <v>41098</v>
      </c>
      <c r="BE23" s="125">
        <v>68.25</v>
      </c>
      <c r="BF23" s="269">
        <v>101.64</v>
      </c>
      <c r="BG23" s="172">
        <v>41059</v>
      </c>
      <c r="BH23" s="99">
        <v>34.700000000000003</v>
      </c>
      <c r="BI23" s="185">
        <v>136.30000000000001</v>
      </c>
      <c r="BJ23" s="5">
        <v>41278</v>
      </c>
      <c r="BK23" s="6">
        <v>35.200000000000003</v>
      </c>
      <c r="BL23" s="6">
        <v>139.80000000000001</v>
      </c>
    </row>
    <row r="24" spans="1:64" ht="15" thickBot="1" x14ac:dyDescent="0.35">
      <c r="A24" s="167">
        <v>41401</v>
      </c>
      <c r="B24" s="140">
        <v>35.43</v>
      </c>
      <c r="C24" s="140">
        <v>139.57</v>
      </c>
      <c r="D24" s="140"/>
      <c r="E24" s="179">
        <v>42009</v>
      </c>
      <c r="F24" s="326">
        <v>10.648333333333335</v>
      </c>
      <c r="G24" s="140">
        <v>188.24</v>
      </c>
      <c r="H24" s="190"/>
      <c r="I24" s="190"/>
      <c r="J24" s="191"/>
      <c r="K24" s="179">
        <v>42353</v>
      </c>
      <c r="L24" s="99">
        <v>12.32</v>
      </c>
      <c r="M24" s="185">
        <v>190.9</v>
      </c>
      <c r="N24" s="193">
        <v>41278</v>
      </c>
      <c r="O24" s="194">
        <v>71.67</v>
      </c>
      <c r="P24" s="21">
        <v>181.33</v>
      </c>
      <c r="Q24" s="198">
        <v>41744</v>
      </c>
      <c r="R24" s="110">
        <v>5.56</v>
      </c>
      <c r="S24" s="26">
        <v>165.58</v>
      </c>
      <c r="T24" s="202">
        <v>41744</v>
      </c>
      <c r="U24" s="4">
        <v>5.52</v>
      </c>
      <c r="V24" s="208">
        <v>164.88</v>
      </c>
      <c r="W24" s="206">
        <v>41683</v>
      </c>
      <c r="X24" s="114">
        <v>41.19</v>
      </c>
      <c r="Y24" s="222">
        <v>120.98</v>
      </c>
      <c r="Z24" s="206">
        <v>41731</v>
      </c>
      <c r="AA24" s="114">
        <v>3.31</v>
      </c>
      <c r="AB24" s="222">
        <v>146.44</v>
      </c>
      <c r="AC24" s="228">
        <v>41171</v>
      </c>
      <c r="AD24" s="99">
        <v>45.18</v>
      </c>
      <c r="AE24" s="234">
        <v>114.63</v>
      </c>
      <c r="AF24" s="228">
        <v>42702</v>
      </c>
      <c r="AG24" s="99">
        <v>6.58</v>
      </c>
      <c r="AH24" s="222">
        <v>136.5</v>
      </c>
      <c r="AI24" s="206">
        <v>40543</v>
      </c>
      <c r="AJ24" s="114">
        <v>92.39</v>
      </c>
      <c r="AK24" s="222">
        <v>118.03</v>
      </c>
      <c r="AL24" s="206">
        <v>40261</v>
      </c>
      <c r="AM24" s="114">
        <v>61.16</v>
      </c>
      <c r="AN24" s="234">
        <v>128.61000000000001</v>
      </c>
      <c r="AO24" s="206">
        <v>41191</v>
      </c>
      <c r="AP24" s="99">
        <v>35.619999999999997</v>
      </c>
      <c r="AQ24" s="185">
        <v>133.63999999999999</v>
      </c>
      <c r="AR24" s="9">
        <v>37831</v>
      </c>
      <c r="AS24" s="10">
        <v>24.2</v>
      </c>
      <c r="AT24" s="10">
        <v>140.44999999999999</v>
      </c>
      <c r="AU24" s="9">
        <v>37421</v>
      </c>
      <c r="AV24" s="10">
        <v>71.63</v>
      </c>
      <c r="AW24" s="257">
        <v>89.61</v>
      </c>
      <c r="AX24" s="239">
        <v>41072</v>
      </c>
      <c r="AY24" s="125">
        <v>63.24</v>
      </c>
      <c r="AZ24" s="185">
        <v>104.1</v>
      </c>
      <c r="BA24" s="9">
        <v>38909</v>
      </c>
      <c r="BB24" s="10">
        <v>11.03</v>
      </c>
      <c r="BC24" s="257">
        <v>130.35</v>
      </c>
      <c r="BD24" s="239">
        <v>41235</v>
      </c>
      <c r="BE24" s="125">
        <v>68.790000000000006</v>
      </c>
      <c r="BF24" s="269">
        <v>101.63</v>
      </c>
      <c r="BG24" s="172">
        <v>41073</v>
      </c>
      <c r="BH24" s="99">
        <v>34.64</v>
      </c>
      <c r="BI24" s="185">
        <v>136.36000000000001</v>
      </c>
      <c r="BJ24" s="5">
        <v>41401</v>
      </c>
      <c r="BK24" s="6">
        <v>35.43</v>
      </c>
      <c r="BL24" s="6">
        <v>139.57</v>
      </c>
    </row>
    <row r="25" spans="1:64" ht="15" thickBot="1" x14ac:dyDescent="0.35">
      <c r="A25" s="167">
        <v>41437</v>
      </c>
      <c r="B25" s="140">
        <v>35.5</v>
      </c>
      <c r="C25" s="140">
        <v>139.5</v>
      </c>
      <c r="D25" s="140"/>
      <c r="E25" s="179">
        <v>42157</v>
      </c>
      <c r="F25" s="112">
        <v>10.55</v>
      </c>
      <c r="G25" s="140">
        <v>188.29</v>
      </c>
      <c r="H25" s="190"/>
      <c r="I25" s="190"/>
      <c r="J25" s="191"/>
      <c r="K25" s="179">
        <v>42387</v>
      </c>
      <c r="L25" s="99">
        <v>13.47</v>
      </c>
      <c r="M25" s="185">
        <v>191.54</v>
      </c>
      <c r="N25" s="193">
        <v>41368</v>
      </c>
      <c r="O25" s="194">
        <v>71.88</v>
      </c>
      <c r="P25" s="21">
        <v>181.12</v>
      </c>
      <c r="Q25" s="198">
        <v>41764</v>
      </c>
      <c r="R25" s="110">
        <v>5.09</v>
      </c>
      <c r="S25" s="26">
        <v>165.55</v>
      </c>
      <c r="T25" s="202">
        <v>41764</v>
      </c>
      <c r="U25" s="4">
        <v>5.48</v>
      </c>
      <c r="V25" s="208">
        <v>164.92</v>
      </c>
      <c r="W25" s="206">
        <v>41731</v>
      </c>
      <c r="X25" s="114">
        <v>41.1</v>
      </c>
      <c r="Y25" s="222">
        <v>120.81</v>
      </c>
      <c r="Z25" s="206">
        <v>41764</v>
      </c>
      <c r="AA25" s="114">
        <v>2.96</v>
      </c>
      <c r="AB25" s="222">
        <v>146.02000000000001</v>
      </c>
      <c r="AC25" s="228">
        <v>41191</v>
      </c>
      <c r="AD25" s="99">
        <v>45.24</v>
      </c>
      <c r="AE25" s="234">
        <v>114.61</v>
      </c>
      <c r="AF25" s="228">
        <v>42865</v>
      </c>
      <c r="AG25" s="99">
        <v>5.83</v>
      </c>
      <c r="AH25" s="222">
        <v>136.44</v>
      </c>
      <c r="AI25" s="206">
        <v>40544</v>
      </c>
      <c r="AJ25" s="114">
        <v>92.4</v>
      </c>
      <c r="AK25" s="222">
        <v>118.02</v>
      </c>
      <c r="AL25" s="206">
        <v>40262</v>
      </c>
      <c r="AM25" s="114">
        <v>61.16</v>
      </c>
      <c r="AN25" s="234">
        <v>128.55000000000001</v>
      </c>
      <c r="AO25" s="206">
        <v>41228</v>
      </c>
      <c r="AP25" s="99">
        <v>35.75</v>
      </c>
      <c r="AQ25" s="185">
        <v>133.5</v>
      </c>
      <c r="AR25" s="9">
        <v>37839</v>
      </c>
      <c r="AS25" s="10">
        <v>24.22</v>
      </c>
      <c r="AT25" s="10">
        <v>140.43</v>
      </c>
      <c r="AU25" s="9">
        <v>37424</v>
      </c>
      <c r="AV25" s="10">
        <v>71.64</v>
      </c>
      <c r="AW25" s="257">
        <v>89.6</v>
      </c>
      <c r="AX25" s="239">
        <v>41098</v>
      </c>
      <c r="AY25" s="125">
        <v>64.349999999999994</v>
      </c>
      <c r="AZ25" s="185">
        <v>104.49</v>
      </c>
      <c r="BA25" s="9">
        <v>38960</v>
      </c>
      <c r="BB25" s="10">
        <v>11.27</v>
      </c>
      <c r="BC25" s="257">
        <v>130.11000000000001</v>
      </c>
      <c r="BD25" s="239">
        <v>41278</v>
      </c>
      <c r="BE25" s="125">
        <v>69.099999999999994</v>
      </c>
      <c r="BF25" s="269">
        <v>101.18</v>
      </c>
      <c r="BG25" s="172">
        <v>41228</v>
      </c>
      <c r="BH25" s="99">
        <v>34.57</v>
      </c>
      <c r="BI25" s="185">
        <v>136.43</v>
      </c>
      <c r="BJ25" s="5">
        <v>41437</v>
      </c>
      <c r="BK25" s="6">
        <v>35.5</v>
      </c>
      <c r="BL25" s="6">
        <v>139.5</v>
      </c>
    </row>
    <row r="26" spans="1:64" ht="15" thickBot="1" x14ac:dyDescent="0.35">
      <c r="A26" s="167">
        <v>41471</v>
      </c>
      <c r="B26" s="140">
        <v>35.58</v>
      </c>
      <c r="C26" s="140">
        <v>139.41999999999999</v>
      </c>
      <c r="D26" s="140"/>
      <c r="E26" s="179">
        <v>42220</v>
      </c>
      <c r="F26" s="112">
        <v>11.2</v>
      </c>
      <c r="G26" s="140">
        <v>198</v>
      </c>
      <c r="H26" s="190"/>
      <c r="I26" s="190"/>
      <c r="J26" s="191"/>
      <c r="K26" s="179">
        <v>42429</v>
      </c>
      <c r="L26" s="99">
        <v>13.02</v>
      </c>
      <c r="M26" s="185">
        <v>192.13</v>
      </c>
      <c r="N26" s="331">
        <v>41397</v>
      </c>
      <c r="O26" s="194">
        <v>71.819999999999993</v>
      </c>
      <c r="P26" s="21">
        <v>181.18</v>
      </c>
      <c r="Q26" s="198">
        <v>41793</v>
      </c>
      <c r="R26" s="110">
        <v>5.05</v>
      </c>
      <c r="S26" s="26">
        <v>165.4</v>
      </c>
      <c r="T26" s="202">
        <v>41793</v>
      </c>
      <c r="U26" s="4">
        <v>5.48</v>
      </c>
      <c r="V26" s="208">
        <v>164.63</v>
      </c>
      <c r="W26" s="206">
        <v>41764</v>
      </c>
      <c r="X26" s="114">
        <v>41.44</v>
      </c>
      <c r="Y26" s="222">
        <v>120.8</v>
      </c>
      <c r="Z26" s="206">
        <v>41793</v>
      </c>
      <c r="AA26" s="114">
        <v>2.94</v>
      </c>
      <c r="AB26" s="222">
        <v>146.01</v>
      </c>
      <c r="AC26" s="228">
        <v>41228</v>
      </c>
      <c r="AD26" s="99">
        <v>45.58</v>
      </c>
      <c r="AE26" s="234">
        <v>114.68</v>
      </c>
      <c r="AF26" s="228">
        <v>42887</v>
      </c>
      <c r="AG26" s="99">
        <v>6.9</v>
      </c>
      <c r="AH26" s="222">
        <v>136.43</v>
      </c>
      <c r="AI26" s="206">
        <v>40745</v>
      </c>
      <c r="AJ26" s="114">
        <v>91.55</v>
      </c>
      <c r="AK26" s="222">
        <v>117.99</v>
      </c>
      <c r="AL26" s="206">
        <v>40263</v>
      </c>
      <c r="AM26" s="114">
        <v>61.17</v>
      </c>
      <c r="AN26" s="234">
        <v>129.05000000000001</v>
      </c>
      <c r="AO26" s="206">
        <v>41278</v>
      </c>
      <c r="AP26" s="180">
        <f>(AP25+AP27)/2</f>
        <v>36.125</v>
      </c>
      <c r="AQ26" s="185">
        <v>133.43</v>
      </c>
      <c r="AR26" s="9">
        <v>37845</v>
      </c>
      <c r="AS26" s="10">
        <v>24.25</v>
      </c>
      <c r="AT26" s="10">
        <v>140.4</v>
      </c>
      <c r="AU26" s="9">
        <v>37431</v>
      </c>
      <c r="AV26" s="10">
        <v>71.64</v>
      </c>
      <c r="AW26" s="257">
        <v>89.6</v>
      </c>
      <c r="AX26" s="239">
        <v>41171</v>
      </c>
      <c r="AY26" s="125">
        <v>64.459999999999994</v>
      </c>
      <c r="AZ26" s="185">
        <v>104.74</v>
      </c>
      <c r="BA26" s="9">
        <v>38999</v>
      </c>
      <c r="BB26" s="10">
        <v>11.13</v>
      </c>
      <c r="BC26" s="257">
        <v>130.25</v>
      </c>
      <c r="BD26" s="239">
        <v>41368</v>
      </c>
      <c r="BE26" s="125">
        <v>69.45</v>
      </c>
      <c r="BF26" s="269">
        <v>100.99</v>
      </c>
      <c r="BG26" s="172">
        <v>41278</v>
      </c>
      <c r="BH26" s="99">
        <v>34.74</v>
      </c>
      <c r="BI26" s="185">
        <v>136.26</v>
      </c>
      <c r="BJ26" s="5">
        <v>41471</v>
      </c>
      <c r="BK26" s="6">
        <v>35.58</v>
      </c>
      <c r="BL26" s="6">
        <v>139.41999999999999</v>
      </c>
    </row>
    <row r="27" spans="1:64" ht="15" thickBot="1" x14ac:dyDescent="0.35">
      <c r="A27" s="167">
        <v>41506</v>
      </c>
      <c r="B27" s="140">
        <v>35.549999999999997</v>
      </c>
      <c r="C27" s="140">
        <v>139.44999999999999</v>
      </c>
      <c r="D27" s="140"/>
      <c r="E27" s="179">
        <v>42255</v>
      </c>
      <c r="F27" s="112">
        <v>11.26</v>
      </c>
      <c r="G27" s="140">
        <v>198</v>
      </c>
      <c r="H27" s="190"/>
      <c r="I27" s="190"/>
      <c r="J27" s="191"/>
      <c r="K27" s="179">
        <v>42471</v>
      </c>
      <c r="L27" s="99">
        <v>12.32</v>
      </c>
      <c r="M27" s="185">
        <v>193.89</v>
      </c>
      <c r="N27" s="193">
        <v>41437</v>
      </c>
      <c r="O27" s="194">
        <v>71.75</v>
      </c>
      <c r="P27" s="21">
        <v>181.25</v>
      </c>
      <c r="Q27" s="198">
        <v>42221</v>
      </c>
      <c r="R27" s="110">
        <v>5.89</v>
      </c>
      <c r="S27" s="26">
        <v>165.2</v>
      </c>
      <c r="T27" s="202">
        <v>42221</v>
      </c>
      <c r="U27" s="4">
        <v>5.73</v>
      </c>
      <c r="V27" s="208">
        <v>164.6</v>
      </c>
      <c r="W27" s="206">
        <v>41793</v>
      </c>
      <c r="X27" s="114">
        <v>41.56</v>
      </c>
      <c r="Y27" s="222">
        <v>120.77</v>
      </c>
      <c r="Z27" s="206">
        <v>41877</v>
      </c>
      <c r="AA27" s="114">
        <v>2.77</v>
      </c>
      <c r="AB27" s="222">
        <v>145.96</v>
      </c>
      <c r="AC27" s="228">
        <v>41235</v>
      </c>
      <c r="AD27" s="99">
        <v>45.41</v>
      </c>
      <c r="AE27" s="234">
        <v>114.64</v>
      </c>
      <c r="AF27" s="228">
        <v>43011</v>
      </c>
      <c r="AG27" s="99">
        <v>5.18</v>
      </c>
      <c r="AH27" s="222">
        <v>136.41999999999999</v>
      </c>
      <c r="AI27" s="206">
        <v>40777</v>
      </c>
      <c r="AJ27" s="114">
        <v>91.34</v>
      </c>
      <c r="AK27" s="222">
        <v>118.17</v>
      </c>
      <c r="AL27" s="206">
        <v>40264</v>
      </c>
      <c r="AM27" s="114">
        <v>61.17</v>
      </c>
      <c r="AN27" s="234">
        <v>129.02000000000001</v>
      </c>
      <c r="AO27" s="206">
        <v>41368</v>
      </c>
      <c r="AP27" s="99">
        <v>36.5</v>
      </c>
      <c r="AQ27" s="185">
        <v>133.22</v>
      </c>
      <c r="AR27" s="9">
        <v>37873</v>
      </c>
      <c r="AS27" s="10">
        <v>24.17</v>
      </c>
      <c r="AT27" s="10">
        <v>140.47999999999999</v>
      </c>
      <c r="AU27" s="9">
        <v>37440</v>
      </c>
      <c r="AV27" s="10">
        <v>71.73</v>
      </c>
      <c r="AW27" s="257">
        <v>89.51</v>
      </c>
      <c r="AX27" s="239">
        <v>41191</v>
      </c>
      <c r="AY27" s="125">
        <v>64.56</v>
      </c>
      <c r="AZ27" s="185">
        <v>104.67</v>
      </c>
      <c r="BA27" s="9">
        <v>39107</v>
      </c>
      <c r="BB27" s="10">
        <v>11.21</v>
      </c>
      <c r="BC27" s="257">
        <v>130.16999999999999</v>
      </c>
      <c r="BD27" s="239">
        <v>41401</v>
      </c>
      <c r="BE27" s="125">
        <v>69.22</v>
      </c>
      <c r="BF27" s="269">
        <v>100.86</v>
      </c>
      <c r="BG27" s="172">
        <v>41368</v>
      </c>
      <c r="BH27" s="99">
        <v>34.97</v>
      </c>
      <c r="BI27" s="185">
        <v>136.03</v>
      </c>
      <c r="BJ27" s="5">
        <v>41506</v>
      </c>
      <c r="BK27" s="6">
        <v>35.549999999999997</v>
      </c>
      <c r="BL27" s="6">
        <v>139.44999999999999</v>
      </c>
    </row>
    <row r="28" spans="1:64" ht="15" thickBot="1" x14ac:dyDescent="0.35">
      <c r="A28" s="167">
        <v>41617</v>
      </c>
      <c r="B28" s="140">
        <v>35.85</v>
      </c>
      <c r="C28" s="140">
        <v>139.15</v>
      </c>
      <c r="D28" s="140"/>
      <c r="E28" s="179">
        <v>42292</v>
      </c>
      <c r="F28" s="112">
        <v>11.25</v>
      </c>
      <c r="G28" s="140">
        <v>198</v>
      </c>
      <c r="H28" s="190"/>
      <c r="I28" s="190"/>
      <c r="J28" s="191"/>
      <c r="K28" s="179">
        <v>42557</v>
      </c>
      <c r="L28" s="99">
        <v>11.27</v>
      </c>
      <c r="M28" s="185">
        <v>194.51</v>
      </c>
      <c r="N28" s="193">
        <v>41471</v>
      </c>
      <c r="O28" s="194">
        <v>71.739999999999995</v>
      </c>
      <c r="P28" s="21">
        <v>181.26</v>
      </c>
      <c r="Q28" s="198">
        <v>42306</v>
      </c>
      <c r="R28" s="110">
        <v>5.36</v>
      </c>
      <c r="S28" s="26">
        <v>165.1</v>
      </c>
      <c r="T28" s="202">
        <v>42306</v>
      </c>
      <c r="U28" s="4">
        <v>5.38</v>
      </c>
      <c r="V28" s="208">
        <v>164.52</v>
      </c>
      <c r="W28" s="206">
        <v>41877</v>
      </c>
      <c r="X28" s="114">
        <v>41.96</v>
      </c>
      <c r="Y28" s="222">
        <v>120.75</v>
      </c>
      <c r="Z28" s="206">
        <v>41936</v>
      </c>
      <c r="AA28" s="114">
        <v>2.5299999999999998</v>
      </c>
      <c r="AB28" s="222">
        <v>145.97</v>
      </c>
      <c r="AC28" s="228">
        <v>41278</v>
      </c>
      <c r="AD28" s="99">
        <v>45.76</v>
      </c>
      <c r="AE28" s="234">
        <v>114.83</v>
      </c>
      <c r="AF28" s="228">
        <v>43123</v>
      </c>
      <c r="AG28" s="99">
        <v>6.91</v>
      </c>
      <c r="AH28" s="222">
        <v>136.33000000000001</v>
      </c>
      <c r="AI28" s="206">
        <v>40814</v>
      </c>
      <c r="AJ28" s="114">
        <v>91.29</v>
      </c>
      <c r="AK28" s="222">
        <v>118.02</v>
      </c>
      <c r="AL28" s="206">
        <v>40265</v>
      </c>
      <c r="AM28" s="114">
        <v>61.16</v>
      </c>
      <c r="AN28" s="234">
        <v>128.82</v>
      </c>
      <c r="AO28" s="206">
        <v>41401</v>
      </c>
      <c r="AP28" s="99">
        <v>36.79</v>
      </c>
      <c r="AQ28" s="185">
        <v>133.38</v>
      </c>
      <c r="AR28" s="9">
        <v>37901</v>
      </c>
      <c r="AS28" s="10">
        <v>24.1</v>
      </c>
      <c r="AT28" s="10">
        <v>140.55000000000001</v>
      </c>
      <c r="AU28" s="9">
        <v>37448</v>
      </c>
      <c r="AV28" s="10">
        <v>71.94</v>
      </c>
      <c r="AW28" s="257">
        <v>89.3</v>
      </c>
      <c r="AX28" s="239">
        <v>41235</v>
      </c>
      <c r="AY28" s="125">
        <v>64.75</v>
      </c>
      <c r="AZ28" s="185">
        <v>104.05</v>
      </c>
      <c r="BA28" s="9">
        <v>39213</v>
      </c>
      <c r="BB28" s="10">
        <v>11.41</v>
      </c>
      <c r="BC28" s="257">
        <v>129.97</v>
      </c>
      <c r="BD28" s="239">
        <v>41437</v>
      </c>
      <c r="BE28" s="125">
        <v>69.790000000000006</v>
      </c>
      <c r="BF28" s="269">
        <v>100.79</v>
      </c>
      <c r="BG28" s="172">
        <v>41401</v>
      </c>
      <c r="BH28" s="99">
        <v>35.14</v>
      </c>
      <c r="BI28" s="185">
        <v>135.86000000000001</v>
      </c>
      <c r="BJ28" s="5">
        <v>41617</v>
      </c>
      <c r="BK28" s="6">
        <v>35.85</v>
      </c>
      <c r="BL28" s="6">
        <v>139.15</v>
      </c>
    </row>
    <row r="29" spans="1:64" ht="15" thickBot="1" x14ac:dyDescent="0.35">
      <c r="A29" s="167">
        <v>41647</v>
      </c>
      <c r="B29" s="140">
        <v>36.54</v>
      </c>
      <c r="C29" s="140">
        <v>138.46</v>
      </c>
      <c r="D29" s="140"/>
      <c r="E29" s="179">
        <v>42353</v>
      </c>
      <c r="F29" s="112">
        <v>11.026</v>
      </c>
      <c r="G29" s="140">
        <v>198</v>
      </c>
      <c r="H29" s="190"/>
      <c r="I29" s="190"/>
      <c r="J29" s="191"/>
      <c r="K29" s="179">
        <v>42591</v>
      </c>
      <c r="L29" s="99">
        <v>10.1</v>
      </c>
      <c r="M29" s="185">
        <v>194.93</v>
      </c>
      <c r="N29" s="193">
        <v>41506</v>
      </c>
      <c r="O29" s="194">
        <v>72.02</v>
      </c>
      <c r="P29" s="21">
        <v>180.98</v>
      </c>
      <c r="Q29" s="198">
        <v>42387</v>
      </c>
      <c r="R29" s="110">
        <v>5.78</v>
      </c>
      <c r="S29" s="26">
        <v>165.15</v>
      </c>
      <c r="T29" s="202">
        <v>42387</v>
      </c>
      <c r="U29" s="4">
        <v>5.61</v>
      </c>
      <c r="V29" s="208">
        <v>164.66</v>
      </c>
      <c r="W29" s="206">
        <v>41936</v>
      </c>
      <c r="X29" s="114">
        <v>42.11</v>
      </c>
      <c r="Y29" s="222">
        <v>120.74</v>
      </c>
      <c r="Z29" s="206">
        <v>42009</v>
      </c>
      <c r="AA29" s="114">
        <v>3</v>
      </c>
      <c r="AB29" s="222">
        <v>145.94999999999999</v>
      </c>
      <c r="AC29" s="228">
        <v>41368</v>
      </c>
      <c r="AD29" s="99">
        <v>46.02</v>
      </c>
      <c r="AE29" s="234">
        <v>113.83</v>
      </c>
      <c r="AF29" s="228">
        <v>43558</v>
      </c>
      <c r="AG29" s="99">
        <v>6.95</v>
      </c>
      <c r="AH29" s="222">
        <v>136.43</v>
      </c>
      <c r="AI29" s="206">
        <v>40834</v>
      </c>
      <c r="AJ29" s="114">
        <v>91.3</v>
      </c>
      <c r="AK29" s="222">
        <v>118.07</v>
      </c>
      <c r="AL29" s="206">
        <v>40266</v>
      </c>
      <c r="AM29" s="114">
        <v>61.15</v>
      </c>
      <c r="AN29" s="234">
        <v>128.80000000000001</v>
      </c>
      <c r="AO29" s="206">
        <v>41437</v>
      </c>
      <c r="AP29" s="99">
        <v>36.97</v>
      </c>
      <c r="AQ29" s="185">
        <v>133.32</v>
      </c>
      <c r="AR29" s="9">
        <v>37936</v>
      </c>
      <c r="AS29" s="10">
        <v>24.33</v>
      </c>
      <c r="AT29" s="10">
        <v>140.32</v>
      </c>
      <c r="AU29" s="9">
        <v>37453</v>
      </c>
      <c r="AV29" s="10">
        <v>72.03</v>
      </c>
      <c r="AW29" s="257">
        <v>89.21</v>
      </c>
      <c r="AX29" s="239">
        <v>41278</v>
      </c>
      <c r="AY29" s="125">
        <v>65</v>
      </c>
      <c r="AZ29" s="185">
        <v>104.03</v>
      </c>
      <c r="BA29" s="9">
        <v>39939</v>
      </c>
      <c r="BB29" s="10">
        <v>11.34</v>
      </c>
      <c r="BC29" s="257">
        <v>130.04</v>
      </c>
      <c r="BD29" s="239">
        <v>41471</v>
      </c>
      <c r="BE29" s="125">
        <v>69.91</v>
      </c>
      <c r="BF29" s="269">
        <v>100.82</v>
      </c>
      <c r="BG29" s="172">
        <v>41437</v>
      </c>
      <c r="BH29" s="99">
        <v>35.24</v>
      </c>
      <c r="BI29" s="185">
        <v>135.76</v>
      </c>
      <c r="BJ29" s="5">
        <v>41647</v>
      </c>
      <c r="BK29" s="6">
        <v>36.54</v>
      </c>
      <c r="BL29" s="6">
        <v>138.46</v>
      </c>
    </row>
    <row r="30" spans="1:64" ht="15" thickBot="1" x14ac:dyDescent="0.35">
      <c r="A30" s="167">
        <v>41683</v>
      </c>
      <c r="B30" s="140">
        <v>36.72</v>
      </c>
      <c r="C30" s="140">
        <v>138.28</v>
      </c>
      <c r="D30" s="140"/>
      <c r="E30" s="179">
        <v>42429</v>
      </c>
      <c r="F30" s="112">
        <v>11.25</v>
      </c>
      <c r="G30" s="140">
        <v>188.18</v>
      </c>
      <c r="H30" s="190"/>
      <c r="I30" s="190"/>
      <c r="J30" s="191"/>
      <c r="K30" s="179">
        <v>42858</v>
      </c>
      <c r="L30" s="99">
        <v>9.4600000000000009</v>
      </c>
      <c r="M30" s="185">
        <v>195.54</v>
      </c>
      <c r="N30" s="193">
        <v>41555</v>
      </c>
      <c r="O30" s="194">
        <v>72.010000000000005</v>
      </c>
      <c r="P30" s="21">
        <v>180.99</v>
      </c>
      <c r="Q30" s="198">
        <v>42429</v>
      </c>
      <c r="R30" s="110">
        <v>5.63</v>
      </c>
      <c r="S30" s="26">
        <v>165.47</v>
      </c>
      <c r="T30" s="202">
        <v>42429</v>
      </c>
      <c r="U30" s="4">
        <v>5.67</v>
      </c>
      <c r="V30" s="208">
        <v>165.1</v>
      </c>
      <c r="W30" s="206">
        <v>42009</v>
      </c>
      <c r="X30" s="114">
        <v>42.1</v>
      </c>
      <c r="Y30" s="222">
        <v>120.4</v>
      </c>
      <c r="Z30" s="206">
        <v>42109</v>
      </c>
      <c r="AA30" s="114">
        <v>2.65</v>
      </c>
      <c r="AB30" s="222">
        <v>145.44</v>
      </c>
      <c r="AC30" s="228">
        <v>41401</v>
      </c>
      <c r="AD30" s="99">
        <v>46.12</v>
      </c>
      <c r="AE30" s="234">
        <v>113.93</v>
      </c>
      <c r="AF30" s="228">
        <v>44008</v>
      </c>
      <c r="AG30" s="114">
        <v>7.27</v>
      </c>
      <c r="AH30" s="222">
        <v>136.38</v>
      </c>
      <c r="AI30" s="206">
        <v>40864</v>
      </c>
      <c r="AJ30" s="114">
        <v>91.3</v>
      </c>
      <c r="AK30" s="222">
        <v>118.01</v>
      </c>
      <c r="AL30" s="206">
        <v>40267</v>
      </c>
      <c r="AM30" s="114">
        <v>61.16</v>
      </c>
      <c r="AN30" s="234">
        <v>128.81</v>
      </c>
      <c r="AO30" s="206">
        <v>41471</v>
      </c>
      <c r="AP30" s="99">
        <v>36.99</v>
      </c>
      <c r="AQ30" s="185">
        <v>133.49</v>
      </c>
      <c r="AR30" s="9">
        <v>37951</v>
      </c>
      <c r="AS30" s="10">
        <v>24.3</v>
      </c>
      <c r="AT30" s="10">
        <v>140.35</v>
      </c>
      <c r="AU30" s="9">
        <v>37459</v>
      </c>
      <c r="AV30" s="10">
        <v>72.099999999999994</v>
      </c>
      <c r="AW30" s="257">
        <v>89.14</v>
      </c>
      <c r="AX30" s="239">
        <v>41368</v>
      </c>
      <c r="AY30" s="125">
        <v>65.23</v>
      </c>
      <c r="AZ30" s="185">
        <v>103.87</v>
      </c>
      <c r="BA30" s="9">
        <v>40049</v>
      </c>
      <c r="BB30" s="10">
        <v>11.47</v>
      </c>
      <c r="BC30" s="257">
        <v>129.91</v>
      </c>
      <c r="BD30" s="239">
        <v>41506</v>
      </c>
      <c r="BE30" s="125">
        <v>69.900000000000006</v>
      </c>
      <c r="BF30" s="269">
        <v>100.76</v>
      </c>
      <c r="BG30" s="172">
        <v>41471</v>
      </c>
      <c r="BH30" s="99">
        <v>35.31</v>
      </c>
      <c r="BI30" s="185">
        <v>135.69</v>
      </c>
      <c r="BJ30" s="5">
        <v>41683</v>
      </c>
      <c r="BK30" s="6">
        <v>36.72</v>
      </c>
      <c r="BL30" s="6">
        <v>138.28</v>
      </c>
    </row>
    <row r="31" spans="1:64" ht="15" thickBot="1" x14ac:dyDescent="0.35">
      <c r="A31" s="167">
        <v>41764</v>
      </c>
      <c r="B31" s="140">
        <v>36.950000000000003</v>
      </c>
      <c r="C31" s="140">
        <v>138.05000000000001</v>
      </c>
      <c r="D31" s="140"/>
      <c r="E31" s="179">
        <v>42471</v>
      </c>
      <c r="F31" s="112">
        <v>11.66</v>
      </c>
      <c r="G31" s="1">
        <v>198</v>
      </c>
      <c r="H31" s="190"/>
      <c r="I31" s="190"/>
      <c r="J31" s="191"/>
      <c r="K31" s="179">
        <v>42888</v>
      </c>
      <c r="L31" s="99">
        <v>8.8699999999999992</v>
      </c>
      <c r="M31" s="185">
        <v>195.37</v>
      </c>
      <c r="N31" s="193">
        <v>41556</v>
      </c>
      <c r="O31" s="194">
        <v>71.959999999999994</v>
      </c>
      <c r="P31" s="21">
        <v>181.04</v>
      </c>
      <c r="Q31" s="198">
        <v>42471</v>
      </c>
      <c r="R31" s="110">
        <v>5.77</v>
      </c>
      <c r="S31" s="26">
        <v>165.35</v>
      </c>
      <c r="T31" s="202">
        <v>42471</v>
      </c>
      <c r="U31" s="4">
        <v>6</v>
      </c>
      <c r="V31" s="208">
        <v>164.9</v>
      </c>
      <c r="W31" s="206">
        <v>42109</v>
      </c>
      <c r="X31" s="114">
        <v>42.37</v>
      </c>
      <c r="Y31" s="222">
        <v>120.4</v>
      </c>
      <c r="Z31" s="206">
        <v>42220</v>
      </c>
      <c r="AA31" s="114">
        <v>3.3</v>
      </c>
      <c r="AB31" s="222">
        <v>145.72</v>
      </c>
      <c r="AC31" s="228">
        <v>41437</v>
      </c>
      <c r="AD31" s="99">
        <v>46.37</v>
      </c>
      <c r="AE31" s="234">
        <v>113.98</v>
      </c>
      <c r="AF31" s="228">
        <v>43952</v>
      </c>
      <c r="AG31" s="114">
        <v>7.38</v>
      </c>
      <c r="AH31" s="222">
        <v>136.36000000000001</v>
      </c>
      <c r="AI31" s="206">
        <v>40889</v>
      </c>
      <c r="AJ31" s="114">
        <v>91.3</v>
      </c>
      <c r="AK31" s="222">
        <v>117.94</v>
      </c>
      <c r="AL31" s="206">
        <v>40268</v>
      </c>
      <c r="AM31" s="114">
        <v>61.17</v>
      </c>
      <c r="AN31" s="234">
        <v>128.96</v>
      </c>
      <c r="AO31" s="206">
        <v>41506</v>
      </c>
      <c r="AP31" s="99">
        <v>37.130000000000003</v>
      </c>
      <c r="AQ31" s="185">
        <v>133.34</v>
      </c>
      <c r="AR31" s="9">
        <v>37993</v>
      </c>
      <c r="AS31" s="10">
        <v>24.43</v>
      </c>
      <c r="AT31" s="10">
        <v>140.22</v>
      </c>
      <c r="AU31" s="9">
        <v>37466</v>
      </c>
      <c r="AV31" s="10">
        <v>72.28</v>
      </c>
      <c r="AW31" s="257">
        <v>88.96</v>
      </c>
      <c r="AX31" s="239">
        <v>41401</v>
      </c>
      <c r="AY31" s="125">
        <v>65.400000000000006</v>
      </c>
      <c r="AZ31" s="185">
        <v>103.85</v>
      </c>
      <c r="BA31" s="9">
        <v>40099</v>
      </c>
      <c r="BB31" s="10">
        <v>12.53</v>
      </c>
      <c r="BC31" s="257">
        <v>128.85</v>
      </c>
      <c r="BD31" s="239">
        <v>41555</v>
      </c>
      <c r="BE31" s="125">
        <v>70.2</v>
      </c>
      <c r="BF31" s="269">
        <v>100.64</v>
      </c>
      <c r="BG31" s="172">
        <v>41506</v>
      </c>
      <c r="BH31" s="99">
        <v>35.32</v>
      </c>
      <c r="BI31" s="185">
        <v>135.68</v>
      </c>
      <c r="BJ31" s="5">
        <v>41764</v>
      </c>
      <c r="BK31" s="6">
        <v>36.950000000000003</v>
      </c>
      <c r="BL31" s="6">
        <v>138.05000000000001</v>
      </c>
    </row>
    <row r="32" spans="1:64" ht="15" thickBot="1" x14ac:dyDescent="0.35">
      <c r="A32" s="167">
        <v>41793</v>
      </c>
      <c r="B32" s="140">
        <v>36.979999999999997</v>
      </c>
      <c r="C32" s="140">
        <v>138.02000000000001</v>
      </c>
      <c r="D32" s="182"/>
      <c r="E32" s="179">
        <v>42557</v>
      </c>
      <c r="F32" s="112">
        <v>9.76</v>
      </c>
      <c r="K32" s="179">
        <v>43122</v>
      </c>
      <c r="L32" s="99">
        <v>7.11</v>
      </c>
      <c r="N32" s="193">
        <v>41617</v>
      </c>
      <c r="O32" s="194">
        <v>72.14</v>
      </c>
      <c r="P32" s="21">
        <v>180.86</v>
      </c>
      <c r="Q32" s="198">
        <v>42611</v>
      </c>
      <c r="R32" s="110">
        <v>5.63</v>
      </c>
      <c r="S32" s="26">
        <v>165.37</v>
      </c>
      <c r="T32" s="202">
        <v>42611</v>
      </c>
      <c r="U32" s="4">
        <v>6.68</v>
      </c>
      <c r="V32" s="208">
        <v>164.84</v>
      </c>
      <c r="W32" s="206">
        <v>42220</v>
      </c>
      <c r="X32" s="114">
        <v>42.51</v>
      </c>
      <c r="Y32" s="222">
        <v>119.55</v>
      </c>
      <c r="Z32" s="206">
        <v>42306</v>
      </c>
      <c r="AA32" s="114">
        <v>2.72</v>
      </c>
      <c r="AB32" s="222">
        <v>145.94999999999999</v>
      </c>
      <c r="AC32" s="228">
        <v>41471</v>
      </c>
      <c r="AD32" s="99">
        <v>46.57</v>
      </c>
      <c r="AE32" s="234">
        <v>113.98</v>
      </c>
      <c r="AF32" s="228">
        <v>44440</v>
      </c>
      <c r="AG32" s="99">
        <v>6.89</v>
      </c>
      <c r="AH32" s="222">
        <v>136.43</v>
      </c>
      <c r="AI32" s="206">
        <v>40911</v>
      </c>
      <c r="AJ32" s="114">
        <v>91.3</v>
      </c>
      <c r="AK32" s="222">
        <v>118</v>
      </c>
      <c r="AL32" s="206">
        <v>40269</v>
      </c>
      <c r="AM32" s="114">
        <v>61.17</v>
      </c>
      <c r="AN32" s="234">
        <v>128.86000000000001</v>
      </c>
      <c r="AO32" s="206">
        <v>41555</v>
      </c>
      <c r="AP32" s="99">
        <v>37.18</v>
      </c>
      <c r="AQ32" s="185">
        <v>133.30000000000001</v>
      </c>
      <c r="AR32" s="9">
        <v>38078</v>
      </c>
      <c r="AS32" s="10">
        <v>24.4</v>
      </c>
      <c r="AT32" s="10">
        <v>140.25</v>
      </c>
      <c r="AU32" s="9">
        <v>37474</v>
      </c>
      <c r="AV32" s="10">
        <v>72.08</v>
      </c>
      <c r="AW32" s="257">
        <v>89.16</v>
      </c>
      <c r="AX32" s="239">
        <v>41437</v>
      </c>
      <c r="AY32" s="125">
        <v>65.7</v>
      </c>
      <c r="AZ32" s="185">
        <v>103.79</v>
      </c>
      <c r="BA32" s="9">
        <v>40190</v>
      </c>
      <c r="BB32" s="10">
        <v>11.7</v>
      </c>
      <c r="BC32" s="257">
        <v>129.68</v>
      </c>
      <c r="BD32" s="239">
        <v>41556</v>
      </c>
      <c r="BE32" s="125">
        <v>70.17</v>
      </c>
      <c r="BF32" s="269">
        <v>101.1</v>
      </c>
      <c r="BG32" s="172">
        <v>41556</v>
      </c>
      <c r="BH32" s="99">
        <v>35.409999999999997</v>
      </c>
      <c r="BI32" s="185">
        <v>135.59</v>
      </c>
      <c r="BJ32" s="5">
        <v>41793</v>
      </c>
      <c r="BK32" s="6">
        <v>36.979999999999997</v>
      </c>
      <c r="BL32" s="6">
        <v>138.02000000000001</v>
      </c>
    </row>
    <row r="33" spans="1:64" ht="15" thickBot="1" x14ac:dyDescent="0.35">
      <c r="A33" s="167">
        <v>41830</v>
      </c>
      <c r="B33" s="116">
        <v>37.03</v>
      </c>
      <c r="C33" s="140">
        <v>137.97</v>
      </c>
      <c r="D33" s="182"/>
      <c r="E33" s="179">
        <v>42591</v>
      </c>
      <c r="F33" s="112">
        <v>9.7100000000000009</v>
      </c>
      <c r="K33" s="179">
        <v>43263</v>
      </c>
      <c r="L33" s="99">
        <v>6.49</v>
      </c>
      <c r="N33" s="193">
        <v>41647</v>
      </c>
      <c r="O33" s="194">
        <v>72.12</v>
      </c>
      <c r="P33" s="21">
        <v>180.88</v>
      </c>
      <c r="Q33" s="198">
        <v>42781</v>
      </c>
      <c r="R33" s="110">
        <v>5.86</v>
      </c>
      <c r="S33" s="26">
        <v>165.4</v>
      </c>
      <c r="T33" s="202">
        <v>42781</v>
      </c>
      <c r="U33" s="4">
        <v>6.96</v>
      </c>
      <c r="V33" s="208">
        <v>164.88</v>
      </c>
      <c r="W33" s="206">
        <v>42306</v>
      </c>
      <c r="X33" s="114">
        <v>42.79</v>
      </c>
      <c r="Y33" s="222">
        <v>120.61</v>
      </c>
      <c r="Z33" s="206">
        <v>42353</v>
      </c>
      <c r="AA33" s="114">
        <v>3.26</v>
      </c>
      <c r="AB33" s="222">
        <v>146.71</v>
      </c>
      <c r="AC33" s="228">
        <v>41506</v>
      </c>
      <c r="AD33" s="99">
        <v>46.46</v>
      </c>
      <c r="AE33" s="234">
        <v>113.96</v>
      </c>
      <c r="AF33" s="228">
        <v>44600</v>
      </c>
      <c r="AG33" s="99">
        <v>7.43</v>
      </c>
      <c r="AH33" s="222">
        <v>136.33000000000001</v>
      </c>
      <c r="AI33" s="206">
        <v>40967</v>
      </c>
      <c r="AJ33" s="114">
        <v>91.25</v>
      </c>
      <c r="AK33" s="222">
        <v>117.99</v>
      </c>
      <c r="AL33" s="206">
        <v>40270</v>
      </c>
      <c r="AM33" s="114">
        <v>61.17</v>
      </c>
      <c r="AN33" s="234">
        <v>128.85</v>
      </c>
      <c r="AO33" s="206">
        <v>41556</v>
      </c>
      <c r="AP33" s="99">
        <v>37.18</v>
      </c>
      <c r="AQ33" s="185">
        <v>132.69999999999999</v>
      </c>
      <c r="AR33" s="9">
        <v>38105</v>
      </c>
      <c r="AS33" s="10">
        <v>24.12</v>
      </c>
      <c r="AT33" s="10">
        <v>140.53</v>
      </c>
      <c r="AU33" s="9">
        <v>37480</v>
      </c>
      <c r="AV33" s="10">
        <v>72.099999999999994</v>
      </c>
      <c r="AW33" s="257">
        <v>89.14</v>
      </c>
      <c r="AX33" s="252">
        <v>41471</v>
      </c>
      <c r="AY33" s="125">
        <v>65.430000000000007</v>
      </c>
      <c r="AZ33" s="185">
        <v>104.54</v>
      </c>
      <c r="BA33" s="9">
        <v>40238</v>
      </c>
      <c r="BB33" s="10">
        <v>13</v>
      </c>
      <c r="BC33" s="257">
        <v>128.38</v>
      </c>
      <c r="BD33" s="239">
        <v>41617</v>
      </c>
      <c r="BE33" s="125">
        <v>70.569999999999993</v>
      </c>
      <c r="BF33" s="269">
        <v>101.07</v>
      </c>
      <c r="BG33" s="172">
        <v>41617</v>
      </c>
      <c r="BH33" s="99">
        <v>35.57</v>
      </c>
      <c r="BI33" s="185">
        <v>135.43</v>
      </c>
      <c r="BJ33" s="5">
        <v>41830</v>
      </c>
      <c r="BK33" s="4">
        <v>37.03</v>
      </c>
      <c r="BL33" s="6">
        <v>137.97</v>
      </c>
    </row>
    <row r="34" spans="1:64" ht="15" thickBot="1" x14ac:dyDescent="0.35">
      <c r="A34" s="167">
        <v>41976</v>
      </c>
      <c r="B34" s="140">
        <v>36.979999999999997</v>
      </c>
      <c r="C34" s="140">
        <v>138.02000000000001</v>
      </c>
      <c r="D34" s="182"/>
      <c r="E34" s="179">
        <v>42768</v>
      </c>
      <c r="F34" s="112">
        <v>9.7349999999999994</v>
      </c>
      <c r="K34" s="179">
        <v>43297</v>
      </c>
      <c r="L34" s="99">
        <v>6.07</v>
      </c>
      <c r="N34" s="193">
        <v>41683</v>
      </c>
      <c r="O34" s="194">
        <v>72.3</v>
      </c>
      <c r="P34" s="21">
        <v>180.7</v>
      </c>
      <c r="Q34" s="198">
        <v>42888</v>
      </c>
      <c r="R34" s="110">
        <v>5.92</v>
      </c>
      <c r="S34" s="26">
        <v>165.3</v>
      </c>
      <c r="T34" s="202">
        <v>42888</v>
      </c>
      <c r="U34" s="4">
        <v>5.33</v>
      </c>
      <c r="V34" s="208">
        <v>164.95</v>
      </c>
      <c r="W34" s="206">
        <v>42353</v>
      </c>
      <c r="X34" s="207">
        <f>(X33+X35)/2</f>
        <v>42.844999999999999</v>
      </c>
      <c r="Y34" s="222">
        <v>120.38</v>
      </c>
      <c r="Z34" s="206">
        <v>42387</v>
      </c>
      <c r="AA34" s="114">
        <v>3.36</v>
      </c>
      <c r="AB34" s="222">
        <v>146.85</v>
      </c>
      <c r="AC34" s="228">
        <v>41555</v>
      </c>
      <c r="AD34" s="99">
        <v>46.6</v>
      </c>
      <c r="AE34" s="234">
        <v>114.21</v>
      </c>
      <c r="AF34" s="228">
        <v>44845</v>
      </c>
      <c r="AG34" s="99">
        <v>8.6300000000000008</v>
      </c>
      <c r="AH34" s="222">
        <v>137.03</v>
      </c>
      <c r="AI34" s="206">
        <v>41017</v>
      </c>
      <c r="AJ34" s="114">
        <v>91</v>
      </c>
      <c r="AK34" s="222">
        <v>118.05</v>
      </c>
      <c r="AL34" s="206">
        <v>40271</v>
      </c>
      <c r="AM34" s="114">
        <v>61.17</v>
      </c>
      <c r="AN34" s="234">
        <v>129.02000000000001</v>
      </c>
      <c r="AO34" s="206">
        <v>41617</v>
      </c>
      <c r="AP34" s="99">
        <v>37.15</v>
      </c>
      <c r="AQ34" s="185">
        <v>132.72</v>
      </c>
      <c r="AR34" s="9">
        <v>38117</v>
      </c>
      <c r="AS34" s="10">
        <v>24.1</v>
      </c>
      <c r="AT34" s="10">
        <v>140.55000000000001</v>
      </c>
      <c r="AU34" s="9">
        <v>37488</v>
      </c>
      <c r="AV34" s="10">
        <v>71.650000000000006</v>
      </c>
      <c r="AW34" s="257">
        <v>89.59</v>
      </c>
      <c r="AX34" s="252">
        <v>41506</v>
      </c>
      <c r="AY34" s="125">
        <v>65.42</v>
      </c>
      <c r="AZ34" s="185">
        <v>103.88</v>
      </c>
      <c r="BA34" s="9">
        <v>40777</v>
      </c>
      <c r="BB34" s="10">
        <v>10.43</v>
      </c>
      <c r="BC34" s="257">
        <v>130.94999999999999</v>
      </c>
      <c r="BD34" s="239">
        <v>41659</v>
      </c>
      <c r="BE34" s="125">
        <v>70.790000000000006</v>
      </c>
      <c r="BF34" s="269">
        <v>101.04</v>
      </c>
      <c r="BG34" s="172">
        <v>41647</v>
      </c>
      <c r="BH34" s="114">
        <v>35.72</v>
      </c>
      <c r="BI34" s="185">
        <v>135.28</v>
      </c>
      <c r="BJ34" s="5">
        <v>41976</v>
      </c>
      <c r="BK34" s="6">
        <v>36.979999999999997</v>
      </c>
      <c r="BL34" s="6">
        <v>138.02000000000001</v>
      </c>
    </row>
    <row r="35" spans="1:64" ht="15" thickBot="1" x14ac:dyDescent="0.35">
      <c r="A35" s="167">
        <v>42020</v>
      </c>
      <c r="B35" s="140">
        <v>38.76</v>
      </c>
      <c r="C35" s="140">
        <v>136.24</v>
      </c>
      <c r="D35" s="182"/>
      <c r="E35" s="179">
        <v>42888</v>
      </c>
      <c r="F35" s="327">
        <v>9.7225000000000001</v>
      </c>
      <c r="K35" s="179">
        <v>43559</v>
      </c>
      <c r="L35" s="99">
        <v>5.46</v>
      </c>
      <c r="N35" s="193">
        <v>41764</v>
      </c>
      <c r="O35" s="194">
        <v>72.52</v>
      </c>
      <c r="P35" s="21">
        <v>180.48</v>
      </c>
      <c r="Q35" s="198">
        <v>43011</v>
      </c>
      <c r="R35" s="110">
        <v>5.4</v>
      </c>
      <c r="S35" s="26">
        <v>165.33</v>
      </c>
      <c r="T35" s="202">
        <v>43011</v>
      </c>
      <c r="U35" s="4">
        <v>4.71</v>
      </c>
      <c r="V35" s="208">
        <v>164.96</v>
      </c>
      <c r="W35" s="206">
        <v>42387</v>
      </c>
      <c r="X35" s="114">
        <v>42.9</v>
      </c>
      <c r="Y35" s="222">
        <v>120.33</v>
      </c>
      <c r="Z35" s="206">
        <v>42429</v>
      </c>
      <c r="AA35" s="114">
        <v>3.36</v>
      </c>
      <c r="AB35" s="222">
        <v>146.9</v>
      </c>
      <c r="AC35" s="228">
        <v>41556</v>
      </c>
      <c r="AD35" s="99">
        <v>46.57</v>
      </c>
      <c r="AE35" s="234">
        <v>114.28</v>
      </c>
      <c r="AF35" s="201">
        <v>45078</v>
      </c>
      <c r="AG35" s="101">
        <v>8.98</v>
      </c>
      <c r="AH35" s="222">
        <v>137.75</v>
      </c>
      <c r="AI35" s="206">
        <v>41072</v>
      </c>
      <c r="AJ35" s="114">
        <v>91.15</v>
      </c>
      <c r="AK35" s="222">
        <v>118.02</v>
      </c>
      <c r="AL35" s="206">
        <v>40272</v>
      </c>
      <c r="AM35" s="114">
        <v>61.17</v>
      </c>
      <c r="AN35" s="234">
        <v>128.91999999999999</v>
      </c>
      <c r="AO35" s="206">
        <v>41647</v>
      </c>
      <c r="AP35" s="99">
        <v>37.200000000000003</v>
      </c>
      <c r="AQ35" s="185">
        <v>132.69999999999999</v>
      </c>
      <c r="AR35" s="9">
        <v>38133</v>
      </c>
      <c r="AS35" s="10">
        <v>24.09</v>
      </c>
      <c r="AT35" s="10">
        <v>140.56</v>
      </c>
      <c r="AU35" s="9">
        <v>37494</v>
      </c>
      <c r="AV35" s="10">
        <v>71.53</v>
      </c>
      <c r="AW35" s="257">
        <v>89.71</v>
      </c>
      <c r="AX35" s="239">
        <v>41555</v>
      </c>
      <c r="AY35" s="125">
        <v>65.459999999999994</v>
      </c>
      <c r="AZ35" s="185">
        <v>103.92</v>
      </c>
      <c r="BA35" s="9">
        <v>41025</v>
      </c>
      <c r="BB35" s="10">
        <v>11</v>
      </c>
      <c r="BC35" s="257">
        <v>130.38</v>
      </c>
      <c r="BD35" s="239">
        <v>41683</v>
      </c>
      <c r="BE35" s="125">
        <v>71.010000000000005</v>
      </c>
      <c r="BF35" s="269">
        <v>100.91</v>
      </c>
      <c r="BG35" s="172">
        <v>41683</v>
      </c>
      <c r="BH35" s="99">
        <v>35.9</v>
      </c>
      <c r="BI35" s="185">
        <v>135.1</v>
      </c>
      <c r="BJ35" s="5">
        <v>42110</v>
      </c>
      <c r="BK35" s="6">
        <v>38.76</v>
      </c>
      <c r="BL35" s="6">
        <v>136.24</v>
      </c>
    </row>
    <row r="36" spans="1:64" ht="15" thickBot="1" x14ac:dyDescent="0.35">
      <c r="A36" s="167">
        <v>42099</v>
      </c>
      <c r="B36" s="140">
        <v>38.19</v>
      </c>
      <c r="C36" s="140">
        <v>136.81</v>
      </c>
      <c r="D36" s="182"/>
      <c r="E36" s="181">
        <v>43177</v>
      </c>
      <c r="F36" s="328">
        <v>9.89</v>
      </c>
      <c r="K36" s="179">
        <v>43588</v>
      </c>
      <c r="L36" s="99">
        <v>5.63</v>
      </c>
      <c r="N36" s="193">
        <v>41793</v>
      </c>
      <c r="O36" s="194">
        <v>72.599999999999994</v>
      </c>
      <c r="P36" s="23">
        <v>180.4</v>
      </c>
      <c r="Q36" s="198">
        <v>43558</v>
      </c>
      <c r="R36" s="110">
        <v>5.58</v>
      </c>
      <c r="S36" s="213">
        <v>165.6</v>
      </c>
      <c r="T36" s="202">
        <v>43558</v>
      </c>
      <c r="U36" s="4">
        <v>5.85</v>
      </c>
      <c r="V36" s="208">
        <v>165</v>
      </c>
      <c r="W36" s="206">
        <v>42429</v>
      </c>
      <c r="X36" s="114">
        <v>42.98</v>
      </c>
      <c r="Y36" s="222">
        <v>120.44</v>
      </c>
      <c r="Z36" s="206">
        <v>42471</v>
      </c>
      <c r="AA36" s="114">
        <v>3.55</v>
      </c>
      <c r="AB36" s="222">
        <v>147.55000000000001</v>
      </c>
      <c r="AC36" s="228">
        <v>41617</v>
      </c>
      <c r="AD36" s="207">
        <f>(AD35+AD37)/2</f>
        <v>46.774999999999999</v>
      </c>
      <c r="AE36" s="234">
        <v>115.45</v>
      </c>
      <c r="AF36" s="201">
        <v>45177</v>
      </c>
      <c r="AG36" s="101">
        <v>7.9</v>
      </c>
      <c r="AH36" s="222">
        <v>136.94999999999999</v>
      </c>
      <c r="AI36" s="206">
        <v>41191</v>
      </c>
      <c r="AJ36" s="114">
        <v>91.34</v>
      </c>
      <c r="AK36" s="222">
        <v>118.01</v>
      </c>
      <c r="AL36" s="206">
        <v>40273</v>
      </c>
      <c r="AM36" s="114">
        <v>61.17</v>
      </c>
      <c r="AN36" s="234">
        <v>128.94999999999999</v>
      </c>
      <c r="AO36" s="206">
        <v>41683</v>
      </c>
      <c r="AP36" s="99">
        <v>37.24</v>
      </c>
      <c r="AQ36" s="185">
        <v>132.84</v>
      </c>
      <c r="AR36" s="9">
        <v>38161</v>
      </c>
      <c r="AS36" s="10">
        <v>24.17</v>
      </c>
      <c r="AT36" s="10">
        <v>140.47999999999999</v>
      </c>
      <c r="AU36" s="9">
        <v>37502</v>
      </c>
      <c r="AV36" s="10">
        <v>71.5</v>
      </c>
      <c r="AW36" s="257">
        <v>89.74</v>
      </c>
      <c r="AX36" s="239">
        <v>41556</v>
      </c>
      <c r="AY36" s="125">
        <v>65.58</v>
      </c>
      <c r="AZ36" s="185">
        <v>104.21</v>
      </c>
      <c r="BA36" s="9">
        <v>41235</v>
      </c>
      <c r="BB36" s="11">
        <v>10.94</v>
      </c>
      <c r="BC36" s="257">
        <v>130.44</v>
      </c>
      <c r="BD36" s="239">
        <v>41731</v>
      </c>
      <c r="BE36" s="125">
        <v>71.19</v>
      </c>
      <c r="BF36" s="269">
        <v>100.93</v>
      </c>
      <c r="BG36" s="172">
        <v>41731</v>
      </c>
      <c r="BH36" s="99">
        <v>35.92</v>
      </c>
      <c r="BI36" s="185">
        <v>135.08000000000001</v>
      </c>
      <c r="BJ36" s="5">
        <v>42009</v>
      </c>
      <c r="BK36" s="6">
        <v>38.19</v>
      </c>
      <c r="BL36" s="6">
        <v>136.81</v>
      </c>
    </row>
    <row r="37" spans="1:64" ht="15" thickBot="1" x14ac:dyDescent="0.35">
      <c r="A37" s="167">
        <v>42221</v>
      </c>
      <c r="B37" s="140">
        <v>39.17</v>
      </c>
      <c r="C37" s="140">
        <v>135.83000000000001</v>
      </c>
      <c r="D37" s="182"/>
      <c r="E37" s="179">
        <v>43263</v>
      </c>
      <c r="F37" s="327">
        <v>9.98</v>
      </c>
      <c r="K37" s="199">
        <v>43711</v>
      </c>
      <c r="L37" s="102">
        <f xml:space="preserve"> 0.0257*(9^3) - 0.274*(9^2) - 0.0495*(9) + 9.249</f>
        <v>5.3447999999999967</v>
      </c>
      <c r="N37" s="193">
        <v>41830</v>
      </c>
      <c r="O37" s="194">
        <v>72.81</v>
      </c>
      <c r="P37" s="23">
        <v>180.19</v>
      </c>
      <c r="Q37" s="198">
        <v>43763</v>
      </c>
      <c r="R37" s="110">
        <v>6.18</v>
      </c>
      <c r="S37" s="213">
        <v>165.32</v>
      </c>
      <c r="T37" s="202">
        <v>43763</v>
      </c>
      <c r="U37" s="4">
        <v>6.4</v>
      </c>
      <c r="V37" s="208">
        <v>164.9</v>
      </c>
      <c r="W37" s="206">
        <v>42471</v>
      </c>
      <c r="X37" s="114">
        <v>43.27</v>
      </c>
      <c r="Y37" s="222">
        <v>120.35</v>
      </c>
      <c r="Z37" s="206">
        <v>42611</v>
      </c>
      <c r="AA37" s="114">
        <v>3.04</v>
      </c>
      <c r="AB37" s="222">
        <v>147.41999999999999</v>
      </c>
      <c r="AC37" s="228">
        <v>41647</v>
      </c>
      <c r="AD37" s="99">
        <v>46.98</v>
      </c>
      <c r="AE37" s="234">
        <v>115.27</v>
      </c>
      <c r="AF37" s="201">
        <v>45286</v>
      </c>
      <c r="AG37" s="101">
        <v>7.75</v>
      </c>
      <c r="AH37" s="222">
        <v>137.15</v>
      </c>
      <c r="AI37" s="206">
        <v>41235</v>
      </c>
      <c r="AJ37" s="114">
        <v>91.31</v>
      </c>
      <c r="AK37" s="222">
        <v>117.89</v>
      </c>
      <c r="AL37" s="206">
        <v>40274</v>
      </c>
      <c r="AM37" s="114">
        <v>61.18</v>
      </c>
      <c r="AN37" s="234">
        <v>128.9</v>
      </c>
      <c r="AO37" s="206">
        <v>41731</v>
      </c>
      <c r="AP37" s="99">
        <v>37.450000000000003</v>
      </c>
      <c r="AQ37" s="185">
        <v>132.75</v>
      </c>
      <c r="AR37" s="9">
        <v>38170</v>
      </c>
      <c r="AS37" s="10">
        <v>24.05</v>
      </c>
      <c r="AT37" s="10">
        <v>140.6</v>
      </c>
      <c r="AU37" s="9">
        <v>37510</v>
      </c>
      <c r="AV37" s="10">
        <v>71.540000000000006</v>
      </c>
      <c r="AW37" s="257">
        <v>89.7</v>
      </c>
      <c r="AX37" s="239">
        <v>41617</v>
      </c>
      <c r="AY37" s="125">
        <v>66.349999999999994</v>
      </c>
      <c r="AZ37" s="185">
        <v>104.64</v>
      </c>
      <c r="BA37" s="9">
        <v>41278</v>
      </c>
      <c r="BB37" s="10">
        <v>11.16</v>
      </c>
      <c r="BC37" s="257">
        <v>130.22</v>
      </c>
      <c r="BD37" s="239">
        <v>41647</v>
      </c>
      <c r="BE37" s="125">
        <v>70.790000000000006</v>
      </c>
      <c r="BF37" s="269">
        <v>100.94</v>
      </c>
      <c r="BG37" s="172">
        <v>41764</v>
      </c>
      <c r="BH37" s="99">
        <v>36.229999999999997</v>
      </c>
      <c r="BI37" s="185">
        <v>134.77000000000001</v>
      </c>
      <c r="BJ37" s="5">
        <v>42221</v>
      </c>
      <c r="BK37" s="6">
        <v>39.17</v>
      </c>
      <c r="BL37" s="6">
        <v>135.83000000000001</v>
      </c>
    </row>
    <row r="38" spans="1:64" ht="15" thickBot="1" x14ac:dyDescent="0.35">
      <c r="A38" s="167">
        <v>42353</v>
      </c>
      <c r="B38" s="140">
        <v>39.69</v>
      </c>
      <c r="C38" s="140">
        <v>135.31</v>
      </c>
      <c r="D38" s="182"/>
      <c r="E38" s="181">
        <v>43409</v>
      </c>
      <c r="F38" s="328">
        <v>9.81</v>
      </c>
      <c r="K38" s="240">
        <v>43936</v>
      </c>
      <c r="L38" s="325">
        <f xml:space="preserve"> 0.0257*(9.01^3) - 0.274*(9^2) - 0.0495*(9) + 9.249</f>
        <v>5.4073204156999966</v>
      </c>
      <c r="N38" s="193">
        <v>41877</v>
      </c>
      <c r="O38" s="194">
        <v>72.84</v>
      </c>
      <c r="P38" s="23">
        <v>180.16</v>
      </c>
      <c r="Q38" s="198">
        <v>43952</v>
      </c>
      <c r="R38" s="110">
        <v>5.49</v>
      </c>
      <c r="S38" s="213">
        <v>165.37</v>
      </c>
      <c r="T38" s="203">
        <v>43952</v>
      </c>
      <c r="U38" s="204">
        <v>5.6</v>
      </c>
      <c r="V38" s="208">
        <v>164.85</v>
      </c>
      <c r="W38" s="206">
        <v>42611</v>
      </c>
      <c r="X38" s="114">
        <v>43.65</v>
      </c>
      <c r="Y38" s="222">
        <v>120.04</v>
      </c>
      <c r="Z38" s="206">
        <v>42781</v>
      </c>
      <c r="AA38" s="114">
        <v>3.33</v>
      </c>
      <c r="AB38" s="222">
        <v>147.11000000000001</v>
      </c>
      <c r="AC38" s="228">
        <v>41683</v>
      </c>
      <c r="AD38" s="99">
        <v>47</v>
      </c>
      <c r="AE38" s="234">
        <v>115.23</v>
      </c>
      <c r="AF38" s="232">
        <v>45595</v>
      </c>
      <c r="AG38" s="99">
        <v>7.51</v>
      </c>
      <c r="AH38" s="222">
        <v>137.03</v>
      </c>
      <c r="AI38" s="206">
        <v>41278</v>
      </c>
      <c r="AJ38" s="114">
        <v>91.52</v>
      </c>
      <c r="AK38" s="222">
        <v>117.84</v>
      </c>
      <c r="AL38" s="206">
        <v>40275</v>
      </c>
      <c r="AM38" s="114">
        <v>61.18</v>
      </c>
      <c r="AN38" s="234">
        <v>128.9</v>
      </c>
      <c r="AO38" s="206">
        <v>41683</v>
      </c>
      <c r="AP38" s="99">
        <v>37.24</v>
      </c>
      <c r="AQ38" s="185">
        <v>132.66</v>
      </c>
      <c r="AR38" s="9">
        <v>38183</v>
      </c>
      <c r="AS38" s="10">
        <v>24.15</v>
      </c>
      <c r="AT38" s="10">
        <v>140.5</v>
      </c>
      <c r="AU38" s="9">
        <v>37515</v>
      </c>
      <c r="AV38" s="10">
        <v>71.459999999999994</v>
      </c>
      <c r="AW38" s="257">
        <v>89.78</v>
      </c>
      <c r="AX38" s="252">
        <v>41647</v>
      </c>
      <c r="AY38" s="125">
        <v>66.52</v>
      </c>
      <c r="AZ38" s="185">
        <v>104.46</v>
      </c>
      <c r="BA38" s="9">
        <v>41401</v>
      </c>
      <c r="BB38" s="10">
        <v>11.61</v>
      </c>
      <c r="BC38" s="257">
        <v>129.77000000000001</v>
      </c>
      <c r="BD38" s="239">
        <v>41683</v>
      </c>
      <c r="BE38" s="125">
        <v>71.010000000000005</v>
      </c>
      <c r="BF38" s="269">
        <v>100.97</v>
      </c>
      <c r="BG38" s="172">
        <v>41793</v>
      </c>
      <c r="BH38" s="99">
        <v>36.270000000000003</v>
      </c>
      <c r="BI38" s="185">
        <v>134.72999999999999</v>
      </c>
      <c r="BJ38" s="5">
        <v>42353</v>
      </c>
      <c r="BK38" s="6">
        <v>39.69</v>
      </c>
      <c r="BL38" s="6">
        <v>135.31</v>
      </c>
    </row>
    <row r="39" spans="1:64" ht="15" thickBot="1" x14ac:dyDescent="0.35">
      <c r="A39" s="167">
        <v>42387</v>
      </c>
      <c r="B39" s="140">
        <v>39.93</v>
      </c>
      <c r="C39" s="140">
        <v>135.07</v>
      </c>
      <c r="D39" s="182"/>
      <c r="E39" s="179">
        <v>43559</v>
      </c>
      <c r="F39" s="327">
        <v>9.7287499999999998</v>
      </c>
      <c r="K39" s="240">
        <v>44112</v>
      </c>
      <c r="L39" s="325">
        <f xml:space="preserve"> 0.0257*(9.03^3) - 0.274*(9^2) - 0.0495*(9) + 9.249</f>
        <v>5.5327782038999951</v>
      </c>
      <c r="N39" s="193">
        <v>41906</v>
      </c>
      <c r="O39" s="194">
        <v>73.010000000000005</v>
      </c>
      <c r="P39" s="23">
        <v>179.99</v>
      </c>
      <c r="Q39" s="198">
        <v>44087</v>
      </c>
      <c r="R39" s="110">
        <v>5.52</v>
      </c>
      <c r="S39" s="216">
        <v>165.42</v>
      </c>
      <c r="T39" s="193">
        <v>43964</v>
      </c>
      <c r="U39" s="194">
        <v>4.57</v>
      </c>
      <c r="V39" s="217">
        <v>164.75</v>
      </c>
      <c r="W39" s="206">
        <v>42781</v>
      </c>
      <c r="X39" s="114">
        <v>43.64</v>
      </c>
      <c r="Y39" s="222">
        <v>120.43</v>
      </c>
      <c r="Z39" s="206">
        <v>42794</v>
      </c>
      <c r="AA39" s="114">
        <v>3.06</v>
      </c>
      <c r="AB39" s="222">
        <v>147.07</v>
      </c>
      <c r="AC39" s="228">
        <v>41731</v>
      </c>
      <c r="AD39" s="99">
        <v>47.14</v>
      </c>
      <c r="AE39" s="234">
        <v>114.39</v>
      </c>
      <c r="AF39" s="232">
        <v>45633</v>
      </c>
      <c r="AG39" s="85">
        <v>7.78</v>
      </c>
      <c r="AH39" s="222">
        <v>136.99</v>
      </c>
      <c r="AI39" s="206">
        <v>41368</v>
      </c>
      <c r="AJ39" s="114">
        <v>91.88</v>
      </c>
      <c r="AK39" s="222">
        <v>117.87</v>
      </c>
      <c r="AL39" s="206">
        <v>40276</v>
      </c>
      <c r="AM39" s="114">
        <v>61.18</v>
      </c>
      <c r="AN39" s="234">
        <v>128.91999999999999</v>
      </c>
      <c r="AO39" s="206">
        <v>41731</v>
      </c>
      <c r="AP39" s="99">
        <v>37.450000000000003</v>
      </c>
      <c r="AQ39" s="185">
        <v>132.72999999999999</v>
      </c>
      <c r="AR39" s="9">
        <v>38197</v>
      </c>
      <c r="AS39" s="10">
        <v>24.17</v>
      </c>
      <c r="AT39" s="10">
        <v>140.47999999999999</v>
      </c>
      <c r="AU39" s="9">
        <v>37522</v>
      </c>
      <c r="AV39" s="10">
        <v>71.38</v>
      </c>
      <c r="AW39" s="257">
        <v>89.86</v>
      </c>
      <c r="AX39" s="239">
        <v>41683</v>
      </c>
      <c r="AY39" s="125">
        <v>66.75</v>
      </c>
      <c r="AZ39" s="185">
        <v>104.15</v>
      </c>
      <c r="BA39" s="9">
        <v>41438</v>
      </c>
      <c r="BB39" s="10">
        <v>11.56</v>
      </c>
      <c r="BC39" s="257">
        <v>129.82</v>
      </c>
      <c r="BD39" s="239">
        <v>41731</v>
      </c>
      <c r="BE39" s="125">
        <v>71.19</v>
      </c>
      <c r="BF39" s="269">
        <v>100.93</v>
      </c>
      <c r="BG39" s="172">
        <v>41830</v>
      </c>
      <c r="BH39" s="99">
        <v>36.409999999999997</v>
      </c>
      <c r="BI39" s="185">
        <v>134.59</v>
      </c>
      <c r="BJ39" s="5">
        <v>42387</v>
      </c>
      <c r="BK39" s="6">
        <v>39.93</v>
      </c>
      <c r="BL39" s="6">
        <v>135.07</v>
      </c>
    </row>
    <row r="40" spans="1:64" ht="15" thickBot="1" x14ac:dyDescent="0.35">
      <c r="A40" s="167">
        <v>42429</v>
      </c>
      <c r="B40" s="140">
        <v>40.42</v>
      </c>
      <c r="C40" s="140">
        <v>134.58000000000001</v>
      </c>
      <c r="D40" s="182"/>
      <c r="E40" s="179">
        <v>43590</v>
      </c>
      <c r="F40" s="327">
        <v>9.8262499999999999</v>
      </c>
      <c r="K40" s="199">
        <v>44203</v>
      </c>
      <c r="L40" s="102">
        <f xml:space="preserve"> 0.0257*(9.04^3) - 0.274*(9^2) - 0.0495*(9) + 9.249</f>
        <v>5.5957158847999908</v>
      </c>
      <c r="N40" s="193">
        <v>41936</v>
      </c>
      <c r="O40" s="194">
        <v>73.069999999999993</v>
      </c>
      <c r="P40" s="23">
        <v>179.93</v>
      </c>
      <c r="Q40" s="196">
        <v>44308</v>
      </c>
      <c r="R40" s="96">
        <v>5.47</v>
      </c>
      <c r="S40" s="216">
        <v>165.86</v>
      </c>
      <c r="T40" s="196">
        <v>44308</v>
      </c>
      <c r="U40" s="102">
        <v>4.4400000000000004</v>
      </c>
      <c r="V40" s="217">
        <v>164.91</v>
      </c>
      <c r="W40" s="206">
        <v>42794</v>
      </c>
      <c r="X40" s="114">
        <v>43.45</v>
      </c>
      <c r="Y40" s="222">
        <v>120.31</v>
      </c>
      <c r="Z40" s="130">
        <v>42867</v>
      </c>
      <c r="AA40" s="96">
        <v>3.11</v>
      </c>
      <c r="AB40" s="222">
        <v>147.27000000000001</v>
      </c>
      <c r="AC40" s="228">
        <v>41764</v>
      </c>
      <c r="AD40" s="99">
        <v>47.34</v>
      </c>
      <c r="AE40" s="234">
        <v>114.35</v>
      </c>
      <c r="AF40" s="232">
        <v>45750</v>
      </c>
      <c r="AG40" s="85">
        <v>8.27</v>
      </c>
      <c r="AH40" s="222">
        <v>136.94999999999999</v>
      </c>
      <c r="AI40" s="206">
        <v>41401</v>
      </c>
      <c r="AJ40" s="114">
        <v>91.95</v>
      </c>
      <c r="AK40" s="222">
        <v>117.77</v>
      </c>
      <c r="AL40" s="206">
        <v>40277</v>
      </c>
      <c r="AM40" s="114">
        <v>61.18</v>
      </c>
      <c r="AN40" s="234">
        <v>129.02000000000001</v>
      </c>
      <c r="AO40" s="206">
        <v>41764</v>
      </c>
      <c r="AP40" s="99">
        <v>37.54</v>
      </c>
      <c r="AQ40" s="185">
        <v>133.03</v>
      </c>
      <c r="AR40" s="9">
        <v>38202</v>
      </c>
      <c r="AS40" s="10">
        <v>24.1</v>
      </c>
      <c r="AT40" s="10">
        <v>140.55000000000001</v>
      </c>
      <c r="AU40" s="9">
        <v>37530</v>
      </c>
      <c r="AV40" s="10">
        <v>71.430000000000007</v>
      </c>
      <c r="AW40" s="257">
        <v>89.81</v>
      </c>
      <c r="AX40" s="252">
        <v>41731</v>
      </c>
      <c r="AY40" s="125">
        <v>66.87</v>
      </c>
      <c r="AZ40" s="185">
        <v>104.28</v>
      </c>
      <c r="BA40" s="9">
        <v>41471</v>
      </c>
      <c r="BB40" s="10">
        <v>11.52</v>
      </c>
      <c r="BC40" s="257">
        <v>129.86000000000001</v>
      </c>
      <c r="BD40" s="239">
        <v>41764</v>
      </c>
      <c r="BE40" s="125">
        <v>71.39</v>
      </c>
      <c r="BF40" s="269">
        <v>100.83</v>
      </c>
      <c r="BG40" s="172">
        <v>41877</v>
      </c>
      <c r="BH40" s="99">
        <v>36.520000000000003</v>
      </c>
      <c r="BI40" s="185">
        <v>134.47999999999999</v>
      </c>
      <c r="BJ40" s="5">
        <v>42429</v>
      </c>
      <c r="BK40" s="6">
        <v>40.42</v>
      </c>
      <c r="BL40" s="6">
        <v>134.58000000000001</v>
      </c>
    </row>
    <row r="41" spans="1:64" ht="15" thickBot="1" x14ac:dyDescent="0.35">
      <c r="A41" s="167">
        <v>42471</v>
      </c>
      <c r="B41" s="140">
        <v>40.65</v>
      </c>
      <c r="C41" s="140">
        <v>134.35</v>
      </c>
      <c r="D41" s="182"/>
      <c r="E41" s="179">
        <v>43559</v>
      </c>
      <c r="F41" s="112">
        <v>9.82</v>
      </c>
      <c r="K41" s="199">
        <v>44546</v>
      </c>
      <c r="L41" s="102">
        <f xml:space="preserve"> 0.0257*(9.09^3) - 0.274*(9^2) - 0.0495*(9) + 9.249</f>
        <v>5.912498325299997</v>
      </c>
      <c r="N41" s="193">
        <v>41976</v>
      </c>
      <c r="O41" s="194">
        <v>72.599999999999994</v>
      </c>
      <c r="P41" s="23">
        <v>180.4</v>
      </c>
      <c r="Q41" s="199">
        <v>44522</v>
      </c>
      <c r="R41" s="96">
        <v>5.88</v>
      </c>
      <c r="S41" s="216">
        <v>165.7</v>
      </c>
      <c r="T41" s="240">
        <v>44522</v>
      </c>
      <c r="U41" s="102">
        <v>4.78</v>
      </c>
      <c r="V41" s="217">
        <v>164.61</v>
      </c>
      <c r="W41" s="206">
        <v>43559</v>
      </c>
      <c r="X41" s="114">
        <v>44.47</v>
      </c>
      <c r="Y41" s="222">
        <v>120.18</v>
      </c>
      <c r="Z41" s="130">
        <v>43064</v>
      </c>
      <c r="AA41" s="96">
        <v>3.15</v>
      </c>
      <c r="AB41" s="222">
        <v>146.9</v>
      </c>
      <c r="AC41" s="228">
        <v>41793</v>
      </c>
      <c r="AD41" s="99">
        <v>47.32</v>
      </c>
      <c r="AE41" s="234">
        <v>114.33</v>
      </c>
      <c r="AF41" s="232">
        <v>45960</v>
      </c>
      <c r="AG41" s="85">
        <v>8.85</v>
      </c>
      <c r="AH41" s="222">
        <v>136.96</v>
      </c>
      <c r="AI41" s="206">
        <v>41432</v>
      </c>
      <c r="AJ41" s="114">
        <v>92.42</v>
      </c>
      <c r="AK41" s="222">
        <v>117.77</v>
      </c>
      <c r="AL41" s="206">
        <v>40278</v>
      </c>
      <c r="AM41" s="114">
        <v>61.18</v>
      </c>
      <c r="AN41" s="234">
        <v>128.97</v>
      </c>
      <c r="AO41" s="206">
        <v>41793</v>
      </c>
      <c r="AP41" s="99">
        <v>37.909999999999997</v>
      </c>
      <c r="AQ41" s="185">
        <v>133.18</v>
      </c>
      <c r="AR41" s="9">
        <v>38217</v>
      </c>
      <c r="AS41" s="10">
        <v>24.13</v>
      </c>
      <c r="AT41" s="10">
        <v>140.52000000000001</v>
      </c>
      <c r="AU41" s="9">
        <v>37537</v>
      </c>
      <c r="AV41" s="10">
        <v>71.430000000000007</v>
      </c>
      <c r="AW41" s="257">
        <v>89.81</v>
      </c>
      <c r="AX41" s="252">
        <v>41764</v>
      </c>
      <c r="AY41" s="125">
        <v>67.13</v>
      </c>
      <c r="AZ41" s="185">
        <v>103.92</v>
      </c>
      <c r="BA41" s="9">
        <v>41506</v>
      </c>
      <c r="BB41" s="10">
        <v>11.4</v>
      </c>
      <c r="BC41" s="257">
        <v>129.97999999999999</v>
      </c>
      <c r="BD41" s="252">
        <v>41793</v>
      </c>
      <c r="BE41" s="125">
        <v>71.52</v>
      </c>
      <c r="BF41" s="269">
        <v>100.79</v>
      </c>
      <c r="BG41" s="172">
        <v>41906</v>
      </c>
      <c r="BH41" s="99">
        <v>36.61</v>
      </c>
      <c r="BI41" s="185">
        <v>134.38999999999999</v>
      </c>
      <c r="BJ41" s="5">
        <v>42471</v>
      </c>
      <c r="BK41" s="6">
        <v>40.65</v>
      </c>
      <c r="BL41" s="6">
        <v>134.35</v>
      </c>
    </row>
    <row r="42" spans="1:64" ht="15" thickBot="1" x14ac:dyDescent="0.35">
      <c r="A42" s="167">
        <v>42591</v>
      </c>
      <c r="B42" s="140">
        <v>40.57</v>
      </c>
      <c r="C42" s="140">
        <v>134.43</v>
      </c>
      <c r="D42" s="182"/>
      <c r="E42" s="179">
        <v>43588</v>
      </c>
      <c r="F42" s="327">
        <v>9.7916666666666661</v>
      </c>
      <c r="K42" s="240">
        <v>44625</v>
      </c>
      <c r="L42" s="325">
        <f xml:space="preserve"> 0.0257*(9.099^3) - 0.274*(9^2) - 0.0495*(9) + 9.249</f>
        <v>5.9698907505843026</v>
      </c>
      <c r="N42" s="193">
        <v>42009</v>
      </c>
      <c r="O42" s="194">
        <v>73.349999999999994</v>
      </c>
      <c r="P42" s="23">
        <v>179.65</v>
      </c>
      <c r="Q42" s="200">
        <v>44600</v>
      </c>
      <c r="R42" s="153">
        <v>5.95</v>
      </c>
      <c r="S42" s="216">
        <v>165.67</v>
      </c>
      <c r="T42" s="201">
        <v>44600</v>
      </c>
      <c r="U42" s="102">
        <v>4.82</v>
      </c>
      <c r="V42" s="217">
        <v>164.58</v>
      </c>
      <c r="W42" s="206">
        <v>43763</v>
      </c>
      <c r="X42" s="114">
        <v>53.37</v>
      </c>
      <c r="Y42" s="222">
        <v>120.13</v>
      </c>
      <c r="Z42" s="130">
        <v>43181</v>
      </c>
      <c r="AA42" s="96">
        <v>3.19</v>
      </c>
      <c r="AB42" s="222">
        <v>146.85</v>
      </c>
      <c r="AC42" s="228">
        <v>41830</v>
      </c>
      <c r="AD42" s="99">
        <v>47.47</v>
      </c>
      <c r="AE42" s="234">
        <v>114.23</v>
      </c>
      <c r="AF42" s="232">
        <v>46011</v>
      </c>
      <c r="AG42" s="85">
        <v>9.14</v>
      </c>
      <c r="AH42" s="222">
        <v>137.03</v>
      </c>
      <c r="AI42" s="206">
        <v>41471</v>
      </c>
      <c r="AJ42" s="114">
        <v>92.41</v>
      </c>
      <c r="AK42" s="222">
        <v>117.94</v>
      </c>
      <c r="AL42" s="206">
        <v>40279</v>
      </c>
      <c r="AM42" s="114">
        <v>61.18</v>
      </c>
      <c r="AN42" s="234">
        <v>129.13999999999999</v>
      </c>
      <c r="AO42" s="206">
        <v>41830</v>
      </c>
      <c r="AP42" s="99">
        <v>37.74</v>
      </c>
      <c r="AQ42" s="185">
        <v>133.53</v>
      </c>
      <c r="AR42" s="9">
        <v>38226</v>
      </c>
      <c r="AS42" s="10">
        <v>23.88</v>
      </c>
      <c r="AT42" s="10">
        <v>140.77000000000001</v>
      </c>
      <c r="AU42" s="9">
        <v>37545</v>
      </c>
      <c r="AV42" s="10">
        <v>71.510000000000005</v>
      </c>
      <c r="AW42" s="257">
        <v>89.73</v>
      </c>
      <c r="AX42" s="239">
        <v>41793</v>
      </c>
      <c r="AY42" s="125">
        <v>67.319999999999993</v>
      </c>
      <c r="AZ42" s="185">
        <v>103.79</v>
      </c>
      <c r="BA42" s="9">
        <v>41617</v>
      </c>
      <c r="BB42" s="10">
        <v>11.37</v>
      </c>
      <c r="BC42" s="257">
        <v>130.01</v>
      </c>
      <c r="BD42" s="252">
        <v>41830</v>
      </c>
      <c r="BE42" s="125">
        <v>71.75</v>
      </c>
      <c r="BF42" s="269">
        <v>100.84</v>
      </c>
      <c r="BG42" s="172">
        <v>41936</v>
      </c>
      <c r="BH42" s="99">
        <v>36.700000000000003</v>
      </c>
      <c r="BI42" s="185">
        <v>134.30000000000001</v>
      </c>
      <c r="BJ42" s="5">
        <v>42591</v>
      </c>
      <c r="BK42" s="6">
        <v>40.57</v>
      </c>
      <c r="BL42" s="6">
        <v>134.43</v>
      </c>
    </row>
    <row r="43" spans="1:64" ht="15" thickBot="1" x14ac:dyDescent="0.35">
      <c r="A43" s="167">
        <v>42702</v>
      </c>
      <c r="B43" s="140">
        <v>41.1</v>
      </c>
      <c r="C43" s="140">
        <v>133.9</v>
      </c>
      <c r="D43" s="182"/>
      <c r="E43" s="181">
        <v>43905</v>
      </c>
      <c r="F43" s="155">
        <v>9.77</v>
      </c>
      <c r="K43" s="199">
        <v>44826</v>
      </c>
      <c r="L43" s="102">
        <f xml:space="preserve"> 0.0257*(9.11^3) - 0.274*(9^2) - 0.0495*(9) + 9.249</f>
        <v>6.0401913966999965</v>
      </c>
      <c r="N43" s="193">
        <v>42157</v>
      </c>
      <c r="O43" s="194">
        <v>73.790000000000006</v>
      </c>
      <c r="P43" s="23">
        <v>179.21</v>
      </c>
      <c r="Q43" s="201">
        <v>44906</v>
      </c>
      <c r="R43" s="96">
        <v>5.77</v>
      </c>
      <c r="S43" s="216">
        <v>165.59</v>
      </c>
      <c r="T43" s="201">
        <v>44906</v>
      </c>
      <c r="U43" s="102">
        <v>4.97</v>
      </c>
      <c r="V43" s="217">
        <v>164.52</v>
      </c>
      <c r="W43" s="206">
        <v>43971</v>
      </c>
      <c r="X43" s="114">
        <v>45.17</v>
      </c>
      <c r="Y43" s="222">
        <v>119.57</v>
      </c>
      <c r="Z43" s="130">
        <v>43295</v>
      </c>
      <c r="AA43" s="96">
        <v>3.22</v>
      </c>
      <c r="AB43" s="222">
        <v>146.76</v>
      </c>
      <c r="AC43" s="228">
        <v>41877</v>
      </c>
      <c r="AD43" s="99">
        <v>47.52</v>
      </c>
      <c r="AE43" s="229">
        <v>114.13</v>
      </c>
      <c r="AF43" s="230">
        <v>38090</v>
      </c>
      <c r="AG43" s="235">
        <v>7.12</v>
      </c>
      <c r="AH43" s="23">
        <v>136.81</v>
      </c>
      <c r="AI43" s="206">
        <v>41506</v>
      </c>
      <c r="AJ43" s="114">
        <v>92.5</v>
      </c>
      <c r="AK43" s="222">
        <v>117.99</v>
      </c>
      <c r="AL43" s="206">
        <v>40280</v>
      </c>
      <c r="AM43" s="114">
        <v>61.18</v>
      </c>
      <c r="AN43" s="234">
        <v>128.99</v>
      </c>
      <c r="AO43" s="206">
        <v>41877</v>
      </c>
      <c r="AP43" s="99">
        <v>37.81</v>
      </c>
      <c r="AQ43" s="185">
        <v>133.32</v>
      </c>
      <c r="AR43" s="9">
        <v>38231</v>
      </c>
      <c r="AS43" s="10">
        <v>24.13</v>
      </c>
      <c r="AT43" s="10">
        <v>140.52000000000001</v>
      </c>
      <c r="AU43" s="9">
        <v>37551</v>
      </c>
      <c r="AV43" s="10">
        <v>71.510000000000005</v>
      </c>
      <c r="AW43" s="257">
        <v>89.73</v>
      </c>
      <c r="AX43" s="252">
        <v>41830</v>
      </c>
      <c r="AY43" s="125">
        <v>67.47</v>
      </c>
      <c r="AZ43" s="185">
        <v>103.62</v>
      </c>
      <c r="BA43" s="9">
        <v>41683</v>
      </c>
      <c r="BB43" s="10">
        <v>11.25</v>
      </c>
      <c r="BC43" s="257">
        <v>130.13</v>
      </c>
      <c r="BD43" s="239">
        <v>41936</v>
      </c>
      <c r="BE43" s="125">
        <v>72.27</v>
      </c>
      <c r="BF43" s="269">
        <v>100.75</v>
      </c>
      <c r="BG43" s="172">
        <v>41976</v>
      </c>
      <c r="BH43" s="99">
        <v>36.270000000000003</v>
      </c>
      <c r="BI43" s="185">
        <v>134.72999999999999</v>
      </c>
      <c r="BJ43" s="5">
        <v>42702</v>
      </c>
      <c r="BK43" s="6">
        <v>41.1</v>
      </c>
      <c r="BL43" s="6">
        <v>133.9</v>
      </c>
    </row>
    <row r="44" spans="1:64" ht="15" thickBot="1" x14ac:dyDescent="0.35">
      <c r="A44" s="167">
        <v>42774</v>
      </c>
      <c r="B44" s="140">
        <v>41.59</v>
      </c>
      <c r="C44" s="140">
        <v>133.41</v>
      </c>
      <c r="D44" s="182"/>
      <c r="E44" s="181">
        <v>44100</v>
      </c>
      <c r="F44" s="155">
        <v>9.82</v>
      </c>
      <c r="K44" s="240">
        <v>44924</v>
      </c>
      <c r="L44" s="325">
        <f xml:space="preserve"> 0.0257*(9.103^3) - 0.274*(9^2) - 0.0495*(9) + 9.249</f>
        <v>5.9954349681838979</v>
      </c>
      <c r="N44" s="193">
        <v>42220</v>
      </c>
      <c r="O44" s="194">
        <v>74.05</v>
      </c>
      <c r="P44" s="23">
        <v>178.95</v>
      </c>
      <c r="Q44" s="200">
        <v>45078</v>
      </c>
      <c r="R44" s="96">
        <v>5.88</v>
      </c>
      <c r="S44" s="216">
        <v>165.44</v>
      </c>
      <c r="T44" s="333">
        <v>45078</v>
      </c>
      <c r="U44" s="325">
        <v>5.0999999999999996</v>
      </c>
      <c r="V44" s="217">
        <v>164.38</v>
      </c>
      <c r="W44" s="332">
        <v>44087</v>
      </c>
      <c r="X44" s="96">
        <v>46.2</v>
      </c>
      <c r="Y44" s="222">
        <v>119.89</v>
      </c>
      <c r="Z44" s="130">
        <v>43445</v>
      </c>
      <c r="AA44" s="96">
        <v>3.17</v>
      </c>
      <c r="AB44" s="222">
        <v>146.74</v>
      </c>
      <c r="AC44" s="228">
        <v>41936</v>
      </c>
      <c r="AD44" s="99">
        <v>47.49</v>
      </c>
      <c r="AE44" s="229">
        <v>114.11</v>
      </c>
      <c r="AF44" s="40">
        <v>38107</v>
      </c>
      <c r="AG44" s="43">
        <v>6.97</v>
      </c>
      <c r="AH44" s="23">
        <v>136.96</v>
      </c>
      <c r="AI44" s="206">
        <v>41537</v>
      </c>
      <c r="AJ44" s="114">
        <v>92.81</v>
      </c>
      <c r="AK44" s="222">
        <v>117.63</v>
      </c>
      <c r="AL44" s="206">
        <v>40281</v>
      </c>
      <c r="AM44" s="114">
        <v>61.18</v>
      </c>
      <c r="AN44" s="234">
        <v>129.31</v>
      </c>
      <c r="AO44" s="206">
        <v>41906</v>
      </c>
      <c r="AP44" s="99">
        <v>37.950000000000003</v>
      </c>
      <c r="AQ44" s="185">
        <v>133.55000000000001</v>
      </c>
      <c r="AR44" s="9">
        <v>38237</v>
      </c>
      <c r="AS44" s="11">
        <v>24.13</v>
      </c>
      <c r="AT44" s="10">
        <v>140.52000000000001</v>
      </c>
      <c r="AU44" s="9">
        <v>37558</v>
      </c>
      <c r="AV44" s="11">
        <v>71.59</v>
      </c>
      <c r="AW44" s="257">
        <v>89.65</v>
      </c>
      <c r="AX44" s="252">
        <v>41877</v>
      </c>
      <c r="AY44" s="125">
        <v>67.69</v>
      </c>
      <c r="AZ44" s="185">
        <v>103.22</v>
      </c>
      <c r="BA44" s="9">
        <v>41764</v>
      </c>
      <c r="BB44" s="10">
        <v>11.32</v>
      </c>
      <c r="BC44" s="257">
        <v>130.06</v>
      </c>
      <c r="BD44" s="239">
        <v>41976</v>
      </c>
      <c r="BE44" s="125">
        <v>72.58</v>
      </c>
      <c r="BF44" s="269">
        <v>100.99</v>
      </c>
      <c r="BG44" s="172">
        <v>42009</v>
      </c>
      <c r="BH44" s="99">
        <v>36.97</v>
      </c>
      <c r="BI44" s="185">
        <v>134.03</v>
      </c>
      <c r="BJ44" s="5">
        <v>42774</v>
      </c>
      <c r="BK44" s="6">
        <v>41.59</v>
      </c>
      <c r="BL44" s="6">
        <v>133.41</v>
      </c>
    </row>
    <row r="45" spans="1:64" ht="15" thickBot="1" x14ac:dyDescent="0.35">
      <c r="A45" s="167">
        <v>42865</v>
      </c>
      <c r="B45" s="140">
        <v>41.79</v>
      </c>
      <c r="C45" s="140">
        <v>133.21</v>
      </c>
      <c r="D45" s="182"/>
      <c r="E45" s="179">
        <v>44205</v>
      </c>
      <c r="F45" s="330">
        <v>9.9120000000000008</v>
      </c>
      <c r="K45" s="240">
        <v>45088</v>
      </c>
      <c r="L45" s="325">
        <f xml:space="preserve"> 0.0257*(9.2^3) - 0.274*(9^2) - 0.0495*(9) + 9.249</f>
        <v>6.6217815999999923</v>
      </c>
      <c r="N45" s="193">
        <v>42255</v>
      </c>
      <c r="O45" s="194">
        <v>74.17</v>
      </c>
      <c r="P45" s="23">
        <v>178.83</v>
      </c>
      <c r="Q45" s="201">
        <v>45268</v>
      </c>
      <c r="R45" s="96">
        <v>5.41</v>
      </c>
      <c r="S45" s="216">
        <v>165.38</v>
      </c>
      <c r="T45" s="201">
        <v>45268</v>
      </c>
      <c r="U45" s="102">
        <v>5.33</v>
      </c>
      <c r="V45" s="217">
        <v>164.37</v>
      </c>
      <c r="W45" s="333">
        <v>44308</v>
      </c>
      <c r="X45" s="96">
        <v>47</v>
      </c>
      <c r="Y45" s="222">
        <v>119.83</v>
      </c>
      <c r="Z45" s="206">
        <v>43559</v>
      </c>
      <c r="AA45" s="114">
        <v>3.23</v>
      </c>
      <c r="AB45" s="222">
        <v>146.79</v>
      </c>
      <c r="AC45" s="228">
        <v>41976</v>
      </c>
      <c r="AD45" s="99">
        <v>47.39</v>
      </c>
      <c r="AE45" s="229">
        <v>114.13</v>
      </c>
      <c r="AF45" s="40">
        <v>38124</v>
      </c>
      <c r="AG45" s="43">
        <v>6.92</v>
      </c>
      <c r="AH45" s="23">
        <v>137.01</v>
      </c>
      <c r="AI45" s="206">
        <v>41555</v>
      </c>
      <c r="AJ45" s="114">
        <v>92.76</v>
      </c>
      <c r="AK45" s="222">
        <v>117.72</v>
      </c>
      <c r="AL45" s="206">
        <v>40282</v>
      </c>
      <c r="AM45" s="114">
        <v>61.19</v>
      </c>
      <c r="AN45" s="234">
        <v>128.96</v>
      </c>
      <c r="AO45" s="206">
        <v>41936</v>
      </c>
      <c r="AP45" s="99">
        <v>37.82</v>
      </c>
      <c r="AQ45" s="185">
        <v>133.09</v>
      </c>
      <c r="AR45" s="9">
        <v>38246</v>
      </c>
      <c r="AS45" s="10">
        <v>24.22</v>
      </c>
      <c r="AT45" s="10">
        <v>140.43</v>
      </c>
      <c r="AU45" s="9">
        <v>37565</v>
      </c>
      <c r="AV45" s="10">
        <v>71.63</v>
      </c>
      <c r="AW45" s="257">
        <v>89.61</v>
      </c>
      <c r="AX45" s="239">
        <v>41906</v>
      </c>
      <c r="AY45" s="125">
        <v>67.900000000000006</v>
      </c>
      <c r="AZ45" s="185">
        <v>103.67</v>
      </c>
      <c r="BA45" s="9">
        <v>41976</v>
      </c>
      <c r="BB45" s="10">
        <v>11.22</v>
      </c>
      <c r="BC45" s="257">
        <v>130.16</v>
      </c>
      <c r="BD45" s="239">
        <v>42009</v>
      </c>
      <c r="BE45" s="125">
        <v>72.55</v>
      </c>
      <c r="BF45" s="269">
        <v>101.34</v>
      </c>
      <c r="BG45" s="172">
        <v>42107</v>
      </c>
      <c r="BH45" s="99">
        <v>37.14</v>
      </c>
      <c r="BI45" s="185">
        <v>133.86000000000001</v>
      </c>
      <c r="BJ45" s="5">
        <v>42865</v>
      </c>
      <c r="BK45" s="6">
        <v>41.79</v>
      </c>
      <c r="BL45" s="6">
        <v>133.21</v>
      </c>
    </row>
    <row r="46" spans="1:64" ht="15" thickBot="1" x14ac:dyDescent="0.35">
      <c r="A46" s="167">
        <v>42887</v>
      </c>
      <c r="B46" s="140">
        <v>41.93</v>
      </c>
      <c r="C46" s="140">
        <v>133.07</v>
      </c>
      <c r="D46" s="182"/>
      <c r="E46" s="179">
        <v>44369</v>
      </c>
      <c r="F46" s="330">
        <v>9.8729999999999993</v>
      </c>
      <c r="K46" s="199">
        <v>45238</v>
      </c>
      <c r="L46" s="102">
        <f xml:space="preserve"> 0.0257*(9.3^3) - 0.274*(9^2) - 0.0495*(9) + 9.249</f>
        <v>7.2814749000000036</v>
      </c>
      <c r="N46" s="193">
        <v>42292</v>
      </c>
      <c r="O46" s="194">
        <v>74.28</v>
      </c>
      <c r="P46" s="23">
        <v>178.72</v>
      </c>
      <c r="Q46" s="197">
        <v>45595</v>
      </c>
      <c r="R46" s="110">
        <v>5.24</v>
      </c>
      <c r="S46" s="216">
        <v>165.3</v>
      </c>
      <c r="T46" s="197">
        <v>45595</v>
      </c>
      <c r="U46" s="114">
        <v>5.94</v>
      </c>
      <c r="V46" s="217">
        <v>164.34</v>
      </c>
      <c r="W46" s="341">
        <v>44522</v>
      </c>
      <c r="X46" s="96">
        <v>47.5</v>
      </c>
      <c r="Y46" s="222">
        <v>119.29</v>
      </c>
      <c r="Z46" s="206">
        <v>43763</v>
      </c>
      <c r="AA46" s="220">
        <v>3.38</v>
      </c>
      <c r="AB46" s="222">
        <v>146.74</v>
      </c>
      <c r="AC46" s="228">
        <v>42009</v>
      </c>
      <c r="AD46" s="99">
        <v>47.66</v>
      </c>
      <c r="AE46" s="229">
        <v>114.33</v>
      </c>
      <c r="AF46" s="40">
        <v>38133</v>
      </c>
      <c r="AG46" s="43">
        <v>6.82</v>
      </c>
      <c r="AH46" s="23">
        <v>137.11000000000001</v>
      </c>
      <c r="AI46" s="206">
        <v>41604</v>
      </c>
      <c r="AJ46" s="114">
        <v>93.1</v>
      </c>
      <c r="AK46" s="222">
        <v>117.67</v>
      </c>
      <c r="AL46" s="206">
        <v>40283</v>
      </c>
      <c r="AM46" s="114">
        <v>61.19</v>
      </c>
      <c r="AN46" s="234">
        <v>128.87</v>
      </c>
      <c r="AO46" s="206">
        <v>41976</v>
      </c>
      <c r="AP46" s="99">
        <v>37.770000000000003</v>
      </c>
      <c r="AQ46" s="185">
        <v>133.1</v>
      </c>
      <c r="AR46" s="9">
        <v>38251</v>
      </c>
      <c r="AS46" s="10">
        <v>24.09</v>
      </c>
      <c r="AT46" s="10">
        <v>140.56</v>
      </c>
      <c r="AU46" s="9">
        <v>37578</v>
      </c>
      <c r="AV46" s="10">
        <v>71.58</v>
      </c>
      <c r="AW46" s="257">
        <v>89.66</v>
      </c>
      <c r="AX46" s="253">
        <v>41936</v>
      </c>
      <c r="AY46" s="254">
        <v>67.709999999999994</v>
      </c>
      <c r="AZ46" s="185">
        <v>103.65</v>
      </c>
      <c r="BA46" s="9">
        <v>42471</v>
      </c>
      <c r="BB46" s="10">
        <v>13.39</v>
      </c>
      <c r="BC46" s="257">
        <v>127.99</v>
      </c>
      <c r="BD46" s="252">
        <v>42157</v>
      </c>
      <c r="BE46" s="125">
        <v>73.5</v>
      </c>
      <c r="BF46" s="269">
        <v>101.51</v>
      </c>
      <c r="BG46" s="172">
        <v>42157</v>
      </c>
      <c r="BH46" s="99">
        <v>37.22</v>
      </c>
      <c r="BI46" s="185">
        <v>133.78</v>
      </c>
      <c r="BJ46" s="5">
        <v>42887</v>
      </c>
      <c r="BK46" s="6">
        <v>41.93</v>
      </c>
      <c r="BL46" s="6">
        <v>133.07</v>
      </c>
    </row>
    <row r="47" spans="1:64" ht="15" thickBot="1" x14ac:dyDescent="0.35">
      <c r="A47" s="167">
        <v>42955</v>
      </c>
      <c r="B47" s="140">
        <v>41.8</v>
      </c>
      <c r="C47" s="140">
        <v>133.19999999999999</v>
      </c>
      <c r="D47" s="182"/>
      <c r="E47" s="179">
        <v>44534</v>
      </c>
      <c r="F47" s="330">
        <v>9.7200000000000006</v>
      </c>
      <c r="K47" s="240">
        <v>45349</v>
      </c>
      <c r="L47" s="325">
        <f xml:space="preserve"> 0.0257*(9.25^3) - 0.274*(9^2) - 0.0495*(9) + 9.249</f>
        <v>6.9498453124999999</v>
      </c>
      <c r="N47" s="193">
        <v>42353</v>
      </c>
      <c r="O47" s="194">
        <v>74.489999999999995</v>
      </c>
      <c r="P47" s="23">
        <v>178.51</v>
      </c>
      <c r="Q47" s="130">
        <v>45787</v>
      </c>
      <c r="R47" s="96">
        <v>5.33</v>
      </c>
      <c r="S47" s="216">
        <v>165.25</v>
      </c>
      <c r="T47" s="130">
        <v>45787</v>
      </c>
      <c r="U47" s="102">
        <v>6.09</v>
      </c>
      <c r="V47" s="217">
        <v>164.35</v>
      </c>
      <c r="W47" s="332">
        <v>44600</v>
      </c>
      <c r="X47" s="96">
        <v>47.7</v>
      </c>
      <c r="Y47" s="222">
        <v>119.01</v>
      </c>
      <c r="Z47" s="206">
        <v>43971</v>
      </c>
      <c r="AA47" s="114">
        <v>3.1</v>
      </c>
      <c r="AB47" s="222">
        <v>146.9</v>
      </c>
      <c r="AC47" s="228">
        <v>42107</v>
      </c>
      <c r="AD47" s="99">
        <v>48.05</v>
      </c>
      <c r="AE47" s="229">
        <v>114.89</v>
      </c>
      <c r="AF47" s="40">
        <v>38153</v>
      </c>
      <c r="AG47" s="43">
        <v>6.57</v>
      </c>
      <c r="AH47" s="23">
        <v>137.36000000000001</v>
      </c>
      <c r="AI47" s="206">
        <v>41617</v>
      </c>
      <c r="AJ47" s="114">
        <v>93.15</v>
      </c>
      <c r="AK47" s="222">
        <v>117.66</v>
      </c>
      <c r="AL47" s="206">
        <v>40284</v>
      </c>
      <c r="AM47" s="114">
        <v>61.19</v>
      </c>
      <c r="AN47" s="234">
        <v>128.82</v>
      </c>
      <c r="AO47" s="206">
        <v>42009</v>
      </c>
      <c r="AP47" s="99">
        <v>37.65</v>
      </c>
      <c r="AQ47" s="185">
        <v>132.76</v>
      </c>
      <c r="AR47" s="9">
        <v>38265</v>
      </c>
      <c r="AS47" s="10">
        <v>24.1</v>
      </c>
      <c r="AT47" s="10">
        <v>140.55000000000001</v>
      </c>
      <c r="AU47" s="9">
        <v>37585</v>
      </c>
      <c r="AV47" s="10">
        <v>71.34</v>
      </c>
      <c r="AW47" s="257">
        <v>89.9</v>
      </c>
      <c r="AX47" s="253">
        <v>41976</v>
      </c>
      <c r="AY47" s="254">
        <v>68.06</v>
      </c>
      <c r="AZ47" s="185">
        <v>103.28</v>
      </c>
      <c r="BD47" s="239">
        <v>42220</v>
      </c>
      <c r="BE47" s="125">
        <v>73.819999999999993</v>
      </c>
      <c r="BF47" s="269">
        <v>101.68</v>
      </c>
      <c r="BG47" s="172">
        <v>42221</v>
      </c>
      <c r="BH47" s="99">
        <v>37.39</v>
      </c>
      <c r="BI47" s="185">
        <v>133.61000000000001</v>
      </c>
      <c r="BJ47" s="5">
        <v>42955</v>
      </c>
      <c r="BK47" s="6">
        <v>41.8</v>
      </c>
      <c r="BL47" s="6">
        <v>133.19999999999999</v>
      </c>
    </row>
    <row r="48" spans="1:64" ht="15" thickBot="1" x14ac:dyDescent="0.35">
      <c r="A48" s="168">
        <v>43048</v>
      </c>
      <c r="B48" s="169">
        <v>41.99</v>
      </c>
      <c r="C48" s="169">
        <v>133.01</v>
      </c>
      <c r="D48" s="182"/>
      <c r="E48" s="179">
        <v>44637</v>
      </c>
      <c r="F48" s="271">
        <v>9.81</v>
      </c>
      <c r="K48" s="199">
        <v>45581</v>
      </c>
      <c r="L48" s="102">
        <f xml:space="preserve"> 0.0257*(9.19^3) - 0.274*(9^2) - 0.0495*(9) + 9.249</f>
        <v>6.5565950662999954</v>
      </c>
      <c r="N48" s="193">
        <v>42387</v>
      </c>
      <c r="O48" s="194">
        <v>74.599999999999994</v>
      </c>
      <c r="P48" s="23">
        <v>178.4</v>
      </c>
      <c r="Q48" s="130">
        <v>45894</v>
      </c>
      <c r="R48" s="96">
        <v>5.46</v>
      </c>
      <c r="S48" s="216">
        <v>165.2</v>
      </c>
      <c r="T48" s="130">
        <v>45894</v>
      </c>
      <c r="U48" s="102">
        <v>6.25</v>
      </c>
      <c r="V48" s="217">
        <v>164.4</v>
      </c>
      <c r="W48" s="332">
        <v>44906</v>
      </c>
      <c r="X48" s="96">
        <v>47.9</v>
      </c>
      <c r="Y48" s="222">
        <v>118.89</v>
      </c>
      <c r="Z48" s="332">
        <v>44087</v>
      </c>
      <c r="AA48" s="96">
        <v>3.22</v>
      </c>
      <c r="AB48" s="222">
        <v>146.55000000000001</v>
      </c>
      <c r="AC48" s="228">
        <v>42157</v>
      </c>
      <c r="AD48" s="99">
        <v>47.86</v>
      </c>
      <c r="AE48" s="229">
        <v>114.58</v>
      </c>
      <c r="AF48" s="40">
        <v>38161</v>
      </c>
      <c r="AG48" s="43">
        <v>6.62</v>
      </c>
      <c r="AH48" s="23">
        <v>137.31</v>
      </c>
      <c r="AI48" s="206">
        <v>41647</v>
      </c>
      <c r="AJ48" s="114">
        <v>93.35</v>
      </c>
      <c r="AK48" s="222">
        <v>117.72</v>
      </c>
      <c r="AL48" s="206">
        <v>40287</v>
      </c>
      <c r="AM48" s="114">
        <v>59.72</v>
      </c>
      <c r="AN48" s="234">
        <v>128.94</v>
      </c>
      <c r="AO48" s="206">
        <v>42107</v>
      </c>
      <c r="AP48" s="99">
        <v>38.28</v>
      </c>
      <c r="AQ48" s="185">
        <v>132.66999999999999</v>
      </c>
      <c r="AR48" s="9">
        <v>38286</v>
      </c>
      <c r="AS48" s="10">
        <v>24.14</v>
      </c>
      <c r="AT48" s="10">
        <v>140.51</v>
      </c>
      <c r="AU48" s="9">
        <v>37592</v>
      </c>
      <c r="AV48" s="10">
        <v>71.180000000000007</v>
      </c>
      <c r="AW48" s="257">
        <v>90.06</v>
      </c>
      <c r="AX48" s="253">
        <v>42009</v>
      </c>
      <c r="AY48" s="254">
        <v>67.989999999999995</v>
      </c>
      <c r="AZ48" s="185">
        <v>103.61</v>
      </c>
      <c r="BD48" s="252">
        <v>42353</v>
      </c>
      <c r="BE48" s="125">
        <v>74.400000000000006</v>
      </c>
      <c r="BF48" s="269">
        <v>101.67</v>
      </c>
      <c r="BG48" s="172">
        <v>42292</v>
      </c>
      <c r="BH48" s="99">
        <v>37.58</v>
      </c>
      <c r="BI48" s="185">
        <v>133.41999999999999</v>
      </c>
      <c r="BJ48" s="5">
        <v>43048</v>
      </c>
      <c r="BK48" s="6">
        <v>41.99</v>
      </c>
      <c r="BL48" s="6">
        <v>133.01</v>
      </c>
    </row>
    <row r="49" spans="1:64" ht="15" thickBot="1" x14ac:dyDescent="0.35">
      <c r="A49" s="170">
        <v>43160</v>
      </c>
      <c r="B49" s="102">
        <v>42.107111000000003</v>
      </c>
      <c r="C49" s="102">
        <v>132.892889</v>
      </c>
      <c r="D49" s="165">
        <v>43</v>
      </c>
      <c r="E49" s="181">
        <v>44834</v>
      </c>
      <c r="F49" s="162">
        <v>9.9</v>
      </c>
      <c r="K49" s="199">
        <v>45731</v>
      </c>
      <c r="L49" s="102">
        <f xml:space="preserve"> 0.0257*(9.26^3) - 0.274*(9^2) - 0.0495*(9) + 9.249</f>
        <v>7.0158853431999946</v>
      </c>
      <c r="N49" s="193">
        <v>42429</v>
      </c>
      <c r="O49" s="194">
        <v>74.87</v>
      </c>
      <c r="P49" s="23">
        <v>178.13</v>
      </c>
      <c r="Q49" s="206">
        <v>45971</v>
      </c>
      <c r="R49" s="98">
        <v>5.65</v>
      </c>
      <c r="S49" s="216">
        <v>164.85</v>
      </c>
      <c r="T49" s="206">
        <v>45971</v>
      </c>
      <c r="U49" s="325">
        <v>6.34</v>
      </c>
      <c r="V49" s="217">
        <v>164.37</v>
      </c>
      <c r="W49" s="333">
        <v>45078</v>
      </c>
      <c r="X49" s="96">
        <v>48.11</v>
      </c>
      <c r="Y49" s="222">
        <v>118.83</v>
      </c>
      <c r="Z49" s="333">
        <v>44308</v>
      </c>
      <c r="AA49" s="96">
        <v>3.34</v>
      </c>
      <c r="AB49" s="222">
        <v>146.74</v>
      </c>
      <c r="AC49" s="228">
        <v>42220</v>
      </c>
      <c r="AD49" s="99">
        <v>47.96</v>
      </c>
      <c r="AE49" s="229">
        <v>114.2</v>
      </c>
      <c r="AF49" s="40">
        <v>38169</v>
      </c>
      <c r="AG49" s="43">
        <v>6.89</v>
      </c>
      <c r="AH49" s="23">
        <v>137.04</v>
      </c>
      <c r="AI49" s="206">
        <v>41683</v>
      </c>
      <c r="AJ49" s="114">
        <v>93.17</v>
      </c>
      <c r="AK49" s="222">
        <v>117.83</v>
      </c>
      <c r="AL49" s="206">
        <v>40501</v>
      </c>
      <c r="AM49" s="114">
        <v>58.35</v>
      </c>
      <c r="AN49" s="234">
        <v>128.85</v>
      </c>
      <c r="AO49" s="206">
        <v>42157</v>
      </c>
      <c r="AP49" s="99">
        <v>38</v>
      </c>
      <c r="AQ49" s="185">
        <v>132.55000000000001</v>
      </c>
      <c r="AR49" s="9">
        <v>38300</v>
      </c>
      <c r="AS49" s="10">
        <v>24.2</v>
      </c>
      <c r="AT49" s="10">
        <v>140.44999999999999</v>
      </c>
      <c r="AU49" s="9">
        <v>37642</v>
      </c>
      <c r="AV49" s="10">
        <v>70.94</v>
      </c>
      <c r="AW49" s="257">
        <v>90.3</v>
      </c>
      <c r="AX49" s="253">
        <v>42157</v>
      </c>
      <c r="AY49" s="254">
        <v>68.64</v>
      </c>
      <c r="AZ49" s="185">
        <v>104.29</v>
      </c>
      <c r="BD49" s="252">
        <v>42429</v>
      </c>
      <c r="BE49" s="125">
        <v>75.14</v>
      </c>
      <c r="BF49" s="269">
        <v>101.16</v>
      </c>
      <c r="BG49" s="172">
        <v>42353</v>
      </c>
      <c r="BH49" s="99">
        <v>37.71</v>
      </c>
      <c r="BI49" s="185">
        <v>133.29</v>
      </c>
      <c r="BJ49" s="5">
        <v>44600</v>
      </c>
      <c r="BK49" s="6">
        <v>47.17</v>
      </c>
      <c r="BL49" s="6">
        <v>127.83</v>
      </c>
    </row>
    <row r="50" spans="1:64" ht="15" thickBot="1" x14ac:dyDescent="0.35">
      <c r="A50" s="172">
        <v>43320</v>
      </c>
      <c r="B50" s="325">
        <v>42.377042368985137</v>
      </c>
      <c r="C50" s="325">
        <v>132.62295763101486</v>
      </c>
      <c r="D50" s="165">
        <f>D49+0.533</f>
        <v>43.533000000000001</v>
      </c>
      <c r="E50" s="179">
        <v>45028</v>
      </c>
      <c r="F50" s="271">
        <v>10.3</v>
      </c>
      <c r="K50" s="240">
        <v>45930</v>
      </c>
      <c r="L50" s="325">
        <f xml:space="preserve"> 0.0257*(9.33^3) - 0.274*(9^2) - 0.0495*(9) + 9.249</f>
        <v>7.4821722909000004</v>
      </c>
      <c r="N50" s="193">
        <v>42471</v>
      </c>
      <c r="O50" s="194">
        <v>74.87</v>
      </c>
      <c r="P50" s="21">
        <v>178.13</v>
      </c>
      <c r="Q50" s="214"/>
      <c r="R50" s="215"/>
      <c r="S50" s="26">
        <v>165.2</v>
      </c>
      <c r="T50" s="218"/>
      <c r="U50" s="219"/>
      <c r="V50" s="208">
        <v>164.68</v>
      </c>
      <c r="W50" s="332">
        <v>45268</v>
      </c>
      <c r="X50" s="96">
        <v>49.82</v>
      </c>
      <c r="Y50" s="222">
        <v>112.32</v>
      </c>
      <c r="Z50" s="341">
        <v>44522</v>
      </c>
      <c r="AA50" s="96">
        <v>3.45</v>
      </c>
      <c r="AB50" s="222">
        <v>145.56</v>
      </c>
      <c r="AC50" s="228">
        <v>42292</v>
      </c>
      <c r="AD50" s="99">
        <v>48.05</v>
      </c>
      <c r="AE50" s="229">
        <v>114.1</v>
      </c>
      <c r="AF50" s="40">
        <v>38183</v>
      </c>
      <c r="AG50" s="43">
        <v>6.97</v>
      </c>
      <c r="AH50" s="23">
        <v>136.96</v>
      </c>
      <c r="AI50" s="206">
        <v>41731</v>
      </c>
      <c r="AJ50" s="114">
        <v>93.8</v>
      </c>
      <c r="AK50" s="222">
        <v>117.85</v>
      </c>
      <c r="AL50" s="206">
        <v>40502</v>
      </c>
      <c r="AM50" s="114">
        <v>58.36</v>
      </c>
      <c r="AN50" s="234">
        <v>128.82</v>
      </c>
      <c r="AO50" s="206">
        <v>42220</v>
      </c>
      <c r="AP50" s="114">
        <v>38.24</v>
      </c>
      <c r="AQ50" s="185">
        <v>132.63999999999999</v>
      </c>
      <c r="AR50" s="9">
        <v>38308</v>
      </c>
      <c r="AS50" s="10">
        <v>24.15</v>
      </c>
      <c r="AT50" s="10">
        <v>140.5</v>
      </c>
      <c r="AU50" s="9">
        <v>37722</v>
      </c>
      <c r="AV50" s="10">
        <v>71.09</v>
      </c>
      <c r="AW50" s="257">
        <v>90.15</v>
      </c>
      <c r="AX50" s="253">
        <v>42220</v>
      </c>
      <c r="AY50" s="254">
        <v>68.91</v>
      </c>
      <c r="AZ50" s="185">
        <v>102.91</v>
      </c>
      <c r="BD50" s="252">
        <v>42591</v>
      </c>
      <c r="BE50" s="125">
        <v>75.44</v>
      </c>
      <c r="BF50" s="269">
        <v>100.71</v>
      </c>
      <c r="BG50" s="172">
        <v>42387</v>
      </c>
      <c r="BH50" s="99">
        <v>37.97</v>
      </c>
      <c r="BI50" s="185">
        <v>133.03</v>
      </c>
    </row>
    <row r="51" spans="1:64" ht="15" thickBot="1" x14ac:dyDescent="0.35">
      <c r="A51" s="172">
        <v>43427</v>
      </c>
      <c r="B51" s="325">
        <v>42.652899315549547</v>
      </c>
      <c r="C51" s="325">
        <v>132.34710068445045</v>
      </c>
      <c r="D51" s="165">
        <f t="shared" ref="D51:D64" si="0">D50+0.533</f>
        <v>44.066000000000003</v>
      </c>
      <c r="E51" s="181">
        <v>45222</v>
      </c>
      <c r="F51" s="162">
        <v>10.5</v>
      </c>
      <c r="N51" s="193">
        <v>42557</v>
      </c>
      <c r="O51" s="194">
        <v>75.150000000000006</v>
      </c>
      <c r="P51" s="21">
        <v>177.85</v>
      </c>
      <c r="Q51" s="25"/>
      <c r="R51" s="26"/>
      <c r="S51" s="26">
        <v>164.78</v>
      </c>
      <c r="T51" s="30"/>
      <c r="U51" s="11"/>
      <c r="V51" s="208">
        <v>164.3</v>
      </c>
      <c r="W51" s="339">
        <v>45595</v>
      </c>
      <c r="X51" s="96">
        <v>48.11</v>
      </c>
      <c r="Y51" s="222">
        <v>113.09</v>
      </c>
      <c r="Z51" s="332">
        <v>44600</v>
      </c>
      <c r="AA51" s="96">
        <v>3.37</v>
      </c>
      <c r="AB51" s="222">
        <v>146.09</v>
      </c>
      <c r="AC51" s="228">
        <v>42306</v>
      </c>
      <c r="AD51" s="99">
        <v>48.18</v>
      </c>
      <c r="AE51" s="229">
        <v>114.27</v>
      </c>
      <c r="AF51" s="40">
        <v>38197</v>
      </c>
      <c r="AG51" s="43">
        <v>6.9</v>
      </c>
      <c r="AH51" s="23">
        <v>137.03</v>
      </c>
      <c r="AI51" s="206">
        <v>41764</v>
      </c>
      <c r="AJ51" s="114">
        <v>94.03</v>
      </c>
      <c r="AK51" s="222">
        <v>117.87</v>
      </c>
      <c r="AL51" s="206">
        <v>40503</v>
      </c>
      <c r="AM51" s="114">
        <v>58.7</v>
      </c>
      <c r="AN51" s="234">
        <v>128.91999999999999</v>
      </c>
      <c r="AO51" s="206">
        <v>42255</v>
      </c>
      <c r="AP51" s="114">
        <v>38.369999999999997</v>
      </c>
      <c r="AQ51" s="185">
        <v>132.47</v>
      </c>
      <c r="AR51" s="9">
        <v>38313</v>
      </c>
      <c r="AS51" s="10">
        <v>24.54</v>
      </c>
      <c r="AT51" s="10">
        <v>140.11000000000001</v>
      </c>
      <c r="AU51" s="9">
        <v>37725</v>
      </c>
      <c r="AV51" s="10">
        <v>71.09</v>
      </c>
      <c r="AW51" s="257">
        <v>90.15</v>
      </c>
      <c r="AX51" s="253">
        <v>42292</v>
      </c>
      <c r="AY51" s="254">
        <v>69.08</v>
      </c>
      <c r="AZ51" s="185">
        <v>102.73</v>
      </c>
      <c r="BD51" s="241">
        <v>42685</v>
      </c>
      <c r="BE51" s="96">
        <v>75.790000000000006</v>
      </c>
      <c r="BF51" s="269">
        <v>100.73</v>
      </c>
      <c r="BG51" s="172">
        <v>42429</v>
      </c>
      <c r="BH51" s="99">
        <v>38.04</v>
      </c>
      <c r="BI51" s="185">
        <v>132.96</v>
      </c>
    </row>
    <row r="52" spans="1:64" ht="15" thickBot="1" x14ac:dyDescent="0.35">
      <c r="A52" s="170">
        <v>43508</v>
      </c>
      <c r="B52" s="102">
        <v>42.934777413824854</v>
      </c>
      <c r="C52" s="102">
        <v>132.06522258617514</v>
      </c>
      <c r="D52" s="165">
        <f t="shared" si="0"/>
        <v>44.599000000000004</v>
      </c>
      <c r="E52" s="181">
        <v>45302</v>
      </c>
      <c r="F52" s="162">
        <v>10.81</v>
      </c>
      <c r="N52" s="193">
        <v>42541</v>
      </c>
      <c r="O52" s="194">
        <v>75.56</v>
      </c>
      <c r="P52" s="21">
        <v>177.44</v>
      </c>
      <c r="Q52" s="25"/>
      <c r="R52" s="26"/>
      <c r="S52" s="26">
        <v>164.32</v>
      </c>
      <c r="T52" s="30"/>
      <c r="U52" s="11"/>
      <c r="V52" s="208">
        <v>164.52</v>
      </c>
      <c r="W52" s="336">
        <v>45787</v>
      </c>
      <c r="X52" s="96">
        <v>49.79</v>
      </c>
      <c r="Y52" s="222">
        <v>112.99</v>
      </c>
      <c r="Z52" s="332">
        <v>44906</v>
      </c>
      <c r="AA52" s="96">
        <v>3.59</v>
      </c>
      <c r="AB52" s="222">
        <v>146.18</v>
      </c>
      <c r="AC52" s="228">
        <v>42353</v>
      </c>
      <c r="AD52" s="99">
        <v>48.43</v>
      </c>
      <c r="AE52" s="229">
        <v>114.17</v>
      </c>
      <c r="AF52" s="40">
        <v>38203</v>
      </c>
      <c r="AG52" s="43">
        <v>6.92</v>
      </c>
      <c r="AH52" s="23">
        <v>137.01</v>
      </c>
      <c r="AI52" s="206">
        <v>41793</v>
      </c>
      <c r="AJ52" s="114">
        <v>94.15</v>
      </c>
      <c r="AK52" s="222">
        <v>117.92</v>
      </c>
      <c r="AL52" s="206">
        <v>40504</v>
      </c>
      <c r="AM52" s="114">
        <v>58.37</v>
      </c>
      <c r="AN52" s="234">
        <v>128.80000000000001</v>
      </c>
      <c r="AO52" s="206">
        <v>42292</v>
      </c>
      <c r="AP52" s="114">
        <v>38.340000000000003</v>
      </c>
      <c r="AQ52" s="185">
        <v>132.38</v>
      </c>
      <c r="AR52" s="9">
        <v>38342</v>
      </c>
      <c r="AS52" s="10">
        <v>24.22</v>
      </c>
      <c r="AT52" s="10">
        <v>140.43</v>
      </c>
      <c r="AU52" s="9">
        <v>37732</v>
      </c>
      <c r="AV52" s="10">
        <v>71.16</v>
      </c>
      <c r="AW52" s="257">
        <v>90.08</v>
      </c>
      <c r="AX52" s="253">
        <v>42353</v>
      </c>
      <c r="AY52" s="255">
        <v>69.430000000000007</v>
      </c>
      <c r="AZ52" s="185">
        <v>103.45</v>
      </c>
      <c r="BD52" s="241">
        <v>42748</v>
      </c>
      <c r="BE52" s="96">
        <v>75.91</v>
      </c>
      <c r="BF52" s="269">
        <v>100.72</v>
      </c>
      <c r="BG52" s="172">
        <v>42471</v>
      </c>
      <c r="BH52" s="99">
        <v>38.130000000000003</v>
      </c>
      <c r="BI52" s="185">
        <v>132.87</v>
      </c>
    </row>
    <row r="53" spans="1:64" ht="15" thickBot="1" x14ac:dyDescent="0.35">
      <c r="A53" s="172">
        <v>43657</v>
      </c>
      <c r="B53" s="325">
        <v>43.222774174900081</v>
      </c>
      <c r="C53" s="325">
        <v>131.77722582509992</v>
      </c>
      <c r="D53" s="165">
        <f t="shared" si="0"/>
        <v>45.132000000000005</v>
      </c>
      <c r="E53" s="179">
        <v>45418</v>
      </c>
      <c r="F53" s="271">
        <v>10.7</v>
      </c>
      <c r="N53" s="193">
        <v>42591</v>
      </c>
      <c r="O53" s="194">
        <v>75.760000000000005</v>
      </c>
      <c r="P53" s="21">
        <v>177.24</v>
      </c>
      <c r="Q53" s="25"/>
      <c r="R53" s="26"/>
      <c r="S53" s="26">
        <v>165.36</v>
      </c>
      <c r="T53" s="30"/>
      <c r="U53" s="11"/>
      <c r="V53" s="208">
        <v>164.77</v>
      </c>
      <c r="W53" s="337">
        <v>45894</v>
      </c>
      <c r="X53" s="96">
        <v>50.45</v>
      </c>
      <c r="Y53" s="222">
        <v>112.34</v>
      </c>
      <c r="Z53" s="333">
        <v>45078</v>
      </c>
      <c r="AA53" s="96">
        <v>3.88</v>
      </c>
      <c r="AB53" s="222">
        <v>146.55000000000001</v>
      </c>
      <c r="AC53" s="228">
        <v>42387</v>
      </c>
      <c r="AD53" s="99">
        <v>48.63</v>
      </c>
      <c r="AE53" s="229">
        <v>114.54</v>
      </c>
      <c r="AF53" s="40">
        <v>38209</v>
      </c>
      <c r="AG53" s="43">
        <v>6.6</v>
      </c>
      <c r="AH53" s="23">
        <v>137.33000000000001</v>
      </c>
      <c r="AI53" s="206">
        <v>41830</v>
      </c>
      <c r="AJ53" s="114">
        <v>94.24</v>
      </c>
      <c r="AK53" s="222">
        <v>117.83</v>
      </c>
      <c r="AL53" s="206">
        <v>40505</v>
      </c>
      <c r="AM53" s="114">
        <v>58.79</v>
      </c>
      <c r="AN53" s="234">
        <v>128.75</v>
      </c>
      <c r="AO53" s="206">
        <v>42306</v>
      </c>
      <c r="AP53" s="114">
        <v>38.58</v>
      </c>
      <c r="AQ53" s="185">
        <v>132.29</v>
      </c>
      <c r="AR53" s="9">
        <v>38364</v>
      </c>
      <c r="AS53" s="10">
        <v>24.22</v>
      </c>
      <c r="AT53" s="10">
        <v>140.43</v>
      </c>
      <c r="AU53" s="9">
        <v>37748</v>
      </c>
      <c r="AV53" s="10">
        <v>71.47</v>
      </c>
      <c r="AW53" s="257">
        <v>89.77</v>
      </c>
      <c r="AX53" s="253">
        <v>42387</v>
      </c>
      <c r="AY53" s="254">
        <v>70.59</v>
      </c>
      <c r="AZ53" s="185">
        <v>103.87</v>
      </c>
      <c r="BD53" s="252">
        <v>42781</v>
      </c>
      <c r="BE53" s="125">
        <v>76.34</v>
      </c>
      <c r="BF53" s="269">
        <v>100.71</v>
      </c>
      <c r="BG53" s="172">
        <v>42591</v>
      </c>
      <c r="BH53" s="99">
        <v>38.340000000000003</v>
      </c>
      <c r="BI53" s="185">
        <v>132.66</v>
      </c>
    </row>
    <row r="54" spans="1:64" ht="15" thickBot="1" x14ac:dyDescent="0.35">
      <c r="A54" s="172">
        <v>43806</v>
      </c>
      <c r="B54" s="325">
        <v>43.516989046821706</v>
      </c>
      <c r="C54" s="325">
        <v>131.48301095317828</v>
      </c>
      <c r="D54" s="165">
        <f t="shared" si="0"/>
        <v>45.665000000000006</v>
      </c>
      <c r="E54" s="179">
        <v>45623</v>
      </c>
      <c r="F54" s="271">
        <v>11.8</v>
      </c>
      <c r="N54" s="193">
        <v>42852</v>
      </c>
      <c r="O54" s="194">
        <v>76.209999999999994</v>
      </c>
      <c r="P54" s="21">
        <v>176.79</v>
      </c>
      <c r="Q54" s="25"/>
      <c r="R54" s="26"/>
      <c r="S54" s="26">
        <v>165.54</v>
      </c>
      <c r="T54" s="30"/>
      <c r="U54" s="11"/>
      <c r="V54" s="208">
        <v>164.4</v>
      </c>
      <c r="W54" s="336">
        <v>45971</v>
      </c>
      <c r="X54" s="96">
        <v>51.95</v>
      </c>
      <c r="Y54" s="222">
        <v>111.9</v>
      </c>
      <c r="Z54" s="332">
        <v>45268</v>
      </c>
      <c r="AA54" s="96">
        <v>3.65</v>
      </c>
      <c r="AB54" s="222">
        <v>146.21</v>
      </c>
      <c r="AC54" s="228">
        <v>42429</v>
      </c>
      <c r="AD54" s="99">
        <v>48.49</v>
      </c>
      <c r="AE54" s="229">
        <v>114.13</v>
      </c>
      <c r="AF54" s="40">
        <v>38217</v>
      </c>
      <c r="AG54" s="43">
        <v>6.9</v>
      </c>
      <c r="AH54" s="23">
        <v>137.03</v>
      </c>
      <c r="AI54" s="206">
        <v>41877</v>
      </c>
      <c r="AJ54" s="114">
        <v>94.42</v>
      </c>
      <c r="AK54" s="222">
        <v>118.02</v>
      </c>
      <c r="AL54" s="206">
        <v>40506</v>
      </c>
      <c r="AM54" s="114">
        <v>58.34</v>
      </c>
      <c r="AN54" s="234">
        <v>128.75</v>
      </c>
      <c r="AO54" s="206">
        <v>42353</v>
      </c>
      <c r="AP54" s="114">
        <v>38.54</v>
      </c>
      <c r="AQ54" s="185">
        <v>132.35</v>
      </c>
      <c r="AR54" s="9">
        <v>38378</v>
      </c>
      <c r="AS54" s="10">
        <v>24.21</v>
      </c>
      <c r="AT54" s="10">
        <v>140.44</v>
      </c>
      <c r="AU54" s="9">
        <v>37749</v>
      </c>
      <c r="AV54" s="10">
        <v>71.05</v>
      </c>
      <c r="AW54" s="257">
        <v>90.19</v>
      </c>
      <c r="AX54" s="253">
        <v>42429</v>
      </c>
      <c r="AY54" s="254">
        <v>69.819999999999993</v>
      </c>
      <c r="AZ54" s="185">
        <v>103.79</v>
      </c>
      <c r="BD54" s="239">
        <v>42865</v>
      </c>
      <c r="BE54" s="125">
        <v>75.77</v>
      </c>
      <c r="BF54" s="269">
        <v>100.99</v>
      </c>
      <c r="BG54" s="172">
        <v>42702</v>
      </c>
      <c r="BH54" s="99">
        <v>38.729999999999997</v>
      </c>
      <c r="BI54" s="185">
        <v>132.27000000000001</v>
      </c>
    </row>
    <row r="55" spans="1:64" ht="15" thickBot="1" x14ac:dyDescent="0.35">
      <c r="A55" s="170">
        <v>43842</v>
      </c>
      <c r="B55" s="102">
        <v>43.817523414593644</v>
      </c>
      <c r="C55" s="102">
        <v>131.18247658540636</v>
      </c>
      <c r="D55" s="165">
        <f t="shared" si="0"/>
        <v>46.198000000000008</v>
      </c>
      <c r="E55" s="179">
        <v>45775</v>
      </c>
      <c r="F55" s="271">
        <v>12.3</v>
      </c>
      <c r="N55" s="193">
        <v>42888</v>
      </c>
      <c r="O55" s="194">
        <v>76.290000000000006</v>
      </c>
      <c r="P55" s="21">
        <v>176.71</v>
      </c>
      <c r="Q55" s="25"/>
      <c r="R55" s="26"/>
      <c r="S55" s="26">
        <v>165.63</v>
      </c>
      <c r="T55" s="30"/>
      <c r="U55" s="11"/>
      <c r="V55" s="11">
        <v>164.43</v>
      </c>
      <c r="W55" s="133"/>
      <c r="X55" s="212"/>
      <c r="Y55" s="223">
        <v>111.72</v>
      </c>
      <c r="Z55" s="339">
        <v>45595</v>
      </c>
      <c r="AA55" s="96">
        <v>3.9</v>
      </c>
      <c r="AB55" s="222">
        <v>145.88</v>
      </c>
      <c r="AC55" s="228">
        <v>42471</v>
      </c>
      <c r="AD55" s="99">
        <v>48.89</v>
      </c>
      <c r="AE55" s="229">
        <v>114.2</v>
      </c>
      <c r="AF55" s="40">
        <v>38226</v>
      </c>
      <c r="AG55" s="43">
        <v>6.82</v>
      </c>
      <c r="AH55" s="23">
        <v>137.11000000000001</v>
      </c>
      <c r="AI55" s="206">
        <v>41906</v>
      </c>
      <c r="AJ55" s="114">
        <v>94.73</v>
      </c>
      <c r="AK55" s="222">
        <v>118.1</v>
      </c>
      <c r="AL55" s="206">
        <v>40507</v>
      </c>
      <c r="AM55" s="114">
        <v>58.58</v>
      </c>
      <c r="AN55" s="234">
        <v>128.69999999999999</v>
      </c>
      <c r="AO55" s="206">
        <v>42387</v>
      </c>
      <c r="AP55" s="114">
        <v>38.81</v>
      </c>
      <c r="AQ55" s="185">
        <v>132.22999999999999</v>
      </c>
      <c r="AR55" s="9">
        <v>38391</v>
      </c>
      <c r="AS55" s="10">
        <v>24.2</v>
      </c>
      <c r="AT55" s="10">
        <v>140.44999999999999</v>
      </c>
      <c r="AU55" s="9">
        <v>37750</v>
      </c>
      <c r="AV55" s="10">
        <v>71</v>
      </c>
      <c r="AW55" s="257">
        <v>90.24</v>
      </c>
      <c r="AX55" s="253">
        <v>42471</v>
      </c>
      <c r="AY55" s="254">
        <v>69.930000000000007</v>
      </c>
      <c r="AZ55" s="185">
        <v>103.7</v>
      </c>
      <c r="BD55" s="268">
        <v>43049</v>
      </c>
      <c r="BE55" s="162">
        <v>76.34</v>
      </c>
      <c r="BF55" s="269">
        <v>100.62</v>
      </c>
      <c r="BG55" s="172">
        <v>42774</v>
      </c>
      <c r="BH55" s="99">
        <v>38.979999999999997</v>
      </c>
      <c r="BI55" s="185">
        <v>132.02000000000001</v>
      </c>
    </row>
    <row r="56" spans="1:64" ht="15" thickBot="1" x14ac:dyDescent="0.35">
      <c r="A56" s="172">
        <v>43962</v>
      </c>
      <c r="B56" s="325">
        <v>44.124480600177257</v>
      </c>
      <c r="C56" s="325">
        <v>130.87551939982274</v>
      </c>
      <c r="D56" s="165">
        <f t="shared" si="0"/>
        <v>46.731000000000009</v>
      </c>
      <c r="E56" s="181">
        <v>45941</v>
      </c>
      <c r="F56" s="162">
        <v>12.55</v>
      </c>
      <c r="N56" s="193">
        <v>42902</v>
      </c>
      <c r="O56" s="194">
        <v>76.47</v>
      </c>
      <c r="P56" s="21">
        <v>176.53</v>
      </c>
      <c r="Q56" s="25"/>
      <c r="R56" s="26"/>
      <c r="S56" s="26">
        <v>165.41</v>
      </c>
      <c r="T56" s="30"/>
      <c r="U56" s="11"/>
      <c r="V56" s="11">
        <v>164.38</v>
      </c>
      <c r="W56" s="20"/>
      <c r="X56" s="35"/>
      <c r="Y56" s="223">
        <v>112.13</v>
      </c>
      <c r="Z56" s="336">
        <v>45787</v>
      </c>
      <c r="AA56" s="96">
        <v>4.0999999999999996</v>
      </c>
      <c r="AB56" s="222">
        <v>146.37</v>
      </c>
      <c r="AC56" s="228">
        <v>42591</v>
      </c>
      <c r="AD56" s="99">
        <v>49.31</v>
      </c>
      <c r="AE56" s="229">
        <v>113.82</v>
      </c>
      <c r="AF56" s="40">
        <v>38230</v>
      </c>
      <c r="AG56" s="43">
        <v>6.97</v>
      </c>
      <c r="AH56" s="23">
        <v>136.96</v>
      </c>
      <c r="AI56" s="206">
        <v>41976</v>
      </c>
      <c r="AJ56" s="114">
        <v>95.01</v>
      </c>
      <c r="AK56" s="222">
        <v>118.07</v>
      </c>
      <c r="AL56" s="206">
        <v>40508</v>
      </c>
      <c r="AM56" s="114">
        <v>58.22</v>
      </c>
      <c r="AN56" s="234">
        <v>128.81</v>
      </c>
      <c r="AO56" s="206">
        <v>42429</v>
      </c>
      <c r="AP56" s="180">
        <f>(AP55+AP57)/2</f>
        <v>38.89</v>
      </c>
      <c r="AQ56" s="185">
        <v>132.15</v>
      </c>
      <c r="AR56" s="9">
        <v>38404</v>
      </c>
      <c r="AS56" s="10">
        <v>24.23</v>
      </c>
      <c r="AT56" s="10">
        <v>140.41999999999999</v>
      </c>
      <c r="AU56" s="9">
        <v>37755</v>
      </c>
      <c r="AV56" s="10">
        <v>71.02</v>
      </c>
      <c r="AW56" s="257">
        <v>90.22</v>
      </c>
      <c r="AX56" s="253">
        <v>42557</v>
      </c>
      <c r="AY56" s="254">
        <v>70.88</v>
      </c>
      <c r="AZ56" s="185">
        <v>103.55</v>
      </c>
      <c r="BD56" s="268">
        <v>43199</v>
      </c>
      <c r="BE56" s="162">
        <v>76.87</v>
      </c>
      <c r="BF56" s="269">
        <v>100.61</v>
      </c>
      <c r="BG56" s="172">
        <v>42865</v>
      </c>
      <c r="BH56" s="99">
        <v>39.130000000000003</v>
      </c>
      <c r="BI56" s="185">
        <v>131.87</v>
      </c>
    </row>
    <row r="57" spans="1:64" ht="15" thickBot="1" x14ac:dyDescent="0.35">
      <c r="A57" s="170">
        <v>44111</v>
      </c>
      <c r="B57" s="102">
        <v>44.437965862491325</v>
      </c>
      <c r="C57" s="102">
        <v>130.56203413750868</v>
      </c>
      <c r="D57" s="165">
        <f t="shared" si="0"/>
        <v>47.26400000000001</v>
      </c>
      <c r="N57" s="193">
        <v>42955</v>
      </c>
      <c r="O57" s="194">
        <v>76.569999999999993</v>
      </c>
      <c r="P57" s="21">
        <v>176.43</v>
      </c>
      <c r="Q57" s="25"/>
      <c r="R57" s="26"/>
      <c r="S57" s="26">
        <v>165.47</v>
      </c>
      <c r="T57" s="30"/>
      <c r="U57" s="11"/>
      <c r="V57" s="11">
        <v>164.36</v>
      </c>
      <c r="W57" s="20"/>
      <c r="X57" s="35"/>
      <c r="Y57" s="223">
        <v>112.43</v>
      </c>
      <c r="Z57" s="337">
        <v>45894</v>
      </c>
      <c r="AA57" s="96">
        <v>4.22</v>
      </c>
      <c r="AB57" s="222">
        <v>146.24</v>
      </c>
      <c r="AC57" s="228">
        <v>42663</v>
      </c>
      <c r="AD57" s="99">
        <v>49.58</v>
      </c>
      <c r="AE57" s="229">
        <v>113.88</v>
      </c>
      <c r="AF57" s="40">
        <v>38237</v>
      </c>
      <c r="AG57" s="43">
        <v>6.95</v>
      </c>
      <c r="AH57" s="23">
        <v>136.97999999999999</v>
      </c>
      <c r="AI57" s="206">
        <v>42009</v>
      </c>
      <c r="AJ57" s="114">
        <v>95.42</v>
      </c>
      <c r="AK57" s="222">
        <v>117.87</v>
      </c>
      <c r="AL57" s="206">
        <v>40509</v>
      </c>
      <c r="AM57" s="114">
        <v>58</v>
      </c>
      <c r="AN57" s="234">
        <v>128.72</v>
      </c>
      <c r="AO57" s="206">
        <v>42471</v>
      </c>
      <c r="AP57" s="114">
        <v>38.97</v>
      </c>
      <c r="AQ57" s="185">
        <v>131.93</v>
      </c>
      <c r="AR57" s="9">
        <v>38419</v>
      </c>
      <c r="AS57" s="10">
        <v>24.2</v>
      </c>
      <c r="AT57" s="10">
        <v>140.44999999999999</v>
      </c>
      <c r="AU57" s="9">
        <v>37758</v>
      </c>
      <c r="AV57" s="10">
        <v>70.92</v>
      </c>
      <c r="AW57" s="257">
        <v>90.32</v>
      </c>
      <c r="AX57" s="253">
        <v>42591</v>
      </c>
      <c r="AY57" s="254">
        <v>70.510000000000005</v>
      </c>
      <c r="AZ57" s="185">
        <v>103.56</v>
      </c>
      <c r="BD57" s="268">
        <v>43324</v>
      </c>
      <c r="BE57" s="162">
        <v>78.099999999999994</v>
      </c>
      <c r="BF57" s="269">
        <v>100.23</v>
      </c>
      <c r="BG57" s="172">
        <v>42887</v>
      </c>
      <c r="BH57" s="99">
        <v>39.21</v>
      </c>
      <c r="BI57" s="185">
        <v>131.79</v>
      </c>
    </row>
    <row r="58" spans="1:64" ht="15" thickBot="1" x14ac:dyDescent="0.35">
      <c r="A58" s="172">
        <v>44177</v>
      </c>
      <c r="B58" s="325">
        <v>44.758086397412093</v>
      </c>
      <c r="C58" s="325">
        <v>130.24191360258791</v>
      </c>
      <c r="D58" s="165">
        <f t="shared" si="0"/>
        <v>47.797000000000011</v>
      </c>
      <c r="N58" s="193">
        <v>43048</v>
      </c>
      <c r="O58" s="194">
        <v>76.849999999999994</v>
      </c>
      <c r="P58" s="21">
        <v>176.15</v>
      </c>
      <c r="Q58" s="25"/>
      <c r="R58" s="26"/>
      <c r="S58" s="26">
        <v>165.58</v>
      </c>
      <c r="T58" s="30"/>
      <c r="U58" s="11"/>
      <c r="V58" s="11">
        <v>164.58</v>
      </c>
      <c r="W58" s="20"/>
      <c r="X58" s="35"/>
      <c r="Y58" s="223">
        <v>111.82</v>
      </c>
      <c r="Z58" s="336">
        <v>45971</v>
      </c>
      <c r="AA58" s="96">
        <v>4.5599999999999996</v>
      </c>
      <c r="AB58" s="222">
        <v>146.75</v>
      </c>
      <c r="AC58" s="228">
        <v>42702</v>
      </c>
      <c r="AD58" s="99">
        <v>50.07</v>
      </c>
      <c r="AE58" s="229">
        <v>113.46</v>
      </c>
      <c r="AF58" s="40">
        <v>38246</v>
      </c>
      <c r="AG58" s="43">
        <v>6.92</v>
      </c>
      <c r="AH58" s="23">
        <v>137.01</v>
      </c>
      <c r="AI58" s="206">
        <v>42035</v>
      </c>
      <c r="AJ58" s="114">
        <v>95.58</v>
      </c>
      <c r="AK58" s="222">
        <v>117.78</v>
      </c>
      <c r="AL58" s="206">
        <v>40510</v>
      </c>
      <c r="AM58" s="114">
        <v>58</v>
      </c>
      <c r="AN58" s="234">
        <v>129.03</v>
      </c>
      <c r="AO58" s="206">
        <v>42557</v>
      </c>
      <c r="AP58" s="114">
        <v>39.340000000000003</v>
      </c>
      <c r="AQ58" s="185">
        <v>131.9</v>
      </c>
      <c r="AR58" s="9">
        <v>38427</v>
      </c>
      <c r="AS58" s="10">
        <v>24.26</v>
      </c>
      <c r="AT58" s="10">
        <v>140.38999999999999</v>
      </c>
      <c r="AU58" s="9">
        <v>37768</v>
      </c>
      <c r="AV58" s="10">
        <v>71.010000000000005</v>
      </c>
      <c r="AW58" s="257">
        <v>90.23</v>
      </c>
      <c r="AX58" s="253">
        <v>42663</v>
      </c>
      <c r="AY58" s="254">
        <v>70.73</v>
      </c>
      <c r="AZ58" s="185">
        <v>103.54</v>
      </c>
      <c r="BD58" s="268">
        <v>43407</v>
      </c>
      <c r="BE58" s="162">
        <v>77.45</v>
      </c>
      <c r="BF58" s="269">
        <v>100.73</v>
      </c>
      <c r="BG58" s="172">
        <v>42955</v>
      </c>
      <c r="BH58" s="99">
        <v>39.17</v>
      </c>
      <c r="BI58" s="185">
        <v>131.83000000000001</v>
      </c>
    </row>
    <row r="59" spans="1:64" ht="15" thickBot="1" x14ac:dyDescent="0.35">
      <c r="A59" s="170">
        <v>44207</v>
      </c>
      <c r="B59" s="102">
        <v>45.084951337773219</v>
      </c>
      <c r="C59" s="102">
        <v>129.91504866222678</v>
      </c>
      <c r="D59" s="165">
        <f t="shared" si="0"/>
        <v>48.330000000000013</v>
      </c>
      <c r="N59" s="193">
        <v>43123</v>
      </c>
      <c r="O59" s="194">
        <v>77.11</v>
      </c>
      <c r="P59" s="21">
        <v>175.89</v>
      </c>
      <c r="Q59" s="25"/>
      <c r="R59" s="26"/>
      <c r="S59" s="26">
        <v>165.58</v>
      </c>
      <c r="T59" s="30"/>
      <c r="U59" s="11"/>
      <c r="V59" s="11">
        <v>164.7</v>
      </c>
      <c r="W59" s="20"/>
      <c r="X59" s="35"/>
      <c r="Y59" s="35">
        <v>111.62</v>
      </c>
      <c r="Z59" s="133"/>
      <c r="AA59" s="212"/>
      <c r="AB59" s="23">
        <v>146.4</v>
      </c>
      <c r="AC59" s="228">
        <v>42774</v>
      </c>
      <c r="AD59" s="99">
        <v>50.28</v>
      </c>
      <c r="AE59" s="229">
        <v>113.5</v>
      </c>
      <c r="AF59" s="40">
        <v>38251</v>
      </c>
      <c r="AG59" s="43">
        <v>6.87</v>
      </c>
      <c r="AH59" s="23">
        <v>137.06</v>
      </c>
      <c r="AI59" s="206">
        <v>42063</v>
      </c>
      <c r="AJ59" s="114">
        <v>95.68</v>
      </c>
      <c r="AK59" s="222">
        <v>118.1</v>
      </c>
      <c r="AL59" s="206">
        <v>40511</v>
      </c>
      <c r="AM59" s="114">
        <v>57.98</v>
      </c>
      <c r="AN59" s="234">
        <v>128.65</v>
      </c>
      <c r="AO59" s="206">
        <v>42591</v>
      </c>
      <c r="AP59" s="114">
        <v>39.22</v>
      </c>
      <c r="AQ59" s="185">
        <v>131.63</v>
      </c>
      <c r="AR59" s="9">
        <v>38439</v>
      </c>
      <c r="AS59" s="10">
        <v>24.14</v>
      </c>
      <c r="AT59" s="10">
        <v>140.51</v>
      </c>
      <c r="AU59" s="9">
        <v>37796</v>
      </c>
      <c r="AV59" s="10">
        <v>72.17</v>
      </c>
      <c r="AW59" s="257">
        <v>89.07</v>
      </c>
      <c r="AX59" s="256">
        <v>42774</v>
      </c>
      <c r="AY59" s="254">
        <v>71.53</v>
      </c>
      <c r="AZ59" s="185">
        <v>103.09</v>
      </c>
      <c r="BD59" s="253">
        <v>43559</v>
      </c>
      <c r="BE59" s="254">
        <v>79.36</v>
      </c>
      <c r="BF59" s="269">
        <v>100.67</v>
      </c>
      <c r="BG59" s="270">
        <v>43048</v>
      </c>
      <c r="BH59" s="99">
        <v>39.61</v>
      </c>
      <c r="BI59" s="185">
        <v>131.38999999999999</v>
      </c>
    </row>
    <row r="60" spans="1:64" ht="15" thickBot="1" x14ac:dyDescent="0.35">
      <c r="A60" s="172">
        <v>44293</v>
      </c>
      <c r="B60" s="325">
        <v>45.418671753365807</v>
      </c>
      <c r="C60" s="325">
        <v>129.5813282466342</v>
      </c>
      <c r="D60" s="165">
        <f t="shared" si="0"/>
        <v>48.863000000000014</v>
      </c>
      <c r="N60" s="193">
        <v>43559</v>
      </c>
      <c r="O60" s="194">
        <v>79.42</v>
      </c>
      <c r="P60" s="21">
        <v>173.58</v>
      </c>
      <c r="Q60" s="25"/>
      <c r="R60" s="26"/>
      <c r="S60" s="26">
        <v>165.69</v>
      </c>
      <c r="T60" s="30"/>
      <c r="U60" s="11"/>
      <c r="V60" s="11">
        <v>164.78</v>
      </c>
      <c r="W60" s="20"/>
      <c r="X60" s="35"/>
      <c r="Y60" s="35">
        <v>111.62</v>
      </c>
      <c r="Z60" s="20"/>
      <c r="AA60" s="35"/>
      <c r="AB60" s="23">
        <v>146.4</v>
      </c>
      <c r="AC60" s="228">
        <v>42794</v>
      </c>
      <c r="AD60" s="99">
        <v>50.45</v>
      </c>
      <c r="AE60" s="229">
        <v>112.23</v>
      </c>
      <c r="AF60" s="40">
        <v>38286</v>
      </c>
      <c r="AG60" s="43">
        <v>6.94</v>
      </c>
      <c r="AH60" s="23">
        <v>136.99</v>
      </c>
      <c r="AI60" s="206">
        <v>42087</v>
      </c>
      <c r="AJ60" s="114">
        <v>95.86</v>
      </c>
      <c r="AK60" s="222">
        <v>118.06</v>
      </c>
      <c r="AL60" s="206">
        <v>40512</v>
      </c>
      <c r="AM60" s="114">
        <v>58.1</v>
      </c>
      <c r="AN60" s="234">
        <v>128.61000000000001</v>
      </c>
      <c r="AO60" s="206">
        <v>42774</v>
      </c>
      <c r="AP60" s="114">
        <v>39.979999999999997</v>
      </c>
      <c r="AQ60" s="185">
        <v>131.57</v>
      </c>
      <c r="AR60" s="9">
        <v>38446</v>
      </c>
      <c r="AS60" s="10">
        <v>24.97</v>
      </c>
      <c r="AT60" s="10">
        <v>139.68</v>
      </c>
      <c r="AU60" s="9">
        <v>37813</v>
      </c>
      <c r="AV60" s="10">
        <v>71.3</v>
      </c>
      <c r="AW60" s="257">
        <v>89.94</v>
      </c>
      <c r="AX60" s="253">
        <v>42852</v>
      </c>
      <c r="AY60" s="254">
        <v>72.5</v>
      </c>
      <c r="AZ60" s="185">
        <v>103.11</v>
      </c>
      <c r="BD60" s="268">
        <v>43729</v>
      </c>
      <c r="BE60" s="162">
        <v>79.91</v>
      </c>
      <c r="BF60" s="269">
        <v>100.67</v>
      </c>
      <c r="BG60" s="199">
        <v>43170</v>
      </c>
      <c r="BH60" s="96">
        <v>40.119999999999997</v>
      </c>
      <c r="BI60" s="185">
        <v>127.43</v>
      </c>
    </row>
    <row r="61" spans="1:64" ht="15" thickBot="1" x14ac:dyDescent="0.35">
      <c r="A61" s="172">
        <v>44411</v>
      </c>
      <c r="B61" s="325">
        <v>45.759360650938405</v>
      </c>
      <c r="C61" s="325">
        <v>129.24063934906161</v>
      </c>
      <c r="D61" s="165">
        <f t="shared" si="0"/>
        <v>49.396000000000015</v>
      </c>
      <c r="N61" s="193">
        <v>43697</v>
      </c>
      <c r="O61" s="194">
        <v>79.98</v>
      </c>
      <c r="P61" s="21">
        <v>173.02</v>
      </c>
      <c r="Q61" s="25"/>
      <c r="R61" s="26"/>
      <c r="S61" s="26">
        <v>165.54</v>
      </c>
      <c r="T61" s="30"/>
      <c r="U61" s="11"/>
      <c r="V61" s="11">
        <v>164.8</v>
      </c>
      <c r="W61" s="20"/>
      <c r="X61" s="35"/>
      <c r="Y61" s="35">
        <v>110.65</v>
      </c>
      <c r="Z61" s="20"/>
      <c r="AA61" s="35"/>
      <c r="AB61" s="23">
        <v>146.61000000000001</v>
      </c>
      <c r="AC61" s="228">
        <v>42865</v>
      </c>
      <c r="AD61" s="99">
        <v>50.78</v>
      </c>
      <c r="AE61" s="229">
        <v>112.09</v>
      </c>
      <c r="AF61" s="40">
        <v>38308</v>
      </c>
      <c r="AG61" s="43">
        <v>6.91</v>
      </c>
      <c r="AH61" s="23">
        <v>137.02000000000001</v>
      </c>
      <c r="AI61" s="206">
        <v>42157</v>
      </c>
      <c r="AJ61" s="114">
        <v>96</v>
      </c>
      <c r="AK61" s="222">
        <v>118.1</v>
      </c>
      <c r="AL61" s="206">
        <v>40513</v>
      </c>
      <c r="AM61" s="114">
        <v>57.67</v>
      </c>
      <c r="AN61" s="234">
        <v>128.35</v>
      </c>
      <c r="AO61" s="206">
        <v>42865</v>
      </c>
      <c r="AP61" s="114">
        <v>39.82</v>
      </c>
      <c r="AQ61" s="185">
        <v>131.5</v>
      </c>
      <c r="AR61" s="9">
        <v>38453</v>
      </c>
      <c r="AS61" s="10">
        <v>24.24</v>
      </c>
      <c r="AT61" s="10">
        <v>140.41</v>
      </c>
      <c r="AU61" s="9">
        <v>37817</v>
      </c>
      <c r="AV61" s="10">
        <v>71.27</v>
      </c>
      <c r="AW61" s="257">
        <v>89.97</v>
      </c>
      <c r="AX61" s="253">
        <v>42865</v>
      </c>
      <c r="AY61" s="254">
        <v>72.209999999999994</v>
      </c>
      <c r="AZ61" s="185">
        <v>103.06</v>
      </c>
      <c r="BD61" s="268">
        <v>43871</v>
      </c>
      <c r="BE61" s="162">
        <v>79.56</v>
      </c>
      <c r="BF61" s="269">
        <v>100.33</v>
      </c>
      <c r="BG61" s="199">
        <v>43360</v>
      </c>
      <c r="BH61" s="96">
        <v>41.59</v>
      </c>
      <c r="BI61" s="185">
        <v>126.96</v>
      </c>
    </row>
    <row r="62" spans="1:64" ht="15" thickBot="1" x14ac:dyDescent="0.35">
      <c r="A62" s="170">
        <v>44486</v>
      </c>
      <c r="B62" s="102">
        <v>46.107132974197</v>
      </c>
      <c r="C62" s="102">
        <v>128.89286702580301</v>
      </c>
      <c r="D62" s="165">
        <f t="shared" si="0"/>
        <v>49.929000000000016</v>
      </c>
      <c r="N62" s="193">
        <v>43759</v>
      </c>
      <c r="O62" s="194">
        <v>81.53</v>
      </c>
      <c r="P62" s="21">
        <v>171.47</v>
      </c>
      <c r="Q62" s="25"/>
      <c r="R62" s="26"/>
      <c r="S62" s="26">
        <v>165.59</v>
      </c>
      <c r="T62" s="30"/>
      <c r="U62" s="11"/>
      <c r="V62" s="11">
        <v>164.73</v>
      </c>
      <c r="W62" s="20"/>
      <c r="X62" s="35"/>
      <c r="Y62" s="35">
        <v>110.41</v>
      </c>
      <c r="Z62" s="20"/>
      <c r="AA62" s="35"/>
      <c r="AB62" s="23">
        <v>146.65</v>
      </c>
      <c r="AC62" s="228">
        <v>42887</v>
      </c>
      <c r="AD62" s="99">
        <v>50.73</v>
      </c>
      <c r="AE62" s="229">
        <v>112.29</v>
      </c>
      <c r="AF62" s="40">
        <v>38313</v>
      </c>
      <c r="AG62" s="43">
        <v>7.22</v>
      </c>
      <c r="AH62" s="23">
        <v>136.71</v>
      </c>
      <c r="AI62" s="206">
        <v>42220</v>
      </c>
      <c r="AJ62" s="114">
        <v>96.2</v>
      </c>
      <c r="AK62" s="222">
        <v>118.06</v>
      </c>
      <c r="AL62" s="206">
        <v>40527</v>
      </c>
      <c r="AM62" s="114">
        <v>58.96</v>
      </c>
      <c r="AN62" s="234">
        <v>128.6</v>
      </c>
      <c r="AO62" s="206">
        <v>42887</v>
      </c>
      <c r="AP62" s="114">
        <v>39.9</v>
      </c>
      <c r="AQ62" s="185">
        <v>131.28</v>
      </c>
      <c r="AR62" s="9">
        <v>38461</v>
      </c>
      <c r="AS62" s="10">
        <v>24.71</v>
      </c>
      <c r="AT62" s="10">
        <v>139.94</v>
      </c>
      <c r="AU62" s="9">
        <v>37821</v>
      </c>
      <c r="AV62" s="10">
        <v>71.25</v>
      </c>
      <c r="AW62" s="257">
        <v>89.99</v>
      </c>
      <c r="AX62" s="253">
        <v>42887</v>
      </c>
      <c r="AY62" s="254">
        <v>72.319999999999993</v>
      </c>
      <c r="AZ62" s="185">
        <v>102.86</v>
      </c>
      <c r="BD62" s="268">
        <v>44017</v>
      </c>
      <c r="BE62" s="162">
        <v>80.78</v>
      </c>
      <c r="BF62" s="269">
        <v>100.19</v>
      </c>
      <c r="BG62" s="199">
        <v>43608</v>
      </c>
      <c r="BH62" s="96">
        <v>42.68</v>
      </c>
      <c r="BI62" s="185">
        <v>126.14</v>
      </c>
    </row>
    <row r="63" spans="1:64" ht="15" thickBot="1" x14ac:dyDescent="0.35">
      <c r="A63" s="172">
        <v>44507</v>
      </c>
      <c r="B63" s="325">
        <v>46.462105603804993</v>
      </c>
      <c r="C63" s="325">
        <v>128.53789439619501</v>
      </c>
      <c r="D63" s="165">
        <f t="shared" si="0"/>
        <v>50.462000000000018</v>
      </c>
      <c r="N63" s="193">
        <v>44440</v>
      </c>
      <c r="O63" s="194">
        <v>82.9</v>
      </c>
      <c r="P63" s="22">
        <v>170.1</v>
      </c>
      <c r="Q63" s="25"/>
      <c r="R63" s="26"/>
      <c r="S63" s="26">
        <v>165.5</v>
      </c>
      <c r="T63" s="30"/>
      <c r="U63" s="11"/>
      <c r="V63" s="11">
        <v>164.79</v>
      </c>
      <c r="W63" s="20"/>
      <c r="X63" s="35"/>
      <c r="Y63" s="35">
        <v>109.1</v>
      </c>
      <c r="Z63" s="20"/>
      <c r="AA63" s="35"/>
      <c r="AB63" s="23">
        <v>146.82</v>
      </c>
      <c r="AC63" s="228">
        <v>42955</v>
      </c>
      <c r="AD63" s="99">
        <v>50.82</v>
      </c>
      <c r="AE63" s="229">
        <v>112.21</v>
      </c>
      <c r="AF63" s="40">
        <v>38342</v>
      </c>
      <c r="AG63" s="43">
        <v>6.84</v>
      </c>
      <c r="AH63" s="23">
        <v>137.09</v>
      </c>
      <c r="AI63" s="206">
        <v>42255</v>
      </c>
      <c r="AJ63" s="114">
        <v>96.39</v>
      </c>
      <c r="AK63" s="222">
        <v>118.03</v>
      </c>
      <c r="AL63" s="206">
        <v>40528</v>
      </c>
      <c r="AM63" s="114">
        <v>58.98</v>
      </c>
      <c r="AN63" s="234">
        <v>128.29</v>
      </c>
      <c r="AO63" s="206">
        <v>42955</v>
      </c>
      <c r="AP63" s="114">
        <v>39.71</v>
      </c>
      <c r="AQ63" s="185">
        <v>131.33000000000001</v>
      </c>
      <c r="AR63" s="9">
        <v>38467</v>
      </c>
      <c r="AS63" s="10">
        <v>24.22</v>
      </c>
      <c r="AT63" s="10">
        <v>140.43</v>
      </c>
      <c r="AU63" s="9">
        <v>37824</v>
      </c>
      <c r="AV63" s="10">
        <v>71.27</v>
      </c>
      <c r="AW63" s="257">
        <v>89.97</v>
      </c>
      <c r="AX63" s="253">
        <v>42955</v>
      </c>
      <c r="AY63" s="254">
        <v>72.7</v>
      </c>
      <c r="AZ63" s="185">
        <v>102.97</v>
      </c>
      <c r="BD63" s="268">
        <v>44206</v>
      </c>
      <c r="BE63" s="162">
        <v>81.56</v>
      </c>
      <c r="BF63" s="269">
        <v>100.29</v>
      </c>
      <c r="BG63" s="199">
        <v>43791</v>
      </c>
      <c r="BH63" s="96">
        <v>42.16</v>
      </c>
    </row>
    <row r="64" spans="1:64" ht="15" thickBot="1" x14ac:dyDescent="0.35">
      <c r="A64" s="170">
        <v>44539</v>
      </c>
      <c r="B64" s="102">
        <v>46.824397357383262</v>
      </c>
      <c r="C64" s="102">
        <v>128.17560264261675</v>
      </c>
      <c r="D64" s="165">
        <f t="shared" si="0"/>
        <v>50.995000000000019</v>
      </c>
      <c r="N64" s="193">
        <v>44599</v>
      </c>
      <c r="O64" s="194">
        <v>83.83</v>
      </c>
      <c r="P64" s="17">
        <v>169.17</v>
      </c>
      <c r="Q64" s="27"/>
      <c r="R64" s="26"/>
      <c r="S64" s="26">
        <v>165.56</v>
      </c>
      <c r="T64" s="30"/>
      <c r="U64" s="11"/>
      <c r="V64" s="11">
        <v>164.45</v>
      </c>
      <c r="W64" s="20"/>
      <c r="X64" s="35"/>
      <c r="Y64" s="35">
        <v>103.87</v>
      </c>
      <c r="Z64" s="20"/>
      <c r="AA64" s="35"/>
      <c r="AB64" s="23">
        <v>146.66999999999999</v>
      </c>
      <c r="AC64" s="228">
        <v>43011</v>
      </c>
      <c r="AD64" s="99">
        <v>50.92</v>
      </c>
      <c r="AE64" s="229">
        <v>112.03</v>
      </c>
      <c r="AF64" s="40">
        <v>38364</v>
      </c>
      <c r="AG64" s="43">
        <v>6.9</v>
      </c>
      <c r="AH64" s="23">
        <v>137.03</v>
      </c>
      <c r="AI64" s="206">
        <v>42292</v>
      </c>
      <c r="AJ64" s="114">
        <v>96.68</v>
      </c>
      <c r="AK64" s="222">
        <v>117.96</v>
      </c>
      <c r="AL64" s="206">
        <v>40529</v>
      </c>
      <c r="AM64" s="114">
        <v>58.94</v>
      </c>
      <c r="AN64" s="234">
        <v>127.97</v>
      </c>
      <c r="AO64" s="206">
        <v>43011</v>
      </c>
      <c r="AP64" s="114">
        <v>39.57</v>
      </c>
      <c r="AQ64" s="185">
        <v>131.35</v>
      </c>
      <c r="AR64" s="9">
        <v>38474</v>
      </c>
      <c r="AS64" s="10">
        <v>24.24</v>
      </c>
      <c r="AT64" s="10">
        <v>140.41</v>
      </c>
      <c r="AU64" s="9">
        <v>37831</v>
      </c>
      <c r="AV64" s="10">
        <v>71.34</v>
      </c>
      <c r="AW64" s="257">
        <v>89.9</v>
      </c>
      <c r="AX64" s="253">
        <v>43048</v>
      </c>
      <c r="AY64" s="254">
        <v>73.37</v>
      </c>
      <c r="AZ64" s="185">
        <v>102.87</v>
      </c>
      <c r="BD64" s="268">
        <v>44460</v>
      </c>
      <c r="BE64" s="162">
        <v>80.790000000000006</v>
      </c>
      <c r="BF64" s="269">
        <v>99.96</v>
      </c>
      <c r="BG64" s="199">
        <v>43928</v>
      </c>
      <c r="BH64" s="96">
        <v>42.81</v>
      </c>
    </row>
    <row r="65" spans="1:60" ht="15" thickBot="1" x14ac:dyDescent="0.35">
      <c r="A65" s="172">
        <v>44600</v>
      </c>
      <c r="B65" s="309">
        <v>47.17</v>
      </c>
      <c r="C65" s="309">
        <v>127.83</v>
      </c>
      <c r="N65" s="130">
        <v>44846</v>
      </c>
      <c r="O65" s="102">
        <v>82.078147199999989</v>
      </c>
      <c r="Q65" s="25"/>
      <c r="R65" s="26"/>
      <c r="S65" s="26">
        <v>165.43</v>
      </c>
      <c r="T65" s="30"/>
      <c r="U65" s="11"/>
      <c r="V65" s="11">
        <v>164.45</v>
      </c>
      <c r="W65" s="20"/>
      <c r="X65" s="35"/>
      <c r="Y65" s="35">
        <v>109.01</v>
      </c>
      <c r="Z65" s="20"/>
      <c r="AA65" s="35"/>
      <c r="AB65" s="23">
        <v>146.29</v>
      </c>
      <c r="AC65" s="228">
        <v>43123</v>
      </c>
      <c r="AD65" s="99">
        <v>51.17</v>
      </c>
      <c r="AE65" s="229">
        <v>111.43</v>
      </c>
      <c r="AF65" s="40">
        <v>38378</v>
      </c>
      <c r="AG65" s="43">
        <v>6.91</v>
      </c>
      <c r="AH65" s="23">
        <v>137.02000000000001</v>
      </c>
      <c r="AI65" s="206">
        <v>42353</v>
      </c>
      <c r="AJ65" s="114">
        <v>97.1</v>
      </c>
      <c r="AK65" s="222">
        <v>117.95</v>
      </c>
      <c r="AL65" s="206">
        <v>40530</v>
      </c>
      <c r="AM65" s="114">
        <v>58.94</v>
      </c>
      <c r="AN65" s="234">
        <v>128.21</v>
      </c>
      <c r="AO65" s="206">
        <v>43123</v>
      </c>
      <c r="AP65" s="114">
        <v>39.409999999999997</v>
      </c>
      <c r="AQ65" s="185">
        <v>130.87</v>
      </c>
      <c r="AR65" s="9">
        <v>39471</v>
      </c>
      <c r="AS65" s="10">
        <v>24.37</v>
      </c>
      <c r="AT65" s="10">
        <v>140.28</v>
      </c>
      <c r="AU65" s="9">
        <v>37838</v>
      </c>
      <c r="AV65" s="10">
        <v>71.38</v>
      </c>
      <c r="AW65" s="257">
        <v>89.86</v>
      </c>
      <c r="AX65" s="253">
        <v>43123</v>
      </c>
      <c r="AY65" s="254">
        <v>73.819999999999993</v>
      </c>
      <c r="AZ65" s="185">
        <v>102.85</v>
      </c>
      <c r="BD65" s="268">
        <v>44606</v>
      </c>
      <c r="BE65" s="162">
        <v>82.75</v>
      </c>
      <c r="BF65" s="269">
        <v>100.49</v>
      </c>
      <c r="BG65" s="199">
        <v>44085</v>
      </c>
      <c r="BH65" s="96">
        <v>42.95</v>
      </c>
    </row>
    <row r="66" spans="1:60" ht="15" thickBot="1" x14ac:dyDescent="0.35">
      <c r="A66" s="171">
        <v>44697</v>
      </c>
      <c r="B66" s="102">
        <v>47.152342456998404</v>
      </c>
      <c r="C66" s="102">
        <v>127.84765754300159</v>
      </c>
      <c r="D66" s="165">
        <f>D64+0.4733</f>
        <v>51.468300000000021</v>
      </c>
      <c r="N66" s="206">
        <v>44900</v>
      </c>
      <c r="O66" s="325">
        <v>80.88698789999998</v>
      </c>
      <c r="Q66" s="25"/>
      <c r="R66" s="26"/>
      <c r="S66" s="26">
        <v>165.18</v>
      </c>
      <c r="T66" s="30"/>
      <c r="U66" s="11"/>
      <c r="V66" s="11">
        <v>164.33</v>
      </c>
      <c r="W66" s="20"/>
      <c r="X66" s="35"/>
      <c r="Y66" s="35">
        <v>108.84</v>
      </c>
      <c r="Z66" s="20"/>
      <c r="AA66" s="35"/>
      <c r="AB66" s="23">
        <v>146.32</v>
      </c>
      <c r="AC66" s="228">
        <v>43558</v>
      </c>
      <c r="AD66" s="99">
        <v>51.89</v>
      </c>
      <c r="AE66" s="229">
        <v>111.33</v>
      </c>
      <c r="AF66" s="40">
        <v>38391</v>
      </c>
      <c r="AG66" s="43">
        <v>6.88</v>
      </c>
      <c r="AH66" s="23">
        <v>137.05000000000001</v>
      </c>
      <c r="AI66" s="206">
        <v>42387</v>
      </c>
      <c r="AJ66" s="114">
        <v>97.4</v>
      </c>
      <c r="AK66" s="222">
        <v>118.17</v>
      </c>
      <c r="AL66" s="206">
        <v>40531</v>
      </c>
      <c r="AM66" s="114">
        <v>58.93</v>
      </c>
      <c r="AN66" s="234">
        <v>128.07</v>
      </c>
      <c r="AO66" s="248">
        <v>43323</v>
      </c>
      <c r="AP66" s="96">
        <v>39.5</v>
      </c>
      <c r="AQ66" s="185">
        <v>130.91</v>
      </c>
      <c r="AR66" s="9">
        <v>39492</v>
      </c>
      <c r="AS66" s="10">
        <v>24.14</v>
      </c>
      <c r="AT66" s="10">
        <v>140.51</v>
      </c>
      <c r="AU66" s="9">
        <v>37846</v>
      </c>
      <c r="AV66" s="10">
        <v>71.38</v>
      </c>
      <c r="AW66" s="257">
        <v>89.86</v>
      </c>
      <c r="AX66" s="253">
        <v>43263</v>
      </c>
      <c r="AY66" s="254">
        <v>74.75</v>
      </c>
      <c r="AZ66" s="185">
        <v>102.81</v>
      </c>
      <c r="BD66" s="268">
        <v>44809</v>
      </c>
      <c r="BE66" s="162">
        <v>83.41</v>
      </c>
      <c r="BF66" s="269">
        <v>100.52</v>
      </c>
      <c r="BG66" s="199">
        <v>44213</v>
      </c>
      <c r="BH66" s="96">
        <v>43.21</v>
      </c>
    </row>
    <row r="67" spans="1:60" ht="15" thickBot="1" x14ac:dyDescent="0.35">
      <c r="A67" s="173">
        <v>44821</v>
      </c>
      <c r="B67" s="325">
        <v>47.451890647646238</v>
      </c>
      <c r="C67" s="325">
        <v>127.54810935235376</v>
      </c>
      <c r="D67" s="165">
        <f>D66+0.425</f>
        <v>51.893300000000018</v>
      </c>
      <c r="N67" s="130">
        <v>45008</v>
      </c>
      <c r="O67" s="102">
        <v>79.794049599999994</v>
      </c>
      <c r="Q67" s="25"/>
      <c r="R67" s="26"/>
      <c r="S67" s="26">
        <v>165.39</v>
      </c>
      <c r="T67" s="30"/>
      <c r="U67" s="11"/>
      <c r="V67" s="11">
        <v>164.59</v>
      </c>
      <c r="W67" s="20"/>
      <c r="X67" s="35"/>
      <c r="Y67" s="35">
        <v>108.75</v>
      </c>
      <c r="Z67" s="20"/>
      <c r="AA67" s="35"/>
      <c r="AB67" s="23">
        <v>146.44999999999999</v>
      </c>
      <c r="AC67" s="228">
        <v>43921</v>
      </c>
      <c r="AD67" s="99">
        <v>53.95</v>
      </c>
      <c r="AE67" s="229">
        <v>111.31</v>
      </c>
      <c r="AF67" s="40">
        <v>38404</v>
      </c>
      <c r="AG67" s="43">
        <v>7</v>
      </c>
      <c r="AH67" s="23">
        <v>136.93</v>
      </c>
      <c r="AI67" s="206">
        <v>42429</v>
      </c>
      <c r="AJ67" s="114">
        <v>97.6</v>
      </c>
      <c r="AK67" s="222">
        <v>117.91</v>
      </c>
      <c r="AL67" s="206">
        <v>40532</v>
      </c>
      <c r="AM67" s="114">
        <v>58.93</v>
      </c>
      <c r="AN67" s="234">
        <v>128.02000000000001</v>
      </c>
      <c r="AO67" s="248">
        <v>43419</v>
      </c>
      <c r="AP67" s="96">
        <v>39.700000000000003</v>
      </c>
      <c r="AQ67" s="185">
        <v>130.9</v>
      </c>
      <c r="AR67" s="9">
        <v>39507</v>
      </c>
      <c r="AS67" s="10">
        <v>24.16</v>
      </c>
      <c r="AT67" s="10">
        <v>140.49</v>
      </c>
      <c r="AU67" s="9">
        <v>37853</v>
      </c>
      <c r="AV67" s="10">
        <v>71.44</v>
      </c>
      <c r="AW67" s="257">
        <v>89.8</v>
      </c>
      <c r="AX67" s="239">
        <v>43348</v>
      </c>
      <c r="AY67" s="254">
        <v>75.08</v>
      </c>
      <c r="AZ67" s="185">
        <v>102.65</v>
      </c>
      <c r="BD67" s="268">
        <v>44929</v>
      </c>
      <c r="BE67" s="162">
        <v>84.7</v>
      </c>
      <c r="BF67" s="269">
        <v>100.12</v>
      </c>
      <c r="BG67" s="199">
        <v>44481</v>
      </c>
      <c r="BH67" s="96">
        <v>43.44</v>
      </c>
    </row>
    <row r="68" spans="1:60" ht="15" thickBot="1" x14ac:dyDescent="0.35">
      <c r="A68" s="173">
        <v>45038</v>
      </c>
      <c r="B68" s="325">
        <v>47.756301290436348</v>
      </c>
      <c r="C68" s="325">
        <v>127.24369870956366</v>
      </c>
      <c r="D68" s="165">
        <f t="shared" ref="D68:D72" si="1">D67+0.425</f>
        <v>52.318300000000015</v>
      </c>
      <c r="N68" s="130">
        <v>45210</v>
      </c>
      <c r="O68" s="102">
        <v>78.793515299999996</v>
      </c>
      <c r="Q68" s="25"/>
      <c r="R68" s="26"/>
      <c r="S68" s="26">
        <v>165.23</v>
      </c>
      <c r="T68" s="30"/>
      <c r="U68" s="11"/>
      <c r="V68" s="11">
        <v>164.64</v>
      </c>
      <c r="W68" s="20"/>
      <c r="X68" s="35"/>
      <c r="Y68" s="35">
        <v>108.67</v>
      </c>
      <c r="Z68" s="20"/>
      <c r="AA68" s="35"/>
      <c r="AB68" s="23">
        <v>146.65</v>
      </c>
      <c r="AC68" s="228">
        <v>44008</v>
      </c>
      <c r="AD68" s="99">
        <v>53.42</v>
      </c>
      <c r="AE68" s="229">
        <v>110.51</v>
      </c>
      <c r="AF68" s="40">
        <v>38427</v>
      </c>
      <c r="AG68" s="43">
        <v>6.91</v>
      </c>
      <c r="AH68" s="23">
        <v>137.02000000000001</v>
      </c>
      <c r="AI68" s="206">
        <v>42471</v>
      </c>
      <c r="AJ68" s="114">
        <v>97.71</v>
      </c>
      <c r="AK68" s="222">
        <v>117.95</v>
      </c>
      <c r="AL68" s="206">
        <v>40533</v>
      </c>
      <c r="AM68" s="114">
        <v>58.92</v>
      </c>
      <c r="AN68" s="234">
        <v>128.13</v>
      </c>
      <c r="AO68" s="206">
        <v>43558</v>
      </c>
      <c r="AP68" s="114">
        <v>40.090000000000003</v>
      </c>
      <c r="AQ68" s="185">
        <v>130.59</v>
      </c>
      <c r="AR68" s="9">
        <v>39538</v>
      </c>
      <c r="AS68" s="10">
        <v>24.03</v>
      </c>
      <c r="AT68" s="10">
        <v>140.62</v>
      </c>
      <c r="AU68" s="9">
        <v>37859</v>
      </c>
      <c r="AV68" s="10">
        <v>71.400000000000006</v>
      </c>
      <c r="AW68" s="257">
        <v>89.84</v>
      </c>
      <c r="AX68" s="239">
        <v>43263</v>
      </c>
      <c r="AY68" s="254">
        <v>74.75</v>
      </c>
      <c r="AZ68" s="185">
        <v>102.96</v>
      </c>
      <c r="BD68" s="268">
        <v>45155</v>
      </c>
      <c r="BE68" s="162">
        <v>85.98</v>
      </c>
      <c r="BF68" s="269">
        <v>100.04</v>
      </c>
      <c r="BG68" s="173">
        <v>44600</v>
      </c>
      <c r="BH68" s="99">
        <v>43.57</v>
      </c>
    </row>
    <row r="69" spans="1:60" ht="15" thickBot="1" x14ac:dyDescent="0.35">
      <c r="A69" s="171">
        <v>45241</v>
      </c>
      <c r="B69" s="102">
        <v>48.06563814222951</v>
      </c>
      <c r="C69" s="102">
        <v>126.93436185777048</v>
      </c>
      <c r="D69" s="165">
        <f t="shared" si="1"/>
        <v>52.743300000000012</v>
      </c>
      <c r="N69" s="206">
        <v>45302</v>
      </c>
      <c r="O69" s="325">
        <v>77.88</v>
      </c>
      <c r="Q69" s="25"/>
      <c r="R69" s="26"/>
      <c r="S69" s="26">
        <v>165.3</v>
      </c>
      <c r="T69" s="30"/>
      <c r="U69" s="11"/>
      <c r="V69" s="11">
        <v>164.9</v>
      </c>
      <c r="W69" s="20"/>
      <c r="X69" s="35"/>
      <c r="Y69" s="35">
        <v>108.56</v>
      </c>
      <c r="Z69" s="20"/>
      <c r="AA69" s="35"/>
      <c r="AB69" s="23">
        <v>146.58000000000001</v>
      </c>
      <c r="AC69" s="228">
        <v>43952</v>
      </c>
      <c r="AD69" s="99">
        <v>52.75</v>
      </c>
      <c r="AE69" s="229">
        <v>110.66</v>
      </c>
      <c r="AF69" s="40">
        <v>38442</v>
      </c>
      <c r="AG69" s="43">
        <v>7.01</v>
      </c>
      <c r="AH69" s="23">
        <v>136.91999999999999</v>
      </c>
      <c r="AI69" s="206">
        <v>42494</v>
      </c>
      <c r="AJ69" s="114">
        <v>97.82</v>
      </c>
      <c r="AK69" s="222">
        <v>117.95</v>
      </c>
      <c r="AL69" s="206">
        <v>40534</v>
      </c>
      <c r="AM69" s="114">
        <v>58.92</v>
      </c>
      <c r="AN69" s="234">
        <v>128.21</v>
      </c>
      <c r="AO69" s="206">
        <v>43697</v>
      </c>
      <c r="AP69" s="114">
        <v>40.4</v>
      </c>
      <c r="AQ69" s="185">
        <v>130.51</v>
      </c>
      <c r="AR69" s="9">
        <v>39847</v>
      </c>
      <c r="AS69" s="10">
        <v>24.24</v>
      </c>
      <c r="AT69" s="10">
        <v>140.41</v>
      </c>
      <c r="AU69" s="9">
        <v>37873</v>
      </c>
      <c r="AV69" s="10">
        <v>71.58</v>
      </c>
      <c r="AW69" s="257">
        <v>89.66</v>
      </c>
      <c r="AX69" s="256">
        <v>43348</v>
      </c>
      <c r="AY69" s="254">
        <v>75.08</v>
      </c>
      <c r="AZ69" s="185">
        <v>102.71</v>
      </c>
      <c r="BD69" s="268">
        <v>45356</v>
      </c>
      <c r="BE69" s="162">
        <v>86.11</v>
      </c>
      <c r="BF69" s="269">
        <v>100.12</v>
      </c>
      <c r="BG69" s="173">
        <v>44785</v>
      </c>
      <c r="BH69" s="99">
        <v>44.04</v>
      </c>
    </row>
    <row r="70" spans="1:60" ht="15" thickBot="1" x14ac:dyDescent="0.35">
      <c r="A70" s="173">
        <v>45327</v>
      </c>
      <c r="B70" s="325">
        <v>48.379965742895884</v>
      </c>
      <c r="C70" s="325">
        <v>126.62003425710412</v>
      </c>
      <c r="D70" s="165">
        <f t="shared" si="1"/>
        <v>53.168300000000009</v>
      </c>
      <c r="N70" s="130">
        <v>45544</v>
      </c>
      <c r="O70" s="102">
        <v>77.048514699999984</v>
      </c>
      <c r="Q70" s="25"/>
      <c r="R70" s="26"/>
      <c r="S70" s="26">
        <v>165.46</v>
      </c>
      <c r="T70" s="30"/>
      <c r="U70" s="11"/>
      <c r="V70" s="11">
        <v>165.1</v>
      </c>
      <c r="W70" s="20"/>
      <c r="X70" s="35"/>
      <c r="Y70" s="35">
        <v>108.67</v>
      </c>
      <c r="Z70" s="20"/>
      <c r="AA70" s="35"/>
      <c r="AB70" s="23">
        <v>146.53</v>
      </c>
      <c r="AC70" s="228">
        <v>43964</v>
      </c>
      <c r="AD70" s="99">
        <v>52.68</v>
      </c>
      <c r="AE70" s="229">
        <v>110.61</v>
      </c>
      <c r="AF70" s="40">
        <v>38453</v>
      </c>
      <c r="AG70" s="43">
        <v>7.03</v>
      </c>
      <c r="AH70" s="23">
        <v>136.9</v>
      </c>
      <c r="AI70" s="206">
        <v>42591</v>
      </c>
      <c r="AJ70" s="114">
        <v>98.1</v>
      </c>
      <c r="AK70" s="222">
        <v>117.9</v>
      </c>
      <c r="AL70" s="206">
        <v>40535</v>
      </c>
      <c r="AM70" s="114">
        <v>58.98</v>
      </c>
      <c r="AN70" s="234">
        <v>128.18</v>
      </c>
      <c r="AO70" s="206">
        <v>43921</v>
      </c>
      <c r="AP70" s="114">
        <v>41.01</v>
      </c>
      <c r="AQ70" s="185">
        <v>130.77000000000001</v>
      </c>
      <c r="AR70" s="69">
        <v>39881</v>
      </c>
      <c r="AS70" s="10">
        <v>24.13</v>
      </c>
      <c r="AT70" s="10">
        <v>140.52000000000001</v>
      </c>
      <c r="AU70" s="69">
        <v>37881</v>
      </c>
      <c r="AV70" s="10">
        <v>71.31</v>
      </c>
      <c r="AW70" s="257">
        <v>89.93</v>
      </c>
      <c r="AX70" s="239">
        <v>43559</v>
      </c>
      <c r="AY70" s="125">
        <v>76.040000000000006</v>
      </c>
      <c r="AZ70" s="185">
        <v>102.6</v>
      </c>
      <c r="BD70" s="268">
        <v>45599</v>
      </c>
      <c r="BE70" s="162">
        <v>87.75</v>
      </c>
      <c r="BF70" s="269">
        <v>100.04</v>
      </c>
      <c r="BG70" s="173">
        <v>44844</v>
      </c>
      <c r="BH70" s="99">
        <v>44.86</v>
      </c>
    </row>
    <row r="71" spans="1:60" ht="15" thickBot="1" x14ac:dyDescent="0.35">
      <c r="A71" s="173">
        <v>45557</v>
      </c>
      <c r="B71" s="325">
        <v>48.699349415314984</v>
      </c>
      <c r="C71" s="325">
        <v>126.30065058468502</v>
      </c>
      <c r="D71" s="165">
        <f t="shared" si="1"/>
        <v>53.593300000000006</v>
      </c>
      <c r="N71" s="130">
        <v>45647</v>
      </c>
      <c r="O71" s="102">
        <v>76.294430399999996</v>
      </c>
      <c r="Q71" s="25"/>
      <c r="R71" s="26"/>
      <c r="S71" s="26">
        <v>164.84</v>
      </c>
      <c r="T71" s="30"/>
      <c r="U71" s="11"/>
      <c r="V71" s="11">
        <v>164.33</v>
      </c>
      <c r="W71" s="20"/>
      <c r="X71" s="35"/>
      <c r="Y71" s="35">
        <v>108.55</v>
      </c>
      <c r="Z71" s="20"/>
      <c r="AA71" s="35"/>
      <c r="AB71" s="23">
        <v>146.83000000000001</v>
      </c>
      <c r="AC71" s="228">
        <v>43971</v>
      </c>
      <c r="AD71" s="99">
        <v>52.75</v>
      </c>
      <c r="AE71" s="229">
        <v>110.46</v>
      </c>
      <c r="AF71" s="40">
        <v>38461</v>
      </c>
      <c r="AG71" s="43">
        <v>6.55</v>
      </c>
      <c r="AH71" s="23">
        <v>137.38</v>
      </c>
      <c r="AI71" s="206">
        <v>42686</v>
      </c>
      <c r="AJ71" s="114">
        <v>98.6</v>
      </c>
      <c r="AK71" s="222">
        <v>117.87</v>
      </c>
      <c r="AL71" s="206">
        <v>40536</v>
      </c>
      <c r="AM71" s="114">
        <v>58.95</v>
      </c>
      <c r="AN71" s="234">
        <v>128.18</v>
      </c>
      <c r="AO71" s="206">
        <v>43964</v>
      </c>
      <c r="AP71" s="114">
        <v>41</v>
      </c>
      <c r="AQ71" s="185">
        <v>130.86000000000001</v>
      </c>
      <c r="AR71" s="69">
        <v>39939</v>
      </c>
      <c r="AS71" s="10">
        <v>24.16</v>
      </c>
      <c r="AT71" s="10">
        <v>140.49</v>
      </c>
      <c r="AU71" s="69">
        <v>37895</v>
      </c>
      <c r="AV71" s="10">
        <v>71.52</v>
      </c>
      <c r="AW71" s="257">
        <v>89.72</v>
      </c>
      <c r="AX71" s="239">
        <v>43697</v>
      </c>
      <c r="AY71" s="254">
        <v>76.95</v>
      </c>
      <c r="AZ71" s="185">
        <v>102.45</v>
      </c>
      <c r="BD71" s="268">
        <v>45626</v>
      </c>
      <c r="BE71" s="162">
        <v>88.1</v>
      </c>
      <c r="BF71" s="269">
        <v>100.07</v>
      </c>
      <c r="BG71" s="199">
        <v>45068</v>
      </c>
      <c r="BH71" s="96">
        <v>43.67</v>
      </c>
    </row>
    <row r="72" spans="1:60" ht="15" thickBot="1" x14ac:dyDescent="0.35">
      <c r="A72" s="171">
        <v>45753</v>
      </c>
      <c r="B72" s="102">
        <v>49.023855265375715</v>
      </c>
      <c r="C72" s="102">
        <v>125.97614473462428</v>
      </c>
      <c r="D72" s="165">
        <f t="shared" si="1"/>
        <v>54.018300000000004</v>
      </c>
      <c r="N72" s="206">
        <v>45787</v>
      </c>
      <c r="O72" s="325">
        <v>75.613442099999986</v>
      </c>
      <c r="Q72" s="25"/>
      <c r="R72" s="26"/>
      <c r="S72" s="26">
        <v>165.31</v>
      </c>
      <c r="T72" s="30"/>
      <c r="U72" s="11"/>
      <c r="V72" s="11">
        <v>163.54</v>
      </c>
      <c r="W72" s="20"/>
      <c r="X72" s="35"/>
      <c r="Y72" s="35">
        <v>108.41</v>
      </c>
      <c r="Z72" s="20"/>
      <c r="AA72" s="35"/>
      <c r="AB72" s="23">
        <v>146.75</v>
      </c>
      <c r="AC72" s="228">
        <v>44440</v>
      </c>
      <c r="AD72" s="99">
        <v>52.87</v>
      </c>
      <c r="AE72" s="229">
        <v>111.32</v>
      </c>
      <c r="AF72" s="40">
        <v>38467</v>
      </c>
      <c r="AG72" s="43">
        <v>6.95</v>
      </c>
      <c r="AH72" s="23">
        <v>136.97999999999999</v>
      </c>
      <c r="AI72" s="206">
        <v>42784</v>
      </c>
      <c r="AJ72" s="114">
        <v>98.93</v>
      </c>
      <c r="AK72" s="222">
        <v>117.92</v>
      </c>
      <c r="AL72" s="206">
        <v>40537</v>
      </c>
      <c r="AM72" s="114">
        <v>58.94</v>
      </c>
      <c r="AN72" s="234">
        <v>128.16</v>
      </c>
      <c r="AO72" s="206">
        <v>44008</v>
      </c>
      <c r="AP72" s="114">
        <v>41.47</v>
      </c>
      <c r="AQ72" s="185">
        <v>130.93</v>
      </c>
      <c r="AR72" s="69">
        <v>40011</v>
      </c>
      <c r="AS72" s="10">
        <v>24.26</v>
      </c>
      <c r="AT72" s="10">
        <v>140.38999999999999</v>
      </c>
      <c r="AU72" s="69">
        <v>37900</v>
      </c>
      <c r="AV72" s="10">
        <v>71.42</v>
      </c>
      <c r="AW72" s="257">
        <v>89.82</v>
      </c>
      <c r="AX72" s="241">
        <v>43810</v>
      </c>
      <c r="AY72" s="96">
        <v>77.12</v>
      </c>
      <c r="AZ72" s="185">
        <v>102.5</v>
      </c>
      <c r="BD72" s="268" t="s">
        <v>30</v>
      </c>
      <c r="BE72" s="162">
        <v>88.45</v>
      </c>
      <c r="BF72" s="269">
        <v>99.54</v>
      </c>
      <c r="BG72" s="199">
        <v>45205</v>
      </c>
      <c r="BH72" s="96">
        <v>44.92</v>
      </c>
    </row>
    <row r="73" spans="1:60" ht="15" thickBot="1" x14ac:dyDescent="0.35">
      <c r="A73" s="173">
        <v>45972</v>
      </c>
      <c r="B73" s="99">
        <v>49.13</v>
      </c>
      <c r="C73" s="174">
        <v>125.87</v>
      </c>
      <c r="D73" s="183"/>
      <c r="N73" s="130">
        <v>45894</v>
      </c>
      <c r="O73" s="102">
        <v>75.001532799999993</v>
      </c>
      <c r="Q73" s="25"/>
      <c r="R73" s="26"/>
      <c r="S73" s="26">
        <v>165.19</v>
      </c>
      <c r="T73" s="30"/>
      <c r="U73" s="11"/>
      <c r="V73" s="11">
        <v>164.49</v>
      </c>
      <c r="W73" s="20"/>
      <c r="X73" s="35"/>
      <c r="Y73" s="35">
        <v>108.35</v>
      </c>
      <c r="Z73" s="20"/>
      <c r="AA73" s="35"/>
      <c r="AB73" s="23">
        <v>146.38999999999999</v>
      </c>
      <c r="AC73" s="228">
        <v>44600</v>
      </c>
      <c r="AD73" s="99">
        <v>54.75</v>
      </c>
      <c r="AE73" s="229">
        <v>110.03</v>
      </c>
      <c r="AF73" s="40">
        <v>38474</v>
      </c>
      <c r="AG73" s="43">
        <v>6.79</v>
      </c>
      <c r="AH73" s="23">
        <v>137.13999999999999</v>
      </c>
      <c r="AI73" s="206">
        <v>42852</v>
      </c>
      <c r="AJ73" s="114">
        <v>99.56</v>
      </c>
      <c r="AK73" s="222">
        <v>117.77</v>
      </c>
      <c r="AL73" s="206">
        <v>40538</v>
      </c>
      <c r="AM73" s="114">
        <v>58.93</v>
      </c>
      <c r="AN73" s="234">
        <v>128.19999999999999</v>
      </c>
      <c r="AO73" s="241">
        <v>44211</v>
      </c>
      <c r="AP73" s="96">
        <v>41.87</v>
      </c>
      <c r="AQ73" s="250">
        <v>164.65</v>
      </c>
      <c r="AR73" s="69">
        <v>40777</v>
      </c>
      <c r="AS73" s="10">
        <v>25.13</v>
      </c>
      <c r="AT73" s="15">
        <v>140.41</v>
      </c>
      <c r="AU73" s="69">
        <v>37931</v>
      </c>
      <c r="AV73" s="10">
        <v>71.790000000000006</v>
      </c>
      <c r="AW73" s="257">
        <v>89.45</v>
      </c>
      <c r="AX73" s="241">
        <v>43897</v>
      </c>
      <c r="AY73" s="96">
        <v>77.25</v>
      </c>
      <c r="AZ73" s="185">
        <v>102.55</v>
      </c>
      <c r="BD73" s="268">
        <v>45916</v>
      </c>
      <c r="BE73" s="162">
        <v>89.76</v>
      </c>
      <c r="BF73" s="269">
        <v>99.52</v>
      </c>
      <c r="BG73" s="199">
        <v>45293</v>
      </c>
      <c r="BH73" s="96">
        <v>44.97</v>
      </c>
    </row>
    <row r="74" spans="1:60" ht="15" thickBot="1" x14ac:dyDescent="0.35">
      <c r="N74" s="206">
        <v>45971</v>
      </c>
      <c r="O74" s="325">
        <v>74.4549375</v>
      </c>
      <c r="Q74" s="25"/>
      <c r="R74" s="26"/>
      <c r="S74" s="26">
        <v>164.21</v>
      </c>
      <c r="T74" s="30"/>
      <c r="U74" s="11"/>
      <c r="V74" s="11">
        <v>163.72</v>
      </c>
      <c r="W74" s="20"/>
      <c r="X74" s="35"/>
      <c r="Y74" s="35">
        <v>108.26</v>
      </c>
      <c r="Z74" s="20"/>
      <c r="AA74" s="35"/>
      <c r="AB74" s="23">
        <v>146.13999999999999</v>
      </c>
      <c r="AC74" s="228">
        <v>44785</v>
      </c>
      <c r="AD74" s="99">
        <v>54.87</v>
      </c>
      <c r="AE74" s="229">
        <v>109.78</v>
      </c>
      <c r="AF74" s="40">
        <v>38485</v>
      </c>
      <c r="AG74" s="43">
        <v>6.16</v>
      </c>
      <c r="AH74" s="23">
        <v>137.77000000000001</v>
      </c>
      <c r="AI74" s="206">
        <v>42888</v>
      </c>
      <c r="AJ74" s="114">
        <v>99.69</v>
      </c>
      <c r="AK74" s="222">
        <v>117.58</v>
      </c>
      <c r="AL74" s="206">
        <v>40539</v>
      </c>
      <c r="AM74" s="114">
        <v>58.93</v>
      </c>
      <c r="AN74" s="234">
        <v>128.22</v>
      </c>
      <c r="AO74" s="241">
        <v>44325</v>
      </c>
      <c r="AP74" s="96">
        <v>41.45</v>
      </c>
      <c r="AQ74" s="185">
        <v>130.71</v>
      </c>
      <c r="AR74" s="69">
        <v>41072</v>
      </c>
      <c r="AS74" s="10">
        <v>24.22</v>
      </c>
      <c r="AT74" s="10">
        <v>140.43</v>
      </c>
      <c r="AU74" s="69">
        <v>37936</v>
      </c>
      <c r="AV74" s="10">
        <v>71.400000000000006</v>
      </c>
      <c r="AW74" s="257">
        <v>89.84</v>
      </c>
      <c r="AX74" s="241">
        <v>44022</v>
      </c>
      <c r="AY74" s="96">
        <v>78.56</v>
      </c>
      <c r="AZ74" s="185">
        <v>102.52</v>
      </c>
      <c r="BD74" s="218"/>
      <c r="BE74" s="219"/>
      <c r="BF74" s="257">
        <v>99.59</v>
      </c>
      <c r="BG74" s="173">
        <v>45575</v>
      </c>
      <c r="BH74" s="99">
        <v>45</v>
      </c>
    </row>
    <row r="75" spans="1:60" ht="15" thickBot="1" x14ac:dyDescent="0.35">
      <c r="A75" s="321" t="s">
        <v>41</v>
      </c>
      <c r="B75" s="321"/>
      <c r="Q75" s="25"/>
      <c r="R75" s="26"/>
      <c r="S75" s="26">
        <v>165.28</v>
      </c>
      <c r="T75" s="30"/>
      <c r="U75" s="11"/>
      <c r="V75" s="11">
        <v>164.74</v>
      </c>
      <c r="W75" s="20"/>
      <c r="X75" s="35"/>
      <c r="Y75" s="35">
        <v>108.35</v>
      </c>
      <c r="Z75" s="20"/>
      <c r="AA75" s="35"/>
      <c r="AB75" s="23">
        <v>146.49</v>
      </c>
      <c r="AC75" s="228">
        <v>44845</v>
      </c>
      <c r="AD75" s="99">
        <v>56.76</v>
      </c>
      <c r="AE75" s="229">
        <v>109.93</v>
      </c>
      <c r="AF75" s="40">
        <v>38740</v>
      </c>
      <c r="AG75" s="43">
        <v>6.86</v>
      </c>
      <c r="AH75" s="23">
        <v>137.07</v>
      </c>
      <c r="AI75" s="206">
        <v>42955</v>
      </c>
      <c r="AJ75" s="114">
        <v>99.99</v>
      </c>
      <c r="AK75" s="222">
        <v>117.56</v>
      </c>
      <c r="AL75" s="206">
        <v>40540</v>
      </c>
      <c r="AM75" s="114">
        <v>58.93</v>
      </c>
      <c r="AN75" s="234">
        <v>128.19999999999999</v>
      </c>
      <c r="AO75" s="241">
        <v>44411</v>
      </c>
      <c r="AP75" s="96">
        <v>42.1</v>
      </c>
      <c r="AQ75" s="185">
        <v>130.91</v>
      </c>
      <c r="AR75" s="69">
        <v>41278</v>
      </c>
      <c r="AS75" s="10">
        <v>24.48</v>
      </c>
      <c r="AT75" s="15">
        <v>139.5</v>
      </c>
      <c r="AU75" s="69">
        <v>37994</v>
      </c>
      <c r="AV75" s="10">
        <v>72.099999999999994</v>
      </c>
      <c r="AW75" s="257">
        <v>89.14</v>
      </c>
      <c r="AX75" s="241">
        <v>44155</v>
      </c>
      <c r="AY75" s="96">
        <v>78.900000000000006</v>
      </c>
      <c r="AZ75" s="185">
        <v>102.62</v>
      </c>
      <c r="BD75" s="71"/>
      <c r="BE75" s="72"/>
      <c r="BF75" s="258">
        <v>99.64</v>
      </c>
      <c r="BG75" s="199">
        <v>45689</v>
      </c>
      <c r="BH75" s="162">
        <v>45.22</v>
      </c>
    </row>
    <row r="76" spans="1:60" ht="15" thickBot="1" x14ac:dyDescent="0.35">
      <c r="A76" s="322"/>
      <c r="B76" s="322"/>
      <c r="Q76" s="25"/>
      <c r="R76" s="26"/>
      <c r="S76" s="26">
        <v>165.27</v>
      </c>
      <c r="T76" s="30"/>
      <c r="U76" s="11"/>
      <c r="V76" s="11">
        <v>165.17</v>
      </c>
      <c r="W76" s="20"/>
      <c r="X76" s="35"/>
      <c r="Y76" s="35">
        <v>108.01</v>
      </c>
      <c r="Z76" s="20"/>
      <c r="AA76" s="35"/>
      <c r="AB76" s="23">
        <v>146.51</v>
      </c>
      <c r="AC76" s="129">
        <v>44928</v>
      </c>
      <c r="AD76" s="102">
        <v>56.87</v>
      </c>
      <c r="AE76" s="229">
        <v>110.4</v>
      </c>
      <c r="AF76" s="40">
        <v>38754</v>
      </c>
      <c r="AG76" s="43">
        <v>6.87</v>
      </c>
      <c r="AH76" s="23">
        <v>137.06</v>
      </c>
      <c r="AI76" s="228">
        <v>42557</v>
      </c>
      <c r="AJ76" s="114">
        <v>98.61</v>
      </c>
      <c r="AK76" s="222">
        <v>117.67</v>
      </c>
      <c r="AL76" s="206">
        <v>40541</v>
      </c>
      <c r="AM76" s="114">
        <v>58.92</v>
      </c>
      <c r="AN76" s="234">
        <v>128.19999999999999</v>
      </c>
      <c r="AO76" s="206">
        <v>44440</v>
      </c>
      <c r="AP76" s="114">
        <v>42.14</v>
      </c>
      <c r="AQ76" s="185">
        <v>130.82</v>
      </c>
      <c r="AR76" s="69">
        <v>41368</v>
      </c>
      <c r="AS76" s="10">
        <v>24.24</v>
      </c>
      <c r="AT76" s="15">
        <v>139.27000000000001</v>
      </c>
      <c r="AU76" s="69">
        <v>38009</v>
      </c>
      <c r="AV76" s="10">
        <v>72.3</v>
      </c>
      <c r="AW76" s="257">
        <v>88.94</v>
      </c>
      <c r="AX76" s="241">
        <v>44235</v>
      </c>
      <c r="AY76" s="96">
        <v>79.150000000000006</v>
      </c>
      <c r="AZ76" s="185">
        <v>102.56</v>
      </c>
      <c r="BD76" s="71"/>
      <c r="BE76" s="72"/>
      <c r="BF76" s="258">
        <v>99.68</v>
      </c>
      <c r="BG76" s="199">
        <v>45892</v>
      </c>
      <c r="BH76" s="96">
        <v>45.74</v>
      </c>
    </row>
    <row r="77" spans="1:60" ht="15" thickBot="1" x14ac:dyDescent="0.35">
      <c r="A77" s="162" t="s">
        <v>42</v>
      </c>
      <c r="B77" s="162">
        <v>39.922473411734025</v>
      </c>
      <c r="Q77" s="25"/>
      <c r="R77" s="26"/>
      <c r="S77" s="26">
        <v>165.36</v>
      </c>
      <c r="T77" s="30"/>
      <c r="U77" s="11"/>
      <c r="V77" s="11">
        <v>164.7</v>
      </c>
      <c r="W77" s="20"/>
      <c r="X77" s="35"/>
      <c r="Y77" s="35">
        <v>107.89</v>
      </c>
      <c r="Z77" s="20"/>
      <c r="AA77" s="35"/>
      <c r="AB77" s="23">
        <v>146.68</v>
      </c>
      <c r="AC77" s="129">
        <v>45155</v>
      </c>
      <c r="AD77" s="102">
        <v>57.05</v>
      </c>
      <c r="AE77" s="229">
        <v>108.58</v>
      </c>
      <c r="AF77" s="40">
        <v>40575</v>
      </c>
      <c r="AG77" s="43">
        <v>7.6</v>
      </c>
      <c r="AH77" s="242">
        <v>136.33000000000001</v>
      </c>
      <c r="AI77" s="228">
        <v>42663</v>
      </c>
      <c r="AJ77" s="114">
        <v>98.43</v>
      </c>
      <c r="AK77" s="222">
        <v>117.71</v>
      </c>
      <c r="AL77" s="206">
        <v>40542</v>
      </c>
      <c r="AM77" s="114">
        <v>58.88</v>
      </c>
      <c r="AN77" s="234">
        <v>128.35</v>
      </c>
      <c r="AO77" s="241">
        <v>44662</v>
      </c>
      <c r="AP77" s="96">
        <v>42.25</v>
      </c>
      <c r="AQ77" s="185">
        <v>130.69</v>
      </c>
      <c r="AR77" s="69">
        <v>41401</v>
      </c>
      <c r="AS77" s="10">
        <v>24.58</v>
      </c>
      <c r="AT77" s="15">
        <v>139.1</v>
      </c>
      <c r="AU77" s="69">
        <v>38049</v>
      </c>
      <c r="AV77" s="10">
        <v>72.5</v>
      </c>
      <c r="AW77" s="257">
        <v>88.74</v>
      </c>
      <c r="AX77" s="241">
        <v>44361</v>
      </c>
      <c r="AY77" s="96">
        <v>80.11</v>
      </c>
      <c r="AZ77" s="185">
        <v>102.32</v>
      </c>
      <c r="BD77" s="71"/>
      <c r="BE77" s="72"/>
      <c r="BF77" s="258">
        <v>99.24</v>
      </c>
      <c r="BG77" s="173">
        <v>45972</v>
      </c>
      <c r="BH77" s="99">
        <v>45.94</v>
      </c>
    </row>
    <row r="78" spans="1:60" ht="15" thickBot="1" x14ac:dyDescent="0.35">
      <c r="A78" s="322" t="s">
        <v>43</v>
      </c>
      <c r="B78" s="322">
        <v>0.59172776161273255</v>
      </c>
      <c r="Q78" s="25"/>
      <c r="R78" s="26"/>
      <c r="S78" s="26">
        <v>165.28</v>
      </c>
      <c r="T78" s="30"/>
      <c r="U78" s="11"/>
      <c r="V78" s="11">
        <v>164.56</v>
      </c>
      <c r="W78" s="20"/>
      <c r="X78" s="35"/>
      <c r="Y78" s="35">
        <v>107.49</v>
      </c>
      <c r="Z78" s="20"/>
      <c r="AA78" s="35"/>
      <c r="AB78" s="23">
        <v>146.91999999999999</v>
      </c>
      <c r="AC78" s="129">
        <v>45281</v>
      </c>
      <c r="AD78" s="102">
        <f>_xlfn.FORECAST.LINEAR(AC78,AD72:AD77,AC72:AC77)</f>
        <v>58.471528689645282</v>
      </c>
      <c r="AE78" s="229">
        <v>108.76</v>
      </c>
      <c r="AF78" s="40">
        <v>40679</v>
      </c>
      <c r="AG78" s="43">
        <v>7.65</v>
      </c>
      <c r="AH78" s="242">
        <v>136.28</v>
      </c>
      <c r="AI78" s="228">
        <v>42774</v>
      </c>
      <c r="AJ78" s="114">
        <v>98.93</v>
      </c>
      <c r="AK78" s="222">
        <v>117.58</v>
      </c>
      <c r="AL78" s="206">
        <v>40543</v>
      </c>
      <c r="AM78" s="114">
        <v>58.85</v>
      </c>
      <c r="AN78" s="234">
        <v>128.1</v>
      </c>
      <c r="AO78" s="241">
        <v>44766</v>
      </c>
      <c r="AP78" s="96">
        <v>42.39</v>
      </c>
      <c r="AQ78" s="185">
        <v>130.6</v>
      </c>
      <c r="AR78" s="69">
        <v>41437</v>
      </c>
      <c r="AS78" s="10">
        <v>24.65</v>
      </c>
      <c r="AT78" s="15">
        <v>138.86000000000001</v>
      </c>
      <c r="AU78" s="69">
        <v>38076</v>
      </c>
      <c r="AV78" s="10">
        <v>72.67</v>
      </c>
      <c r="AW78" s="257">
        <v>88.57</v>
      </c>
      <c r="AX78" s="256">
        <v>44440</v>
      </c>
      <c r="AY78" s="254">
        <v>80.97</v>
      </c>
      <c r="AZ78" s="185">
        <v>102.86</v>
      </c>
      <c r="BD78" s="71"/>
      <c r="BE78" s="72"/>
      <c r="BF78" s="73">
        <v>99.72</v>
      </c>
    </row>
    <row r="79" spans="1:60" ht="15" thickBot="1" x14ac:dyDescent="0.35">
      <c r="A79" s="322" t="s">
        <v>44</v>
      </c>
      <c r="B79" s="322">
        <v>39.69</v>
      </c>
      <c r="Q79" s="25"/>
      <c r="R79" s="26"/>
      <c r="S79" s="26">
        <v>164.97</v>
      </c>
      <c r="T79" s="30"/>
      <c r="U79" s="11"/>
      <c r="V79" s="11">
        <v>164.59</v>
      </c>
      <c r="W79" s="20"/>
      <c r="X79" s="35"/>
      <c r="Y79" s="35">
        <v>107.34</v>
      </c>
      <c r="Z79" s="20"/>
      <c r="AA79" s="35"/>
      <c r="AB79" s="23">
        <v>146.44999999999999</v>
      </c>
      <c r="AC79" s="129">
        <v>45356</v>
      </c>
      <c r="AD79" s="102">
        <f>_xlfn.FORECAST.LINEAR(AC79,AD73:AD78,AC73:AC78)</f>
        <v>58.651872029725979</v>
      </c>
      <c r="AE79" s="229">
        <v>108.26</v>
      </c>
      <c r="AF79" s="40">
        <v>40745</v>
      </c>
      <c r="AG79" s="43">
        <v>7.69</v>
      </c>
      <c r="AH79" s="242">
        <v>136.24</v>
      </c>
      <c r="AI79" s="228">
        <v>43048</v>
      </c>
      <c r="AJ79" s="114">
        <v>100.45</v>
      </c>
      <c r="AK79" s="222">
        <v>117.52</v>
      </c>
      <c r="AL79" s="206">
        <v>40544</v>
      </c>
      <c r="AM79" s="114">
        <v>58.9</v>
      </c>
      <c r="AN79" s="234">
        <v>128.18</v>
      </c>
      <c r="AO79" s="241">
        <v>44837</v>
      </c>
      <c r="AP79" s="96">
        <v>41.21</v>
      </c>
      <c r="AQ79" s="185">
        <v>130.63999999999999</v>
      </c>
      <c r="AR79" s="69">
        <v>41471</v>
      </c>
      <c r="AS79" s="10">
        <v>24.54</v>
      </c>
      <c r="AT79" s="15">
        <v>138.66999999999999</v>
      </c>
      <c r="AU79" s="69">
        <v>38107</v>
      </c>
      <c r="AV79" s="10">
        <v>72.59</v>
      </c>
      <c r="AW79" s="257">
        <v>88.65</v>
      </c>
      <c r="AX79" s="241">
        <v>44671</v>
      </c>
      <c r="AY79" s="96">
        <v>80.47</v>
      </c>
      <c r="AZ79" s="185">
        <v>103.13</v>
      </c>
      <c r="BD79" s="71"/>
      <c r="BE79" s="72"/>
      <c r="BF79" s="73">
        <v>99.74</v>
      </c>
    </row>
    <row r="80" spans="1:60" ht="15" thickBot="1" x14ac:dyDescent="0.35">
      <c r="A80" s="322" t="s">
        <v>45</v>
      </c>
      <c r="B80" s="322">
        <v>34.799999999999997</v>
      </c>
      <c r="Q80" s="25"/>
      <c r="R80" s="26"/>
      <c r="S80" s="26">
        <v>165.1</v>
      </c>
      <c r="T80" s="30"/>
      <c r="U80" s="11"/>
      <c r="V80" s="11">
        <v>164.89</v>
      </c>
      <c r="W80" s="20"/>
      <c r="X80" s="35"/>
      <c r="Y80" s="35">
        <v>107.35</v>
      </c>
      <c r="Z80" s="20"/>
      <c r="AA80" s="35"/>
      <c r="AB80" s="23">
        <v>146.80000000000001</v>
      </c>
      <c r="AC80" s="129">
        <v>45501</v>
      </c>
      <c r="AD80" s="102">
        <v>57.5</v>
      </c>
      <c r="AE80" s="229">
        <v>108.35</v>
      </c>
      <c r="AF80" s="40">
        <v>40777</v>
      </c>
      <c r="AG80" s="43">
        <v>7.65</v>
      </c>
      <c r="AH80" s="242">
        <v>136.28</v>
      </c>
      <c r="AI80" s="228">
        <v>43069</v>
      </c>
      <c r="AJ80" s="114">
        <v>101.03</v>
      </c>
      <c r="AK80" s="222">
        <v>117.52</v>
      </c>
      <c r="AL80" s="206">
        <v>40545</v>
      </c>
      <c r="AM80" s="114">
        <v>57.5</v>
      </c>
      <c r="AN80" s="234">
        <v>128.12</v>
      </c>
      <c r="AO80" s="241">
        <v>44960</v>
      </c>
      <c r="AP80" s="96">
        <v>42.12</v>
      </c>
      <c r="AQ80" s="185">
        <v>130.29</v>
      </c>
      <c r="AR80" s="69">
        <v>41506</v>
      </c>
      <c r="AS80" s="10">
        <v>24.6</v>
      </c>
      <c r="AT80" s="15">
        <v>138.87</v>
      </c>
      <c r="AU80" s="69">
        <v>38124</v>
      </c>
      <c r="AV80" s="10">
        <v>72.84</v>
      </c>
      <c r="AW80" s="257">
        <v>88.4</v>
      </c>
      <c r="AX80" s="241">
        <v>44784</v>
      </c>
      <c r="AY80" s="96">
        <v>81.11</v>
      </c>
      <c r="AZ80" s="185">
        <v>103.03</v>
      </c>
      <c r="BD80" s="71"/>
      <c r="BE80" s="72"/>
      <c r="BF80" s="73">
        <v>99.56</v>
      </c>
    </row>
    <row r="81" spans="1:58" ht="15" thickBot="1" x14ac:dyDescent="0.35">
      <c r="A81" s="322" t="s">
        <v>46</v>
      </c>
      <c r="B81" s="322">
        <v>4.985986744295281</v>
      </c>
      <c r="Q81" s="25"/>
      <c r="R81" s="26"/>
      <c r="S81" s="26">
        <v>165.14</v>
      </c>
      <c r="T81" s="30"/>
      <c r="U81" s="11"/>
      <c r="V81" s="11">
        <v>165</v>
      </c>
      <c r="W81" s="20"/>
      <c r="X81" s="35"/>
      <c r="Y81" s="35">
        <v>107.08</v>
      </c>
      <c r="Z81" s="20"/>
      <c r="AA81" s="35"/>
      <c r="AB81" s="23">
        <v>146.15</v>
      </c>
      <c r="AC81" s="129" t="s">
        <v>28</v>
      </c>
      <c r="AD81" s="102">
        <v>58.15</v>
      </c>
      <c r="AE81" s="229">
        <v>107.93</v>
      </c>
      <c r="AF81" s="40">
        <v>40800</v>
      </c>
      <c r="AG81" s="43">
        <v>7.68</v>
      </c>
      <c r="AH81" s="242">
        <v>136.25</v>
      </c>
      <c r="AI81" s="228">
        <v>43123</v>
      </c>
      <c r="AJ81" s="114">
        <v>100.79</v>
      </c>
      <c r="AK81" s="222">
        <v>117.3</v>
      </c>
      <c r="AL81" s="206">
        <v>40546</v>
      </c>
      <c r="AM81" s="114">
        <v>57.95</v>
      </c>
      <c r="AN81" s="234">
        <v>128.03</v>
      </c>
      <c r="AO81" s="241">
        <v>45210</v>
      </c>
      <c r="AP81" s="96">
        <v>42.33</v>
      </c>
      <c r="AQ81" s="185">
        <v>130.53</v>
      </c>
      <c r="AR81" s="69">
        <v>41617</v>
      </c>
      <c r="AS81" s="10">
        <v>24.53</v>
      </c>
      <c r="AT81" s="15">
        <v>137.69999999999999</v>
      </c>
      <c r="AU81" s="69">
        <v>38133</v>
      </c>
      <c r="AV81" s="10">
        <v>72.8</v>
      </c>
      <c r="AW81" s="257">
        <v>88.44</v>
      </c>
      <c r="AX81" s="241">
        <v>44894</v>
      </c>
      <c r="AY81" s="96">
        <v>82.1</v>
      </c>
      <c r="AZ81" s="185">
        <v>102.97</v>
      </c>
      <c r="BD81" s="71"/>
      <c r="BE81" s="72"/>
      <c r="BF81" s="73">
        <v>99.72</v>
      </c>
    </row>
    <row r="82" spans="1:58" ht="15" thickBot="1" x14ac:dyDescent="0.35">
      <c r="A82" s="322" t="s">
        <v>47</v>
      </c>
      <c r="B82" s="322">
        <v>24.860063814288253</v>
      </c>
      <c r="Q82" s="25"/>
      <c r="R82" s="26"/>
      <c r="S82" s="26">
        <v>165.41</v>
      </c>
      <c r="T82" s="30"/>
      <c r="U82" s="11"/>
      <c r="V82" s="11">
        <v>165.41</v>
      </c>
      <c r="W82" s="20"/>
      <c r="X82" s="35"/>
      <c r="Y82" s="35">
        <v>106.94</v>
      </c>
      <c r="Z82" s="20"/>
      <c r="AA82" s="35"/>
      <c r="AB82" s="23">
        <v>146.72999999999999</v>
      </c>
      <c r="AC82" s="197">
        <v>45595</v>
      </c>
      <c r="AD82" s="99">
        <v>58.32</v>
      </c>
      <c r="AE82" s="229">
        <v>109</v>
      </c>
      <c r="AF82" s="40">
        <v>40814</v>
      </c>
      <c r="AG82" s="43">
        <v>7.7</v>
      </c>
      <c r="AH82" s="242">
        <v>136.22999999999999</v>
      </c>
      <c r="AI82" s="228">
        <v>43263</v>
      </c>
      <c r="AJ82" s="114">
        <v>101.74</v>
      </c>
      <c r="AK82" s="222">
        <v>117.58</v>
      </c>
      <c r="AL82" s="206">
        <v>40547</v>
      </c>
      <c r="AM82" s="114">
        <v>56.5</v>
      </c>
      <c r="AN82" s="234">
        <v>127.98</v>
      </c>
      <c r="AO82" s="241">
        <v>45343</v>
      </c>
      <c r="AP82" s="96">
        <v>42.78</v>
      </c>
      <c r="AQ82" s="185">
        <v>130.43</v>
      </c>
      <c r="AR82" s="69">
        <v>41683</v>
      </c>
      <c r="AS82" s="10">
        <v>24.42</v>
      </c>
      <c r="AT82" s="15">
        <v>137.19999999999999</v>
      </c>
      <c r="AU82" s="69">
        <v>38161</v>
      </c>
      <c r="AV82" s="10">
        <v>72.61</v>
      </c>
      <c r="AW82" s="257">
        <v>88.63</v>
      </c>
      <c r="AX82" s="241">
        <v>45060</v>
      </c>
      <c r="AY82" s="96">
        <v>82.31</v>
      </c>
      <c r="AZ82" s="185">
        <v>103.12</v>
      </c>
      <c r="BD82" s="71"/>
      <c r="BE82" s="72"/>
      <c r="BF82" s="73">
        <v>99.74</v>
      </c>
    </row>
    <row r="83" spans="1:58" ht="15" thickBot="1" x14ac:dyDescent="0.35">
      <c r="A83" s="322" t="s">
        <v>48</v>
      </c>
      <c r="B83" s="322">
        <v>-1.297806591814511</v>
      </c>
      <c r="Q83" s="25"/>
      <c r="R83" s="26"/>
      <c r="S83" s="26">
        <v>165.41</v>
      </c>
      <c r="T83" s="30"/>
      <c r="U83" s="11"/>
      <c r="V83" s="11">
        <v>165.41</v>
      </c>
      <c r="W83" s="20"/>
      <c r="X83" s="35"/>
      <c r="Y83" s="35">
        <v>106.66</v>
      </c>
      <c r="Z83" s="20"/>
      <c r="AA83" s="35"/>
      <c r="AB83" s="23">
        <v>146.19</v>
      </c>
      <c r="AC83" s="129">
        <v>45627</v>
      </c>
      <c r="AD83" s="96">
        <v>59.45</v>
      </c>
      <c r="AE83" s="229">
        <v>107.99</v>
      </c>
      <c r="AF83" s="40">
        <v>40834</v>
      </c>
      <c r="AG83" s="43">
        <v>7.7</v>
      </c>
      <c r="AH83" s="242">
        <v>136.22999999999999</v>
      </c>
      <c r="AI83" s="228">
        <v>43297</v>
      </c>
      <c r="AJ83" s="114">
        <v>101.85</v>
      </c>
      <c r="AK83" s="222">
        <v>117.4</v>
      </c>
      <c r="AL83" s="206">
        <v>40548</v>
      </c>
      <c r="AM83" s="114">
        <v>55.9</v>
      </c>
      <c r="AN83" s="234">
        <v>127.95</v>
      </c>
      <c r="AO83" s="249">
        <v>45449</v>
      </c>
      <c r="AP83" s="114">
        <v>42.87</v>
      </c>
      <c r="AQ83" s="185">
        <v>130.46</v>
      </c>
      <c r="AU83" s="30">
        <v>38197</v>
      </c>
      <c r="AV83" s="11">
        <v>72.56</v>
      </c>
      <c r="AW83" s="257">
        <v>88.68</v>
      </c>
      <c r="AX83" s="241">
        <v>45187</v>
      </c>
      <c r="AY83" s="96">
        <v>82.55</v>
      </c>
      <c r="AZ83" s="185">
        <v>103.04</v>
      </c>
      <c r="BD83" s="71"/>
      <c r="BE83" s="72"/>
      <c r="BF83" s="73">
        <v>99.66</v>
      </c>
    </row>
    <row r="84" spans="1:58" ht="15" thickBot="1" x14ac:dyDescent="0.35">
      <c r="A84" s="322" t="s">
        <v>49</v>
      </c>
      <c r="B84" s="322">
        <v>0.35400377487153939</v>
      </c>
      <c r="Q84" s="25"/>
      <c r="R84" s="26"/>
      <c r="S84" s="26">
        <v>163.6</v>
      </c>
      <c r="T84" s="30"/>
      <c r="U84" s="11"/>
      <c r="V84" s="11">
        <v>163.04</v>
      </c>
      <c r="W84" s="20"/>
      <c r="X84" s="36"/>
      <c r="Y84" s="35">
        <v>149.44999999999999</v>
      </c>
      <c r="Z84" s="20"/>
      <c r="AA84" s="35"/>
      <c r="AB84" s="23">
        <v>146.09</v>
      </c>
      <c r="AC84" s="129">
        <v>45691</v>
      </c>
      <c r="AD84" s="96">
        <v>59.12</v>
      </c>
      <c r="AE84" s="229">
        <v>143.93</v>
      </c>
      <c r="AF84" s="40">
        <v>40911</v>
      </c>
      <c r="AG84" s="43">
        <v>6.75</v>
      </c>
      <c r="AH84" s="242">
        <v>137.18</v>
      </c>
      <c r="AI84" s="228">
        <v>43348</v>
      </c>
      <c r="AJ84" s="114">
        <v>102.19</v>
      </c>
      <c r="AK84" s="222">
        <v>117.48</v>
      </c>
      <c r="AL84" s="206">
        <v>40549</v>
      </c>
      <c r="AM84" s="114">
        <v>55.95</v>
      </c>
      <c r="AN84" s="234">
        <v>127.83</v>
      </c>
      <c r="AO84" s="241">
        <v>45558</v>
      </c>
      <c r="AP84" s="96">
        <v>43.7</v>
      </c>
      <c r="AQ84" s="185">
        <v>130.25</v>
      </c>
      <c r="AU84" s="71">
        <v>38203</v>
      </c>
      <c r="AV84" s="72">
        <v>72.42</v>
      </c>
      <c r="AW84" s="258">
        <v>88.82</v>
      </c>
      <c r="AX84" s="241">
        <v>45461</v>
      </c>
      <c r="AY84" s="96">
        <v>83.78</v>
      </c>
      <c r="AZ84" s="259">
        <v>103.26</v>
      </c>
      <c r="BD84" s="71"/>
      <c r="BE84" s="72"/>
      <c r="BF84" s="73">
        <v>99.77</v>
      </c>
    </row>
    <row r="85" spans="1:58" ht="15" thickBot="1" x14ac:dyDescent="0.35">
      <c r="A85" s="322" t="s">
        <v>50</v>
      </c>
      <c r="B85" s="322">
        <v>15.280000000000001</v>
      </c>
      <c r="Q85" s="25"/>
      <c r="R85" s="26"/>
      <c r="S85" s="26">
        <v>164.24</v>
      </c>
      <c r="T85" s="30"/>
      <c r="U85" s="11"/>
      <c r="V85" s="11">
        <v>164.46</v>
      </c>
      <c r="W85" s="20"/>
      <c r="X85" s="35"/>
      <c r="Y85" s="35">
        <v>106.55</v>
      </c>
      <c r="Z85" s="20"/>
      <c r="AA85" s="35"/>
      <c r="AB85" s="23">
        <v>146.09</v>
      </c>
      <c r="AC85" s="129">
        <v>45895</v>
      </c>
      <c r="AD85" s="96">
        <v>59.58</v>
      </c>
      <c r="AE85" s="229">
        <v>108.72</v>
      </c>
      <c r="AF85" s="40">
        <v>40934</v>
      </c>
      <c r="AG85" s="43">
        <v>6.94</v>
      </c>
      <c r="AH85" s="242">
        <v>136.99</v>
      </c>
      <c r="AI85" s="228">
        <v>43558</v>
      </c>
      <c r="AJ85" s="114">
        <v>103.08</v>
      </c>
      <c r="AK85" s="222">
        <v>117.37</v>
      </c>
      <c r="AL85" s="206">
        <v>40745</v>
      </c>
      <c r="AM85" s="114">
        <v>57.99</v>
      </c>
      <c r="AN85" s="234">
        <v>127.76</v>
      </c>
      <c r="AO85" s="241">
        <v>45818</v>
      </c>
      <c r="AP85" s="96">
        <v>43.54</v>
      </c>
      <c r="AQ85" s="185">
        <v>130.16999999999999</v>
      </c>
      <c r="AU85" s="71">
        <v>38216</v>
      </c>
      <c r="AV85" s="72">
        <v>72.56</v>
      </c>
      <c r="AW85" s="258">
        <v>88.68</v>
      </c>
      <c r="AX85" s="232">
        <v>45575</v>
      </c>
      <c r="AY85" s="254">
        <v>84.4</v>
      </c>
      <c r="AZ85" s="259">
        <v>103.07</v>
      </c>
      <c r="BD85" s="71"/>
      <c r="BE85" s="72"/>
      <c r="BF85" s="73">
        <v>99.79</v>
      </c>
    </row>
    <row r="86" spans="1:58" ht="15" thickBot="1" x14ac:dyDescent="0.35">
      <c r="A86" s="322" t="s">
        <v>51</v>
      </c>
      <c r="B86" s="322">
        <v>33.85</v>
      </c>
      <c r="Q86" s="25"/>
      <c r="R86" s="26"/>
      <c r="S86" s="26">
        <v>164.29</v>
      </c>
      <c r="T86" s="30"/>
      <c r="U86" s="11"/>
      <c r="V86" s="11">
        <v>164.39</v>
      </c>
      <c r="W86" s="20"/>
      <c r="X86" s="35"/>
      <c r="Y86" s="35">
        <v>106.47</v>
      </c>
      <c r="Z86" s="20"/>
      <c r="AA86" s="35"/>
      <c r="AB86" s="23">
        <v>145.9</v>
      </c>
      <c r="AC86" s="129">
        <v>45972</v>
      </c>
      <c r="AD86" s="96">
        <v>59.97</v>
      </c>
      <c r="AE86" s="229">
        <v>108.81</v>
      </c>
      <c r="AF86" s="40">
        <v>40963</v>
      </c>
      <c r="AG86" s="43">
        <v>7.34</v>
      </c>
      <c r="AH86" s="242">
        <v>136.59</v>
      </c>
      <c r="AI86" s="206">
        <v>43697</v>
      </c>
      <c r="AJ86" s="114">
        <v>103.9</v>
      </c>
      <c r="AK86" s="222">
        <v>117.26</v>
      </c>
      <c r="AL86" s="206">
        <v>40777</v>
      </c>
      <c r="AM86" s="114">
        <v>55.8</v>
      </c>
      <c r="AN86" s="234">
        <v>127.87</v>
      </c>
      <c r="AO86" s="249">
        <v>45972</v>
      </c>
      <c r="AP86" s="114">
        <v>43.72</v>
      </c>
      <c r="AQ86" s="185">
        <v>130.01</v>
      </c>
      <c r="AU86" s="71">
        <v>38226</v>
      </c>
      <c r="AV86" s="72">
        <v>72.52</v>
      </c>
      <c r="AW86" s="258">
        <v>88.72</v>
      </c>
      <c r="AX86" s="241">
        <v>45759</v>
      </c>
      <c r="AY86" s="96">
        <v>85.31</v>
      </c>
      <c r="AZ86" s="259">
        <v>103.35</v>
      </c>
      <c r="BD86" s="71"/>
      <c r="BE86" s="72"/>
      <c r="BF86" s="73">
        <v>99.65</v>
      </c>
    </row>
    <row r="87" spans="1:58" ht="15" thickBot="1" x14ac:dyDescent="0.35">
      <c r="A87" s="322" t="s">
        <v>52</v>
      </c>
      <c r="B87" s="322">
        <v>49.13</v>
      </c>
      <c r="Q87" s="25"/>
      <c r="R87" s="26"/>
      <c r="S87" s="26">
        <v>164.35</v>
      </c>
      <c r="T87" s="30"/>
      <c r="U87" s="11"/>
      <c r="V87" s="11">
        <v>164.7</v>
      </c>
      <c r="W87" s="20"/>
      <c r="X87" s="35"/>
      <c r="Y87" s="35">
        <v>106.18</v>
      </c>
      <c r="Z87" s="20"/>
      <c r="AA87" s="35"/>
      <c r="AB87" s="21">
        <v>146.41</v>
      </c>
      <c r="AC87" s="230"/>
      <c r="AD87" s="135"/>
      <c r="AE87" s="41">
        <v>107.95</v>
      </c>
      <c r="AF87" s="40">
        <v>41059</v>
      </c>
      <c r="AG87" s="43">
        <v>6.85</v>
      </c>
      <c r="AH87" s="242">
        <v>137.08000000000001</v>
      </c>
      <c r="AI87" s="206">
        <v>43759</v>
      </c>
      <c r="AJ87" s="114">
        <v>105.76</v>
      </c>
      <c r="AK87" s="222">
        <v>117.46</v>
      </c>
      <c r="AL87" s="206">
        <v>40814</v>
      </c>
      <c r="AM87" s="114">
        <v>56.4</v>
      </c>
      <c r="AN87" s="229">
        <v>127.26</v>
      </c>
      <c r="AO87" s="251"/>
      <c r="AP87" s="219"/>
      <c r="AQ87" s="10">
        <v>129.97999999999999</v>
      </c>
      <c r="AU87" s="71">
        <v>38231</v>
      </c>
      <c r="AV87" s="72">
        <v>72.5</v>
      </c>
      <c r="AW87" s="258">
        <v>88.74</v>
      </c>
      <c r="AX87" s="241">
        <v>45941</v>
      </c>
      <c r="AY87" s="96">
        <v>86.08</v>
      </c>
      <c r="AZ87" s="259">
        <v>103.2</v>
      </c>
      <c r="BD87" s="71"/>
      <c r="BE87" s="72"/>
      <c r="BF87" s="73">
        <v>99.74</v>
      </c>
    </row>
    <row r="88" spans="1:58" ht="15" thickBot="1" x14ac:dyDescent="0.35">
      <c r="A88" s="322" t="s">
        <v>53</v>
      </c>
      <c r="B88" s="322">
        <v>2834.4956122331159</v>
      </c>
      <c r="Q88" s="25"/>
      <c r="R88" s="26"/>
      <c r="S88" s="26">
        <v>164.82</v>
      </c>
      <c r="T88" s="30"/>
      <c r="U88" s="11"/>
      <c r="V88" s="11">
        <v>165.34</v>
      </c>
      <c r="W88" s="20"/>
      <c r="X88" s="35"/>
      <c r="Y88" s="35">
        <v>105.8</v>
      </c>
      <c r="Z88" s="20"/>
      <c r="AA88" s="35"/>
      <c r="AB88" s="21">
        <v>146.12</v>
      </c>
      <c r="AC88" s="40"/>
      <c r="AD88" s="41"/>
      <c r="AE88" s="41">
        <v>108.49</v>
      </c>
      <c r="AF88" s="40">
        <v>41368</v>
      </c>
      <c r="AG88" s="43">
        <v>7.17</v>
      </c>
      <c r="AH88" s="242">
        <v>136.76</v>
      </c>
      <c r="AI88" s="206">
        <v>43914</v>
      </c>
      <c r="AJ88" s="114">
        <v>105.38</v>
      </c>
      <c r="AK88" s="222">
        <v>117.25</v>
      </c>
      <c r="AL88" s="206">
        <v>40834</v>
      </c>
      <c r="AM88" s="114">
        <v>55.25</v>
      </c>
      <c r="AN88" s="229">
        <v>127.24</v>
      </c>
      <c r="AO88" s="9"/>
      <c r="AP88" s="11"/>
      <c r="AQ88" s="10">
        <v>130.13</v>
      </c>
      <c r="AU88" s="71">
        <v>38246</v>
      </c>
      <c r="AV88" s="72">
        <v>72.42</v>
      </c>
      <c r="AW88" s="73">
        <v>88.82</v>
      </c>
      <c r="AX88" s="260"/>
      <c r="AY88" s="261"/>
      <c r="AZ88" s="73">
        <v>103.14</v>
      </c>
      <c r="BD88" s="71"/>
      <c r="BE88" s="72"/>
      <c r="BF88" s="73">
        <v>99.5</v>
      </c>
    </row>
    <row r="89" spans="1:58" ht="15" thickBot="1" x14ac:dyDescent="0.35">
      <c r="A89" s="322" t="s">
        <v>54</v>
      </c>
      <c r="B89" s="322">
        <v>71</v>
      </c>
      <c r="Q89" s="25"/>
      <c r="R89" s="26"/>
      <c r="S89" s="26">
        <v>165.23</v>
      </c>
      <c r="T89" s="30"/>
      <c r="U89" s="11"/>
      <c r="V89" s="11">
        <v>165.15</v>
      </c>
      <c r="W89" s="20"/>
      <c r="X89" s="35"/>
      <c r="Y89" s="35">
        <v>105.81</v>
      </c>
      <c r="Z89" s="20"/>
      <c r="AA89" s="35"/>
      <c r="AB89" s="21">
        <v>146.38999999999999</v>
      </c>
      <c r="AC89" s="40"/>
      <c r="AD89" s="41"/>
      <c r="AE89" s="41">
        <v>108.12</v>
      </c>
      <c r="AF89" s="40">
        <v>41401</v>
      </c>
      <c r="AG89" s="43">
        <v>7.26</v>
      </c>
      <c r="AH89" s="242">
        <v>136.66999999999999</v>
      </c>
      <c r="AI89" s="241">
        <v>43963</v>
      </c>
      <c r="AJ89" s="96">
        <v>106.46</v>
      </c>
      <c r="AK89" s="222">
        <v>117.55</v>
      </c>
      <c r="AL89" s="206">
        <v>40864</v>
      </c>
      <c r="AM89" s="114">
        <v>50.9</v>
      </c>
      <c r="AN89" s="229">
        <v>127.23</v>
      </c>
      <c r="AO89" s="9"/>
      <c r="AP89" s="11"/>
      <c r="AQ89" s="10">
        <v>130.1</v>
      </c>
      <c r="AU89" s="71">
        <v>38251</v>
      </c>
      <c r="AV89" s="72">
        <v>72.48</v>
      </c>
      <c r="AW89" s="73">
        <v>88.76</v>
      </c>
      <c r="AX89" s="71"/>
      <c r="AY89" s="72"/>
      <c r="AZ89" s="73">
        <v>103.34</v>
      </c>
      <c r="BD89" s="71"/>
      <c r="BE89" s="72"/>
      <c r="BF89" s="73">
        <v>99.42</v>
      </c>
    </row>
    <row r="90" spans="1:58" ht="15" thickBot="1" x14ac:dyDescent="0.35">
      <c r="A90" s="322" t="s">
        <v>55</v>
      </c>
      <c r="B90" s="322">
        <v>49.13</v>
      </c>
      <c r="Q90" s="25"/>
      <c r="R90" s="26"/>
      <c r="S90" s="26">
        <v>165.39</v>
      </c>
      <c r="T90" s="30"/>
      <c r="U90" s="11"/>
      <c r="V90" s="11">
        <v>165.35</v>
      </c>
      <c r="W90" s="20"/>
      <c r="X90" s="35"/>
      <c r="Y90" s="35">
        <v>106</v>
      </c>
      <c r="Z90" s="20"/>
      <c r="AA90" s="35"/>
      <c r="AB90" s="21">
        <v>146.22</v>
      </c>
      <c r="AC90" s="40"/>
      <c r="AD90" s="41"/>
      <c r="AE90" s="41">
        <v>108.51</v>
      </c>
      <c r="AF90" s="40">
        <v>41437</v>
      </c>
      <c r="AG90" s="43">
        <v>7.03</v>
      </c>
      <c r="AH90" s="242">
        <v>136.9</v>
      </c>
      <c r="AI90" s="241" t="s">
        <v>29</v>
      </c>
      <c r="AJ90" s="96">
        <v>106.77</v>
      </c>
      <c r="AK90" s="222">
        <v>116.98</v>
      </c>
      <c r="AL90" s="206">
        <v>40889</v>
      </c>
      <c r="AM90" s="114">
        <v>49.7</v>
      </c>
      <c r="AN90" s="229">
        <v>127.22</v>
      </c>
      <c r="AO90" s="9"/>
      <c r="AP90" s="11"/>
      <c r="AQ90" s="10">
        <v>130.07</v>
      </c>
      <c r="AU90" s="71">
        <v>38286</v>
      </c>
      <c r="AV90" s="72">
        <v>71.72</v>
      </c>
      <c r="AW90" s="73">
        <v>89.52</v>
      </c>
      <c r="AX90" s="71"/>
      <c r="AY90" s="72"/>
      <c r="AZ90" s="73">
        <v>103.34</v>
      </c>
      <c r="BD90" s="71"/>
      <c r="BE90" s="72"/>
      <c r="BF90" s="73">
        <v>99.53</v>
      </c>
    </row>
    <row r="91" spans="1:58" ht="15" thickBot="1" x14ac:dyDescent="0.35">
      <c r="A91" s="322" t="s">
        <v>56</v>
      </c>
      <c r="B91" s="322">
        <v>33.85</v>
      </c>
      <c r="Q91" s="25"/>
      <c r="R91" s="26"/>
      <c r="S91" s="26">
        <v>165.35</v>
      </c>
      <c r="T91" s="30"/>
      <c r="U91" s="11"/>
      <c r="V91" s="11">
        <v>165.24</v>
      </c>
      <c r="W91" s="20"/>
      <c r="X91" s="35"/>
      <c r="Y91" s="35">
        <v>104.98</v>
      </c>
      <c r="Z91" s="20"/>
      <c r="AA91" s="35"/>
      <c r="AB91" s="21">
        <v>141.07</v>
      </c>
      <c r="AC91" s="40"/>
      <c r="AD91" s="41"/>
      <c r="AE91" s="41">
        <v>107.75</v>
      </c>
      <c r="AF91" s="40">
        <v>42220</v>
      </c>
      <c r="AG91" s="43">
        <v>7.63</v>
      </c>
      <c r="AH91" s="242">
        <v>136.30000000000001</v>
      </c>
      <c r="AI91" s="241">
        <v>44160</v>
      </c>
      <c r="AJ91" s="96">
        <v>107.11</v>
      </c>
      <c r="AK91" s="222">
        <v>117.16</v>
      </c>
      <c r="AL91" s="206">
        <v>40911</v>
      </c>
      <c r="AM91" s="114">
        <v>52.6</v>
      </c>
      <c r="AN91" s="229">
        <v>127.22</v>
      </c>
      <c r="AO91" s="9"/>
      <c r="AP91" s="11"/>
      <c r="AQ91" s="10">
        <v>129.85</v>
      </c>
      <c r="AU91" s="71">
        <v>38308</v>
      </c>
      <c r="AV91" s="72">
        <v>72.819999999999993</v>
      </c>
      <c r="AW91" s="73">
        <v>88.42</v>
      </c>
      <c r="AX91" s="71"/>
      <c r="AY91" s="72"/>
      <c r="AZ91" s="73">
        <v>103.36</v>
      </c>
      <c r="BD91" s="71"/>
      <c r="BE91" s="72"/>
      <c r="BF91" s="73">
        <v>99.24</v>
      </c>
    </row>
    <row r="92" spans="1:58" ht="15" thickBot="1" x14ac:dyDescent="0.35">
      <c r="A92" s="322" t="s">
        <v>57</v>
      </c>
      <c r="B92" s="322">
        <v>1.1801638078257268</v>
      </c>
      <c r="Q92" s="25"/>
      <c r="R92" s="26"/>
      <c r="S92" s="26">
        <v>165.4</v>
      </c>
      <c r="T92" s="30"/>
      <c r="U92" s="11"/>
      <c r="V92" s="11">
        <v>165.3</v>
      </c>
      <c r="W92" s="20"/>
      <c r="X92" s="35"/>
      <c r="Y92" s="35">
        <v>96.08</v>
      </c>
      <c r="Z92" s="20"/>
      <c r="AA92" s="35"/>
      <c r="AB92" s="21">
        <v>146.35</v>
      </c>
      <c r="AC92" s="40"/>
      <c r="AD92" s="41"/>
      <c r="AE92" s="41">
        <v>108.01</v>
      </c>
      <c r="AF92" s="40">
        <v>42702</v>
      </c>
      <c r="AG92" s="43">
        <v>6.58</v>
      </c>
      <c r="AH92" s="242">
        <v>136</v>
      </c>
      <c r="AI92" s="239">
        <v>44489</v>
      </c>
      <c r="AJ92" s="125">
        <v>107.32</v>
      </c>
      <c r="AK92" s="222">
        <v>117.1</v>
      </c>
      <c r="AL92" s="206">
        <v>40967</v>
      </c>
      <c r="AM92" s="114">
        <v>54.3</v>
      </c>
      <c r="AN92" s="229">
        <v>127.23</v>
      </c>
      <c r="AO92" s="9"/>
      <c r="AP92" s="11"/>
      <c r="AQ92" s="10">
        <v>129.97999999999999</v>
      </c>
      <c r="AU92" s="71">
        <v>38313</v>
      </c>
      <c r="AV92" s="72">
        <v>72.760000000000005</v>
      </c>
      <c r="AW92" s="73">
        <v>88.48</v>
      </c>
      <c r="AX92" s="71"/>
      <c r="AY92" s="72"/>
      <c r="AZ92" s="73">
        <v>103.33</v>
      </c>
      <c r="BD92" s="71"/>
      <c r="BE92" s="72"/>
      <c r="BF92" s="73">
        <v>98.98</v>
      </c>
    </row>
    <row r="93" spans="1:58" ht="15" thickBot="1" x14ac:dyDescent="0.35">
      <c r="Q93" s="25"/>
      <c r="R93" s="26"/>
      <c r="S93" s="26">
        <v>165.05</v>
      </c>
      <c r="T93" s="30"/>
      <c r="U93" s="11"/>
      <c r="V93" s="11">
        <v>164.8</v>
      </c>
      <c r="W93" s="20"/>
      <c r="X93" s="35"/>
      <c r="Y93" s="35">
        <v>104.28</v>
      </c>
      <c r="AC93" s="40"/>
      <c r="AD93" s="41"/>
      <c r="AE93" s="41">
        <v>107.58</v>
      </c>
      <c r="AF93" s="40">
        <v>42865</v>
      </c>
      <c r="AG93" s="43">
        <v>5.83</v>
      </c>
      <c r="AH93" s="243">
        <f>-0.0011*(91)+136</f>
        <v>135.8999</v>
      </c>
      <c r="AI93" s="206">
        <v>44525</v>
      </c>
      <c r="AJ93" s="114">
        <v>109.36</v>
      </c>
      <c r="AK93" s="222">
        <v>117.01</v>
      </c>
      <c r="AL93" s="206">
        <v>41017</v>
      </c>
      <c r="AM93" s="114">
        <v>58.18</v>
      </c>
      <c r="AN93" s="229">
        <v>127.23</v>
      </c>
      <c r="AO93" s="9"/>
      <c r="AP93" s="11"/>
      <c r="AQ93" s="10">
        <v>130.32</v>
      </c>
      <c r="AU93" s="71">
        <v>38378</v>
      </c>
      <c r="AV93" s="72">
        <v>73.14</v>
      </c>
      <c r="AW93" s="73">
        <v>88.1</v>
      </c>
      <c r="AX93" s="71"/>
      <c r="AY93" s="72"/>
      <c r="AZ93" s="73">
        <v>103.36</v>
      </c>
      <c r="BD93" s="71"/>
      <c r="BE93" s="72"/>
      <c r="BF93" s="73">
        <v>99.07</v>
      </c>
    </row>
    <row r="94" spans="1:58" ht="15" thickBot="1" x14ac:dyDescent="0.35">
      <c r="A94" s="320" t="s">
        <v>58</v>
      </c>
      <c r="B94" s="320"/>
      <c r="Q94" s="25"/>
      <c r="R94" s="26"/>
      <c r="S94" s="26">
        <v>164.9</v>
      </c>
      <c r="T94" s="30"/>
      <c r="U94" s="11"/>
      <c r="V94" s="11">
        <v>164.65</v>
      </c>
      <c r="AC94" s="40"/>
      <c r="AD94" s="41"/>
      <c r="AE94" s="41">
        <v>107.08</v>
      </c>
      <c r="AF94" s="40">
        <v>42887</v>
      </c>
      <c r="AG94" s="43">
        <v>6.9</v>
      </c>
      <c r="AH94" s="243">
        <f>-0.0011*(92)+136</f>
        <v>135.89879999999999</v>
      </c>
      <c r="AI94" s="206">
        <v>44526</v>
      </c>
      <c r="AJ94" s="114">
        <v>109.36</v>
      </c>
      <c r="AK94" s="222">
        <v>116.66</v>
      </c>
      <c r="AL94" s="206">
        <v>41041</v>
      </c>
      <c r="AM94" s="114">
        <v>58.05</v>
      </c>
      <c r="AN94" s="229">
        <v>127.28</v>
      </c>
      <c r="AO94" s="9"/>
      <c r="AP94" s="11"/>
      <c r="AQ94" s="10">
        <v>130.33000000000001</v>
      </c>
      <c r="AU94" s="71">
        <v>38404</v>
      </c>
      <c r="AV94" s="72">
        <v>73.430000000000007</v>
      </c>
      <c r="AW94" s="73">
        <v>87.81</v>
      </c>
      <c r="AX94" s="71"/>
      <c r="AY94" s="72"/>
      <c r="AZ94" s="73">
        <v>103.34</v>
      </c>
      <c r="BD94" s="71"/>
      <c r="BE94" s="72"/>
      <c r="BF94" s="73">
        <v>99.2</v>
      </c>
    </row>
    <row r="95" spans="1:58" ht="15" thickBot="1" x14ac:dyDescent="0.35">
      <c r="Q95" s="25"/>
      <c r="R95" s="26"/>
      <c r="S95" s="26">
        <v>165.35</v>
      </c>
      <c r="T95" s="30"/>
      <c r="U95" s="11"/>
      <c r="V95" s="11">
        <v>164.78</v>
      </c>
      <c r="AC95" s="40"/>
      <c r="AD95" s="41"/>
      <c r="AE95" s="41">
        <v>106.84</v>
      </c>
      <c r="AF95" s="40">
        <v>43011</v>
      </c>
      <c r="AG95" s="43">
        <v>5.18</v>
      </c>
      <c r="AH95" s="243">
        <f>-0.0011*(93)+136</f>
        <v>135.89769999999999</v>
      </c>
      <c r="AI95" s="206">
        <v>44609</v>
      </c>
      <c r="AJ95" s="114">
        <v>108.6</v>
      </c>
      <c r="AK95" s="222">
        <v>116.86</v>
      </c>
      <c r="AL95" s="206">
        <v>41191</v>
      </c>
      <c r="AM95" s="114">
        <v>57.26</v>
      </c>
      <c r="AN95" s="229">
        <v>127.26</v>
      </c>
      <c r="AO95" s="9"/>
      <c r="AP95" s="11"/>
      <c r="AQ95" s="10">
        <v>129.78</v>
      </c>
      <c r="AU95" s="71">
        <v>38427</v>
      </c>
      <c r="AV95" s="72">
        <v>73.69</v>
      </c>
      <c r="AW95" s="73">
        <v>87.55</v>
      </c>
      <c r="AX95" s="71"/>
      <c r="AY95" s="72"/>
      <c r="AZ95" s="73">
        <v>102.16</v>
      </c>
      <c r="BD95" s="71"/>
      <c r="BE95" s="72"/>
      <c r="BF95" s="73">
        <v>99.02</v>
      </c>
    </row>
    <row r="96" spans="1:58" ht="15" thickBot="1" x14ac:dyDescent="0.35">
      <c r="A96" t="s">
        <v>42</v>
      </c>
      <c r="B96">
        <v>38.999015032922102</v>
      </c>
      <c r="Q96" s="25"/>
      <c r="R96" s="26"/>
      <c r="S96" s="26">
        <v>165.65</v>
      </c>
      <c r="T96" s="30"/>
      <c r="U96" s="11"/>
      <c r="V96" s="11">
        <v>165.06</v>
      </c>
      <c r="AC96" s="40"/>
      <c r="AD96" s="41"/>
      <c r="AE96" s="41">
        <v>106.95</v>
      </c>
      <c r="AF96" s="40">
        <v>43123</v>
      </c>
      <c r="AG96" s="43">
        <v>6.91</v>
      </c>
      <c r="AH96" s="243">
        <f>-0.0011*(94)+136</f>
        <v>135.89660000000001</v>
      </c>
      <c r="AI96" s="206">
        <v>44768</v>
      </c>
      <c r="AJ96" s="114">
        <v>110.17</v>
      </c>
      <c r="AK96" s="222">
        <v>116.14</v>
      </c>
      <c r="AL96" s="206">
        <v>41235</v>
      </c>
      <c r="AM96" s="114">
        <v>58.05</v>
      </c>
      <c r="AN96" s="229">
        <v>126.48</v>
      </c>
      <c r="AO96" s="9"/>
      <c r="AP96" s="10"/>
      <c r="AQ96" s="10">
        <v>129.41999999999999</v>
      </c>
      <c r="AU96" s="71">
        <v>38439</v>
      </c>
      <c r="AV96" s="72">
        <v>73.52</v>
      </c>
      <c r="AW96" s="73">
        <v>87.72</v>
      </c>
      <c r="AX96" s="71"/>
      <c r="AY96" s="72"/>
      <c r="AZ96" s="73">
        <v>102.63</v>
      </c>
      <c r="BD96" s="71"/>
      <c r="BE96" s="72"/>
      <c r="BF96" s="73">
        <v>98.97</v>
      </c>
    </row>
    <row r="97" spans="1:58" ht="15" thickBot="1" x14ac:dyDescent="0.35">
      <c r="A97" t="s">
        <v>43</v>
      </c>
      <c r="B97">
        <v>0.60164220375714539</v>
      </c>
      <c r="Q97" s="25"/>
      <c r="R97" s="26"/>
      <c r="S97" s="26">
        <v>165.1</v>
      </c>
      <c r="T97" s="30"/>
      <c r="U97" s="11"/>
      <c r="V97" s="11">
        <v>164.53</v>
      </c>
      <c r="AC97" s="40"/>
      <c r="AD97" s="41"/>
      <c r="AE97" s="41">
        <v>107.03</v>
      </c>
      <c r="AF97" s="40">
        <v>43558</v>
      </c>
      <c r="AG97" s="43">
        <v>6.95</v>
      </c>
      <c r="AH97" s="243">
        <f>-0.0011*(96)+136</f>
        <v>135.89439999999999</v>
      </c>
      <c r="AI97" s="206">
        <v>44778</v>
      </c>
      <c r="AJ97" s="114">
        <v>110.41</v>
      </c>
      <c r="AK97" s="222">
        <v>116.81</v>
      </c>
      <c r="AL97" s="206">
        <v>41278</v>
      </c>
      <c r="AM97" s="114">
        <v>58.32</v>
      </c>
      <c r="AN97" s="229">
        <v>126.47</v>
      </c>
      <c r="AO97" s="9"/>
      <c r="AP97" s="10"/>
      <c r="AQ97" s="10">
        <v>129.5</v>
      </c>
      <c r="AU97" s="71">
        <v>38442</v>
      </c>
      <c r="AV97" s="72">
        <v>73.56</v>
      </c>
      <c r="AW97" s="73">
        <v>87.68</v>
      </c>
      <c r="AX97" s="71"/>
      <c r="AY97" s="72"/>
      <c r="AZ97" s="73">
        <v>101.99</v>
      </c>
      <c r="BD97" s="71"/>
      <c r="BE97" s="72"/>
      <c r="BF97" s="73">
        <v>98.95</v>
      </c>
    </row>
    <row r="98" spans="1:58" ht="15" thickBot="1" x14ac:dyDescent="0.35">
      <c r="A98" t="s">
        <v>44</v>
      </c>
      <c r="B98">
        <v>36.979999999999997</v>
      </c>
      <c r="Q98" s="25"/>
      <c r="R98" s="26"/>
      <c r="S98" s="26">
        <v>165.15</v>
      </c>
      <c r="T98" s="30"/>
      <c r="U98" s="11"/>
      <c r="V98" s="11">
        <v>164.64</v>
      </c>
      <c r="AC98" s="40"/>
      <c r="AD98" s="41"/>
      <c r="AE98" s="41">
        <v>106.64</v>
      </c>
      <c r="AF98" s="40">
        <v>44008</v>
      </c>
      <c r="AG98" s="35">
        <v>7.27</v>
      </c>
      <c r="AH98" s="243">
        <f>-0.0011*(110)+136</f>
        <v>135.87899999999999</v>
      </c>
      <c r="AI98" s="206">
        <v>44785</v>
      </c>
      <c r="AJ98" s="125">
        <v>110.33</v>
      </c>
      <c r="AK98" s="222">
        <v>116.9</v>
      </c>
      <c r="AL98" s="206">
        <v>41368</v>
      </c>
      <c r="AM98" s="114">
        <v>58.57</v>
      </c>
      <c r="AN98" s="229">
        <v>126.45</v>
      </c>
      <c r="AO98" s="9"/>
      <c r="AP98" s="10"/>
      <c r="AQ98" s="10">
        <v>129.06</v>
      </c>
      <c r="AU98" s="71">
        <v>38446</v>
      </c>
      <c r="AV98" s="72">
        <v>73.760000000000005</v>
      </c>
      <c r="AW98" s="73">
        <v>87.48</v>
      </c>
      <c r="AX98" s="71"/>
      <c r="AY98" s="72"/>
      <c r="AZ98" s="73">
        <v>101.97</v>
      </c>
      <c r="BD98" s="71"/>
      <c r="BE98" s="72"/>
      <c r="BF98" s="73">
        <v>99.06</v>
      </c>
    </row>
    <row r="99" spans="1:58" ht="15" thickBot="1" x14ac:dyDescent="0.35">
      <c r="A99" t="s">
        <v>45</v>
      </c>
      <c r="B99">
        <v>34.799999999999997</v>
      </c>
      <c r="Q99" s="25"/>
      <c r="R99" s="26"/>
      <c r="S99" s="26">
        <v>165.3</v>
      </c>
      <c r="T99" s="30"/>
      <c r="U99" s="11"/>
      <c r="V99" s="11">
        <v>164.82</v>
      </c>
      <c r="AC99" s="40"/>
      <c r="AD99" s="41"/>
      <c r="AE99" s="41">
        <v>106.82</v>
      </c>
      <c r="AF99" s="40">
        <v>43952</v>
      </c>
      <c r="AG99" s="35">
        <v>7.38</v>
      </c>
      <c r="AH99" s="243">
        <f t="shared" ref="AH99" si="2">-0.0011*(96)+136</f>
        <v>135.89439999999999</v>
      </c>
      <c r="AI99" s="206">
        <v>44791</v>
      </c>
      <c r="AJ99" s="114">
        <v>110.49</v>
      </c>
      <c r="AK99" s="222">
        <v>116.73</v>
      </c>
      <c r="AL99" s="206">
        <v>41401</v>
      </c>
      <c r="AM99" s="114">
        <v>58.55</v>
      </c>
      <c r="AN99" s="229">
        <v>126.51</v>
      </c>
      <c r="AO99" s="9"/>
      <c r="AP99" s="10"/>
      <c r="AQ99" s="10">
        <v>129.1</v>
      </c>
      <c r="AU99" s="71">
        <v>38453</v>
      </c>
      <c r="AV99" s="72">
        <v>73.59</v>
      </c>
      <c r="AW99" s="73">
        <v>87.65</v>
      </c>
      <c r="AX99" s="71"/>
      <c r="AY99" s="72"/>
      <c r="AZ99" s="73">
        <v>101.61</v>
      </c>
      <c r="BD99" s="71"/>
      <c r="BE99" s="72"/>
      <c r="BF99" s="73">
        <v>98.8</v>
      </c>
    </row>
    <row r="100" spans="1:58" ht="15" thickBot="1" x14ac:dyDescent="0.35">
      <c r="A100" t="s">
        <v>46</v>
      </c>
      <c r="B100">
        <v>4.6989758269060102</v>
      </c>
      <c r="Q100" s="25"/>
      <c r="R100" s="26"/>
      <c r="S100" s="26">
        <v>165.44</v>
      </c>
      <c r="T100" s="30"/>
      <c r="U100" s="11"/>
      <c r="V100" s="11">
        <v>164.89</v>
      </c>
      <c r="AC100" s="40"/>
      <c r="AD100" s="41"/>
      <c r="AE100" s="41">
        <v>106.75</v>
      </c>
      <c r="AF100" s="40">
        <v>44440</v>
      </c>
      <c r="AG100" s="43">
        <v>6.89</v>
      </c>
      <c r="AH100" s="243">
        <f>-0.0011*(146)+136</f>
        <v>135.83940000000001</v>
      </c>
      <c r="AI100" s="206">
        <v>44797</v>
      </c>
      <c r="AJ100" s="114">
        <v>110.23</v>
      </c>
      <c r="AK100" s="222">
        <v>116.82</v>
      </c>
      <c r="AL100" s="206">
        <v>41432</v>
      </c>
      <c r="AM100" s="114">
        <v>59.36</v>
      </c>
      <c r="AN100" s="229">
        <v>126.51</v>
      </c>
      <c r="AO100" s="9"/>
      <c r="AP100" s="10"/>
      <c r="AQ100" s="10">
        <v>129.04</v>
      </c>
      <c r="AU100" s="71">
        <v>38461</v>
      </c>
      <c r="AV100" s="72">
        <v>73.56</v>
      </c>
      <c r="AW100" s="73">
        <v>87.68</v>
      </c>
      <c r="AX100" s="71"/>
      <c r="AY100" s="72"/>
      <c r="AZ100" s="73">
        <v>101.6</v>
      </c>
      <c r="BD100" s="71"/>
      <c r="BE100" s="72"/>
      <c r="BF100" s="73">
        <v>99.24</v>
      </c>
    </row>
    <row r="101" spans="1:58" ht="15" thickBot="1" x14ac:dyDescent="0.35">
      <c r="A101" t="s">
        <v>47</v>
      </c>
      <c r="B101">
        <v>22.080373821847026</v>
      </c>
      <c r="Q101" s="25"/>
      <c r="R101" s="26"/>
      <c r="S101" s="26">
        <v>165.51</v>
      </c>
      <c r="T101" s="30"/>
      <c r="U101" s="11"/>
      <c r="V101" s="11">
        <v>165.27</v>
      </c>
      <c r="AC101" s="40"/>
      <c r="AD101" s="41"/>
      <c r="AE101" s="41">
        <v>106.59</v>
      </c>
      <c r="AF101" s="40">
        <v>44600</v>
      </c>
      <c r="AG101" s="43">
        <v>7.43</v>
      </c>
      <c r="AH101" s="243">
        <f>-0.0011*(196)+136</f>
        <v>135.78440000000001</v>
      </c>
      <c r="AI101" s="206">
        <v>44802</v>
      </c>
      <c r="AJ101" s="114">
        <v>110.5</v>
      </c>
      <c r="AK101" s="222">
        <v>116.81</v>
      </c>
      <c r="AL101" s="206">
        <v>41471</v>
      </c>
      <c r="AM101" s="114">
        <v>58.24</v>
      </c>
      <c r="AN101" s="229">
        <v>126.51</v>
      </c>
      <c r="AO101" s="9"/>
      <c r="AP101" s="10"/>
      <c r="AQ101" s="10">
        <v>129.07</v>
      </c>
      <c r="AU101" s="71">
        <v>38474</v>
      </c>
      <c r="AV101" s="72">
        <v>73.849999999999994</v>
      </c>
      <c r="AW101" s="73">
        <v>87.39</v>
      </c>
      <c r="AX101" s="71"/>
      <c r="AY101" s="72"/>
      <c r="AZ101" s="73">
        <v>101.8</v>
      </c>
      <c r="BD101" s="71"/>
      <c r="BE101" s="72"/>
      <c r="BF101" s="73">
        <v>98.6</v>
      </c>
    </row>
    <row r="102" spans="1:58" ht="15" thickBot="1" x14ac:dyDescent="0.35">
      <c r="A102" t="s">
        <v>48</v>
      </c>
      <c r="B102">
        <v>-0.8077995644675009</v>
      </c>
      <c r="Q102" s="25"/>
      <c r="R102" s="26"/>
      <c r="S102" s="26">
        <v>165.37</v>
      </c>
      <c r="T102" s="30"/>
      <c r="U102" s="11"/>
      <c r="V102" s="11">
        <v>164.96</v>
      </c>
      <c r="AC102" s="40"/>
      <c r="AD102" s="41"/>
      <c r="AE102" s="41">
        <v>106.33</v>
      </c>
      <c r="AF102" s="40">
        <v>44845</v>
      </c>
      <c r="AG102" s="43">
        <v>8.6300000000000008</v>
      </c>
      <c r="AH102" s="243">
        <f>-0.0011*(296)+136</f>
        <v>135.67439999999999</v>
      </c>
      <c r="AI102" s="206">
        <v>44844</v>
      </c>
      <c r="AJ102" s="114">
        <v>110.78</v>
      </c>
      <c r="AK102" s="222">
        <v>116.89</v>
      </c>
      <c r="AL102" s="206">
        <v>41506</v>
      </c>
      <c r="AM102" s="114">
        <v>56.83</v>
      </c>
      <c r="AN102" s="229">
        <v>126.52</v>
      </c>
      <c r="AO102" s="9"/>
      <c r="AP102" s="10"/>
      <c r="AQ102" s="10">
        <v>128.97999999999999</v>
      </c>
      <c r="AU102" s="71">
        <v>38485</v>
      </c>
      <c r="AV102" s="72">
        <v>73.91</v>
      </c>
      <c r="AW102" s="73">
        <v>87.33</v>
      </c>
      <c r="AX102" s="71"/>
      <c r="AY102" s="72"/>
      <c r="AZ102" s="73">
        <v>101.35</v>
      </c>
      <c r="BD102" s="71"/>
      <c r="BE102" s="72"/>
      <c r="BF102" s="73">
        <v>98.76</v>
      </c>
    </row>
    <row r="103" spans="1:58" ht="15" thickBot="1" x14ac:dyDescent="0.35">
      <c r="A103" t="s">
        <v>49</v>
      </c>
      <c r="B103">
        <v>0.68751516801455481</v>
      </c>
      <c r="Q103" s="25"/>
      <c r="R103" s="26"/>
      <c r="S103" s="26">
        <v>165.09</v>
      </c>
      <c r="T103" s="30"/>
      <c r="U103" s="11"/>
      <c r="V103" s="11">
        <v>164.74</v>
      </c>
      <c r="AC103" s="40"/>
      <c r="AD103" s="41"/>
      <c r="AE103" s="41">
        <v>103.17</v>
      </c>
      <c r="AF103" s="88">
        <v>45595</v>
      </c>
      <c r="AG103" s="92">
        <v>7.51</v>
      </c>
      <c r="AI103" s="241">
        <v>44964</v>
      </c>
      <c r="AJ103" s="96">
        <v>111.03</v>
      </c>
      <c r="AK103" s="222">
        <v>116.66</v>
      </c>
      <c r="AL103" s="206">
        <v>41537</v>
      </c>
      <c r="AM103" s="114">
        <v>57.45</v>
      </c>
      <c r="AN103" s="229">
        <v>126.51</v>
      </c>
      <c r="AO103" s="9"/>
      <c r="AP103" s="10"/>
      <c r="AQ103" s="10">
        <v>128.81</v>
      </c>
      <c r="AU103" s="71">
        <v>38524</v>
      </c>
      <c r="AV103" s="72">
        <v>73.930000000000007</v>
      </c>
      <c r="AW103" s="73">
        <v>87.31</v>
      </c>
      <c r="AX103" s="71"/>
      <c r="AY103" s="72"/>
      <c r="AZ103" s="73">
        <v>101.28</v>
      </c>
      <c r="BD103" s="71"/>
      <c r="BE103" s="72"/>
      <c r="BF103" s="73">
        <v>98.54</v>
      </c>
    </row>
    <row r="104" spans="1:58" ht="15" thickBot="1" x14ac:dyDescent="0.35">
      <c r="A104" t="s">
        <v>50</v>
      </c>
      <c r="B104">
        <v>15.28</v>
      </c>
      <c r="Q104" s="25"/>
      <c r="R104" s="26"/>
      <c r="S104" s="26">
        <v>164.44</v>
      </c>
      <c r="T104" s="30"/>
      <c r="U104" s="11"/>
      <c r="V104" s="11">
        <v>164.48</v>
      </c>
      <c r="AC104" s="40"/>
      <c r="AD104" s="41"/>
      <c r="AE104" s="41">
        <v>103.7</v>
      </c>
      <c r="AI104" s="241">
        <v>45088</v>
      </c>
      <c r="AJ104" s="96">
        <v>111.79</v>
      </c>
      <c r="AK104" s="222">
        <v>116.72</v>
      </c>
      <c r="AL104" s="206">
        <v>41555</v>
      </c>
      <c r="AM104" s="114">
        <v>55.9</v>
      </c>
      <c r="AN104" s="229">
        <v>126.51</v>
      </c>
      <c r="AO104" s="9"/>
      <c r="AP104" s="10"/>
      <c r="AQ104" s="10">
        <v>129.27000000000001</v>
      </c>
      <c r="AU104" s="71">
        <v>38596</v>
      </c>
      <c r="AV104" s="72">
        <v>74.3</v>
      </c>
      <c r="AW104" s="73">
        <v>86.94</v>
      </c>
      <c r="AX104" s="71"/>
      <c r="AY104" s="72"/>
      <c r="AZ104" s="73">
        <v>100.62</v>
      </c>
      <c r="BD104" s="71"/>
      <c r="BE104" s="72"/>
      <c r="BF104" s="73">
        <v>98.36</v>
      </c>
    </row>
    <row r="105" spans="1:58" ht="15" thickBot="1" x14ac:dyDescent="0.35">
      <c r="A105" t="s">
        <v>51</v>
      </c>
      <c r="B105">
        <v>33.85</v>
      </c>
      <c r="Q105" s="25"/>
      <c r="R105" s="26"/>
      <c r="S105" s="26">
        <v>164.91</v>
      </c>
      <c r="T105" s="30"/>
      <c r="U105" s="11"/>
      <c r="V105" s="11">
        <v>164.52</v>
      </c>
      <c r="AC105" s="40"/>
      <c r="AD105" s="41"/>
      <c r="AE105" s="41">
        <v>103.67</v>
      </c>
      <c r="AI105" s="241">
        <v>45256</v>
      </c>
      <c r="AJ105" s="96">
        <v>112.2</v>
      </c>
      <c r="AK105" s="222">
        <v>116.3</v>
      </c>
      <c r="AL105" s="206">
        <v>41556</v>
      </c>
      <c r="AM105" s="114">
        <v>55.93</v>
      </c>
      <c r="AN105" s="229">
        <v>126.5</v>
      </c>
      <c r="AO105" s="9"/>
      <c r="AP105" s="10"/>
      <c r="AQ105" s="10">
        <v>128.97</v>
      </c>
      <c r="AU105" s="71">
        <v>38629</v>
      </c>
      <c r="AV105" s="72">
        <v>74.53</v>
      </c>
      <c r="AW105" s="73">
        <v>86.71</v>
      </c>
      <c r="AX105" s="71"/>
      <c r="AY105" s="72"/>
      <c r="AZ105" s="73">
        <v>100.67</v>
      </c>
      <c r="BD105" s="71"/>
      <c r="BE105" s="72"/>
      <c r="BF105" s="73">
        <v>98.77</v>
      </c>
    </row>
    <row r="106" spans="1:58" ht="15" thickBot="1" x14ac:dyDescent="0.35">
      <c r="A106" t="s">
        <v>52</v>
      </c>
      <c r="B106">
        <v>49.13</v>
      </c>
      <c r="Q106" s="25"/>
      <c r="R106" s="26"/>
      <c r="S106" s="26">
        <v>164.95</v>
      </c>
      <c r="T106" s="30"/>
      <c r="U106" s="11"/>
      <c r="V106" s="11">
        <v>164.52</v>
      </c>
      <c r="AC106" s="40"/>
      <c r="AD106" s="41"/>
      <c r="AE106" s="41">
        <v>103.78</v>
      </c>
      <c r="AI106" s="240">
        <v>45292</v>
      </c>
      <c r="AJ106" s="98">
        <v>112.5</v>
      </c>
      <c r="AK106" s="222">
        <v>116.72</v>
      </c>
      <c r="AL106" s="206">
        <v>41604</v>
      </c>
      <c r="AM106" s="114">
        <v>54.14</v>
      </c>
      <c r="AN106" s="229">
        <v>126.49</v>
      </c>
      <c r="AO106" s="9"/>
      <c r="AP106" s="10"/>
      <c r="AQ106" s="10">
        <v>129.05000000000001</v>
      </c>
      <c r="AU106" s="71">
        <v>38653</v>
      </c>
      <c r="AV106" s="72">
        <v>74.510000000000005</v>
      </c>
      <c r="AW106" s="73">
        <v>86.73</v>
      </c>
      <c r="AX106" s="71"/>
      <c r="AY106" s="72"/>
      <c r="AZ106" s="73">
        <v>100.89</v>
      </c>
      <c r="BD106" s="71"/>
      <c r="BE106" s="72"/>
      <c r="BF106" s="73">
        <v>99.23</v>
      </c>
    </row>
    <row r="107" spans="1:58" ht="15" thickBot="1" x14ac:dyDescent="0.35">
      <c r="A107" t="s">
        <v>53</v>
      </c>
      <c r="B107">
        <v>2378.9399170082488</v>
      </c>
      <c r="Q107" s="25"/>
      <c r="R107" s="26"/>
      <c r="S107" s="26">
        <v>164.11</v>
      </c>
      <c r="T107" s="30"/>
      <c r="U107" s="11"/>
      <c r="V107" s="11">
        <v>164.27</v>
      </c>
      <c r="AC107" s="40"/>
      <c r="AD107" s="41"/>
      <c r="AE107" s="41">
        <v>103.47</v>
      </c>
      <c r="AI107" s="240">
        <v>45449</v>
      </c>
      <c r="AJ107" s="98">
        <v>113.6</v>
      </c>
      <c r="AK107" s="222">
        <v>116.79</v>
      </c>
      <c r="AL107" s="206">
        <v>41617</v>
      </c>
      <c r="AM107" s="114">
        <v>55.1</v>
      </c>
      <c r="AN107" s="229">
        <v>126.49</v>
      </c>
      <c r="AO107" s="69"/>
      <c r="AP107" s="10"/>
      <c r="AQ107" s="10">
        <v>128.97</v>
      </c>
      <c r="AU107" s="71">
        <v>38665</v>
      </c>
      <c r="AV107" s="72">
        <v>74.14</v>
      </c>
      <c r="AW107" s="73">
        <v>87.1</v>
      </c>
      <c r="AX107" s="71"/>
      <c r="AY107" s="72"/>
      <c r="AZ107" s="73">
        <v>100.84</v>
      </c>
      <c r="BD107" s="71"/>
      <c r="BE107" s="72"/>
      <c r="BF107" s="73">
        <v>98.24</v>
      </c>
    </row>
    <row r="108" spans="1:58" ht="15" thickBot="1" x14ac:dyDescent="0.35">
      <c r="A108" t="s">
        <v>54</v>
      </c>
      <c r="B108">
        <v>61</v>
      </c>
      <c r="Q108" s="25"/>
      <c r="R108" s="26"/>
      <c r="S108" s="26">
        <v>164.64</v>
      </c>
      <c r="T108" s="30"/>
      <c r="U108" s="11"/>
      <c r="V108" s="11">
        <v>164.62</v>
      </c>
      <c r="AC108" s="40"/>
      <c r="AD108" s="41"/>
      <c r="AE108" s="41">
        <v>103.71</v>
      </c>
      <c r="AI108" s="240">
        <v>45638</v>
      </c>
      <c r="AJ108" s="98">
        <v>112.44</v>
      </c>
      <c r="AK108" s="222">
        <v>116.65</v>
      </c>
      <c r="AL108" s="206">
        <v>41647</v>
      </c>
      <c r="AM108" s="114">
        <v>58.1</v>
      </c>
      <c r="AN108" s="229">
        <v>126.49</v>
      </c>
      <c r="AO108" s="69"/>
      <c r="AP108" s="10"/>
      <c r="AQ108" s="10">
        <v>128.74</v>
      </c>
      <c r="AU108" s="71">
        <v>38687</v>
      </c>
      <c r="AV108" s="72">
        <v>74.599999999999994</v>
      </c>
      <c r="AW108" s="73">
        <v>86.64</v>
      </c>
      <c r="AX108" s="71"/>
      <c r="AY108" s="72"/>
      <c r="AZ108" s="73">
        <v>100.72</v>
      </c>
      <c r="BD108" s="71"/>
      <c r="BE108" s="72"/>
      <c r="BF108" s="73">
        <v>97.77</v>
      </c>
    </row>
    <row r="109" spans="1:58" ht="15" thickBot="1" x14ac:dyDescent="0.35">
      <c r="A109" t="s">
        <v>55</v>
      </c>
      <c r="B109">
        <v>49.13</v>
      </c>
      <c r="Q109" s="25"/>
      <c r="R109" s="26"/>
      <c r="S109" s="26">
        <v>164.22</v>
      </c>
      <c r="T109" s="30"/>
      <c r="U109" s="11"/>
      <c r="V109" s="11">
        <v>164.39</v>
      </c>
      <c r="AC109" s="40"/>
      <c r="AD109" s="41"/>
      <c r="AE109" s="41">
        <v>102.81</v>
      </c>
      <c r="AI109" s="240">
        <v>45751</v>
      </c>
      <c r="AJ109" s="98">
        <v>114.39</v>
      </c>
      <c r="AK109" s="222">
        <v>116.41</v>
      </c>
      <c r="AL109" s="206">
        <v>41683</v>
      </c>
      <c r="AM109" s="114">
        <v>58.82</v>
      </c>
      <c r="AN109" s="229">
        <v>126.48</v>
      </c>
      <c r="AO109" s="69"/>
      <c r="AP109" s="10"/>
      <c r="AQ109" s="10">
        <v>128.59</v>
      </c>
      <c r="AU109" s="71">
        <v>38754</v>
      </c>
      <c r="AV109" s="72">
        <v>74.819999999999993</v>
      </c>
      <c r="AW109" s="73">
        <v>86.42</v>
      </c>
      <c r="AX109" s="71"/>
      <c r="AY109" s="72"/>
      <c r="AZ109" s="73">
        <v>100.22</v>
      </c>
      <c r="BD109" s="71"/>
      <c r="BE109" s="72"/>
      <c r="BF109" s="73">
        <v>97.8</v>
      </c>
    </row>
    <row r="110" spans="1:58" ht="15" thickBot="1" x14ac:dyDescent="0.35">
      <c r="A110" t="s">
        <v>56</v>
      </c>
      <c r="B110">
        <v>33.85</v>
      </c>
      <c r="Q110" s="25"/>
      <c r="R110" s="26"/>
      <c r="S110" s="26">
        <v>164.37</v>
      </c>
      <c r="T110" s="30"/>
      <c r="U110" s="11"/>
      <c r="V110" s="11">
        <v>164.33</v>
      </c>
      <c r="AC110" s="40"/>
      <c r="AD110" s="41"/>
      <c r="AE110" s="41">
        <v>101.56</v>
      </c>
      <c r="AI110" s="199">
        <v>45948</v>
      </c>
      <c r="AJ110" s="96">
        <v>115.37</v>
      </c>
      <c r="AK110" s="222">
        <v>116.7</v>
      </c>
      <c r="AL110" s="206">
        <v>41731</v>
      </c>
      <c r="AM110" s="114">
        <v>59.12</v>
      </c>
      <c r="AN110" s="229">
        <v>126.47</v>
      </c>
      <c r="AO110" s="69"/>
      <c r="AP110" s="10"/>
      <c r="AQ110" s="10">
        <v>128.66999999999999</v>
      </c>
      <c r="AU110" s="71">
        <v>38779</v>
      </c>
      <c r="AV110" s="72">
        <v>75.12</v>
      </c>
      <c r="AW110" s="73">
        <v>86.12</v>
      </c>
      <c r="AX110" s="71"/>
      <c r="AY110" s="72"/>
      <c r="AZ110" s="73">
        <v>100.53</v>
      </c>
      <c r="BD110" s="71"/>
      <c r="BE110" s="72"/>
      <c r="BF110" s="73">
        <v>97.83</v>
      </c>
    </row>
    <row r="111" spans="1:58" ht="15" thickBot="1" x14ac:dyDescent="0.35">
      <c r="A111" s="319" t="s">
        <v>57</v>
      </c>
      <c r="B111" s="319">
        <v>1.2034635898072781</v>
      </c>
      <c r="Q111" s="25"/>
      <c r="R111" s="26"/>
      <c r="S111" s="26">
        <v>164.23</v>
      </c>
      <c r="T111" s="30"/>
      <c r="U111" s="11"/>
      <c r="V111" s="11">
        <v>164</v>
      </c>
      <c r="AC111" s="40"/>
      <c r="AD111" s="41"/>
      <c r="AE111" s="41">
        <v>102.03</v>
      </c>
      <c r="AI111" s="206"/>
      <c r="AJ111" s="114"/>
      <c r="AK111" s="222">
        <v>116.4</v>
      </c>
      <c r="AL111" s="206">
        <v>41764</v>
      </c>
      <c r="AM111" s="114">
        <v>59.13</v>
      </c>
      <c r="AN111" s="229">
        <v>126.47</v>
      </c>
      <c r="AO111" s="69"/>
      <c r="AP111" s="10"/>
      <c r="AQ111" s="10">
        <v>128.55000000000001</v>
      </c>
      <c r="AU111" s="71">
        <v>38817</v>
      </c>
      <c r="AV111" s="72">
        <v>75.92</v>
      </c>
      <c r="AW111" s="73">
        <v>85.32</v>
      </c>
      <c r="AX111" s="71"/>
      <c r="AY111" s="72"/>
      <c r="AZ111" s="73">
        <v>100.2</v>
      </c>
      <c r="BD111" s="71"/>
      <c r="BE111" s="72"/>
      <c r="BF111" s="73">
        <v>97.76</v>
      </c>
    </row>
    <row r="112" spans="1:58" ht="15" thickBot="1" x14ac:dyDescent="0.35">
      <c r="B112" s="182"/>
      <c r="Q112" s="25"/>
      <c r="R112" s="26"/>
      <c r="S112" s="26">
        <v>164.37</v>
      </c>
      <c r="T112" s="30"/>
      <c r="U112" s="11"/>
      <c r="V112" s="11">
        <v>163.32</v>
      </c>
      <c r="AC112" s="40"/>
      <c r="AD112" s="41"/>
      <c r="AE112" s="41">
        <v>102.22</v>
      </c>
      <c r="AI112" s="206"/>
      <c r="AJ112" s="114"/>
      <c r="AK112" s="222">
        <v>116.33</v>
      </c>
      <c r="AL112" s="206">
        <v>41793</v>
      </c>
      <c r="AM112" s="114">
        <v>59.2</v>
      </c>
      <c r="AN112" s="229">
        <v>126.47</v>
      </c>
      <c r="AO112" s="69"/>
      <c r="AP112" s="10"/>
      <c r="AQ112" s="10">
        <v>128.49</v>
      </c>
      <c r="AU112" s="71">
        <v>38825</v>
      </c>
      <c r="AV112" s="72">
        <v>75.27</v>
      </c>
      <c r="AW112" s="73">
        <v>85.97</v>
      </c>
      <c r="AX112" s="71"/>
      <c r="AY112" s="72"/>
      <c r="AZ112" s="73">
        <v>99.39</v>
      </c>
      <c r="BD112" s="71"/>
      <c r="BE112" s="72"/>
      <c r="BF112" s="73">
        <v>97.82</v>
      </c>
    </row>
    <row r="113" spans="2:58" ht="15" thickBot="1" x14ac:dyDescent="0.35">
      <c r="B113" s="182"/>
      <c r="Q113" s="25"/>
      <c r="R113" s="26"/>
      <c r="S113" s="26">
        <v>164.14</v>
      </c>
      <c r="T113" s="30"/>
      <c r="U113" s="11"/>
      <c r="V113" s="11">
        <v>163.04</v>
      </c>
      <c r="AC113" s="40"/>
      <c r="AD113" s="41"/>
      <c r="AE113" s="41">
        <v>101.83</v>
      </c>
      <c r="AI113" s="206"/>
      <c r="AJ113" s="114"/>
      <c r="AK113" s="222">
        <v>116.06</v>
      </c>
      <c r="AL113" s="206">
        <v>41830</v>
      </c>
      <c r="AM113" s="114">
        <v>59.14</v>
      </c>
      <c r="AN113" s="229">
        <v>126.45</v>
      </c>
      <c r="AO113" s="69"/>
      <c r="AP113" s="10"/>
      <c r="AQ113" s="10">
        <v>128.55000000000001</v>
      </c>
      <c r="AU113" s="71">
        <v>38833</v>
      </c>
      <c r="AV113" s="72">
        <v>75.31</v>
      </c>
      <c r="AW113" s="73">
        <v>85.93</v>
      </c>
      <c r="AX113" s="71"/>
      <c r="AY113" s="72"/>
      <c r="AZ113" s="73">
        <v>99.41</v>
      </c>
      <c r="BD113" s="71"/>
      <c r="BE113" s="72"/>
      <c r="BF113" s="73">
        <v>97.73</v>
      </c>
    </row>
    <row r="114" spans="2:58" ht="15" thickBot="1" x14ac:dyDescent="0.35">
      <c r="B114" s="182"/>
      <c r="Q114" s="25"/>
      <c r="R114" s="26"/>
      <c r="S114" s="26">
        <v>164.08</v>
      </c>
      <c r="T114" s="30"/>
      <c r="U114" s="11"/>
      <c r="V114" s="11">
        <v>164.67</v>
      </c>
      <c r="AC114" s="40"/>
      <c r="AD114" s="41"/>
      <c r="AE114" s="41">
        <v>102.44</v>
      </c>
      <c r="AI114" s="206"/>
      <c r="AJ114" s="114"/>
      <c r="AK114" s="222">
        <v>115.29</v>
      </c>
      <c r="AL114" s="206">
        <v>41877</v>
      </c>
      <c r="AM114" s="114">
        <v>59.46</v>
      </c>
      <c r="AN114" s="229">
        <v>126.44</v>
      </c>
      <c r="AO114" s="69"/>
      <c r="AP114" s="10"/>
      <c r="AQ114" s="10">
        <v>128.35</v>
      </c>
      <c r="AU114" s="71">
        <v>38844</v>
      </c>
      <c r="AV114" s="72">
        <v>75.52</v>
      </c>
      <c r="AW114" s="73">
        <v>85.72</v>
      </c>
      <c r="AX114" s="71"/>
      <c r="AY114" s="72"/>
      <c r="AZ114" s="73">
        <v>99.35</v>
      </c>
      <c r="BD114" s="71"/>
      <c r="BE114" s="72"/>
      <c r="BF114" s="73">
        <v>97.62</v>
      </c>
    </row>
    <row r="115" spans="2:58" ht="15" thickBot="1" x14ac:dyDescent="0.35">
      <c r="B115" s="182"/>
      <c r="Q115" s="25"/>
      <c r="R115" s="26"/>
      <c r="S115" s="26">
        <v>164.6</v>
      </c>
      <c r="T115" s="30"/>
      <c r="U115" s="11"/>
      <c r="V115" s="11">
        <v>165.29</v>
      </c>
      <c r="AC115" s="40"/>
      <c r="AD115" s="41"/>
      <c r="AE115" s="41">
        <v>102.57</v>
      </c>
      <c r="AI115" s="206"/>
      <c r="AJ115" s="114"/>
      <c r="AK115" s="222">
        <v>115.25</v>
      </c>
      <c r="AL115" s="206">
        <v>41906</v>
      </c>
      <c r="AM115" s="114">
        <v>60.86</v>
      </c>
      <c r="AN115" s="229">
        <v>126.45</v>
      </c>
      <c r="AO115" s="69"/>
      <c r="AP115" s="10"/>
      <c r="AQ115" s="10">
        <v>128.1</v>
      </c>
      <c r="AU115" s="71">
        <v>38849</v>
      </c>
      <c r="AV115" s="72">
        <v>75.31</v>
      </c>
      <c r="AW115" s="73">
        <v>85.93</v>
      </c>
      <c r="AX115" s="71"/>
      <c r="AY115" s="72"/>
      <c r="AZ115" s="73">
        <v>98.84</v>
      </c>
      <c r="BD115" s="71"/>
      <c r="BE115" s="72"/>
      <c r="BF115" s="73">
        <v>97.51</v>
      </c>
    </row>
    <row r="116" spans="2:58" ht="15" thickBot="1" x14ac:dyDescent="0.35">
      <c r="B116" s="182"/>
      <c r="Q116" s="25"/>
      <c r="R116" s="26"/>
      <c r="S116" s="26">
        <v>164.42</v>
      </c>
      <c r="T116" s="30"/>
      <c r="U116" s="11"/>
      <c r="V116" s="11">
        <v>164.15</v>
      </c>
      <c r="AC116" s="40"/>
      <c r="AD116" s="41"/>
      <c r="AE116" s="41">
        <v>102.57</v>
      </c>
      <c r="AI116" s="206"/>
      <c r="AJ116" s="114"/>
      <c r="AK116" s="222">
        <v>115.24</v>
      </c>
      <c r="AL116" s="206">
        <v>41976</v>
      </c>
      <c r="AM116" s="114">
        <v>56.4</v>
      </c>
      <c r="AN116" s="229">
        <v>126.45</v>
      </c>
      <c r="AO116" s="69"/>
      <c r="AP116" s="10"/>
      <c r="AQ116" s="10">
        <v>128.29</v>
      </c>
      <c r="AU116" s="71">
        <v>38860</v>
      </c>
      <c r="AV116" s="72">
        <v>75.400000000000006</v>
      </c>
      <c r="AW116" s="73">
        <v>85.84</v>
      </c>
      <c r="AX116" s="71"/>
      <c r="AY116" s="72"/>
      <c r="AZ116" s="73">
        <v>98.74</v>
      </c>
      <c r="BD116" s="71"/>
      <c r="BE116" s="72"/>
      <c r="BF116" s="73">
        <v>97.64</v>
      </c>
    </row>
    <row r="117" spans="2:58" ht="15" thickBot="1" x14ac:dyDescent="0.35">
      <c r="B117" s="182"/>
      <c r="Q117" s="25"/>
      <c r="R117" s="26"/>
      <c r="S117" s="26">
        <v>163.82</v>
      </c>
      <c r="T117" s="30"/>
      <c r="U117" s="11"/>
      <c r="V117" s="11">
        <v>163.6</v>
      </c>
      <c r="AC117" s="40"/>
      <c r="AD117" s="41"/>
      <c r="AE117" s="41">
        <v>100.41</v>
      </c>
      <c r="AI117" s="206"/>
      <c r="AJ117" s="114"/>
      <c r="AK117" s="222">
        <v>115.26</v>
      </c>
      <c r="AL117" s="206">
        <v>42157</v>
      </c>
      <c r="AM117" s="114">
        <v>59.58</v>
      </c>
      <c r="AN117" s="229">
        <v>126.43</v>
      </c>
      <c r="AO117" s="69"/>
      <c r="AP117" s="10"/>
      <c r="AQ117" s="10">
        <v>128.19999999999999</v>
      </c>
      <c r="AU117" s="71">
        <v>38909</v>
      </c>
      <c r="AV117" s="72">
        <v>75.55</v>
      </c>
      <c r="AW117" s="73">
        <v>85.69</v>
      </c>
      <c r="AX117" s="71"/>
      <c r="AY117" s="72"/>
      <c r="AZ117" s="73">
        <v>98.97</v>
      </c>
      <c r="BD117" s="71"/>
      <c r="BE117" s="72"/>
      <c r="BF117" s="73">
        <v>97.71</v>
      </c>
    </row>
    <row r="118" spans="2:58" ht="15" thickBot="1" x14ac:dyDescent="0.35">
      <c r="B118" s="182"/>
      <c r="Q118" s="25"/>
      <c r="R118" s="26"/>
      <c r="S118" s="26">
        <v>164.51</v>
      </c>
      <c r="T118" s="30"/>
      <c r="U118" s="11"/>
      <c r="V118" s="11">
        <v>164.4</v>
      </c>
      <c r="AC118" s="40"/>
      <c r="AD118" s="41"/>
      <c r="AE118" s="41">
        <v>100.69</v>
      </c>
      <c r="AI118" s="206"/>
      <c r="AJ118" s="114"/>
      <c r="AK118" s="222">
        <v>115.06</v>
      </c>
      <c r="AL118" s="246">
        <v>42220</v>
      </c>
      <c r="AM118" s="247">
        <v>59.78</v>
      </c>
      <c r="AN118" s="229">
        <v>126.42</v>
      </c>
      <c r="AO118" s="69"/>
      <c r="AP118" s="10"/>
      <c r="AQ118" s="10">
        <v>128.65</v>
      </c>
      <c r="AU118" s="71">
        <v>38929</v>
      </c>
      <c r="AV118" s="72">
        <v>75.61</v>
      </c>
      <c r="AW118" s="73">
        <v>85.63</v>
      </c>
      <c r="AX118" s="71"/>
      <c r="AY118" s="72"/>
      <c r="AZ118" s="73">
        <v>98.8</v>
      </c>
      <c r="BD118" s="71"/>
      <c r="BE118" s="72"/>
      <c r="BF118" s="73">
        <v>97.22</v>
      </c>
    </row>
    <row r="119" spans="2:58" ht="15" thickBot="1" x14ac:dyDescent="0.35">
      <c r="B119" s="182"/>
      <c r="Q119" s="25"/>
      <c r="R119" s="26"/>
      <c r="S119" s="26">
        <v>164.48</v>
      </c>
      <c r="T119" s="30"/>
      <c r="U119" s="11"/>
      <c r="V119" s="11">
        <v>165.43</v>
      </c>
      <c r="AC119" s="40"/>
      <c r="AD119" s="41"/>
      <c r="AE119" s="41">
        <v>100.37</v>
      </c>
      <c r="AI119" s="206"/>
      <c r="AJ119" s="114"/>
      <c r="AK119" s="222">
        <v>115</v>
      </c>
      <c r="AL119" s="206">
        <v>42255</v>
      </c>
      <c r="AM119" s="114">
        <v>59.95</v>
      </c>
      <c r="AN119" s="229">
        <v>126.42</v>
      </c>
      <c r="AO119" s="69"/>
      <c r="AP119" s="10"/>
      <c r="AQ119" s="10">
        <v>128.53</v>
      </c>
      <c r="AU119" s="71">
        <v>38960</v>
      </c>
      <c r="AV119" s="72">
        <v>76.099999999999994</v>
      </c>
      <c r="AW119" s="73">
        <v>85.14</v>
      </c>
      <c r="AX119" s="71"/>
      <c r="AY119" s="72"/>
      <c r="AZ119" s="73">
        <v>98.37</v>
      </c>
      <c r="BD119" s="71"/>
      <c r="BE119" s="72"/>
      <c r="BF119" s="73">
        <v>97.37</v>
      </c>
    </row>
    <row r="120" spans="2:58" ht="15" thickBot="1" x14ac:dyDescent="0.35">
      <c r="B120" s="182"/>
      <c r="Q120" s="25"/>
      <c r="R120" s="26"/>
      <c r="S120" s="28"/>
      <c r="T120" s="88"/>
      <c r="U120" s="90"/>
      <c r="AC120" s="40"/>
      <c r="AD120" s="41"/>
      <c r="AE120" s="41">
        <v>99.58</v>
      </c>
      <c r="AI120" s="206"/>
      <c r="AJ120" s="114"/>
      <c r="AK120" s="222">
        <v>115.11</v>
      </c>
      <c r="AL120" s="206">
        <v>42292</v>
      </c>
      <c r="AM120" s="114">
        <v>60.02</v>
      </c>
      <c r="AN120" s="229">
        <v>126.43</v>
      </c>
      <c r="AO120" s="69"/>
      <c r="AP120" s="10"/>
      <c r="AQ120" s="10">
        <v>129.21</v>
      </c>
      <c r="AU120" s="71">
        <v>38974</v>
      </c>
      <c r="AV120" s="72">
        <v>75.819999999999993</v>
      </c>
      <c r="AW120" s="73">
        <v>85.42</v>
      </c>
      <c r="AX120" s="71"/>
      <c r="AY120" s="72"/>
      <c r="AZ120" s="73">
        <v>97.9</v>
      </c>
      <c r="BD120" s="71"/>
      <c r="BE120" s="72"/>
      <c r="BF120" s="73">
        <v>97.18</v>
      </c>
    </row>
    <row r="121" spans="2:58" ht="15" thickBot="1" x14ac:dyDescent="0.35">
      <c r="B121" s="182"/>
      <c r="Q121" s="88"/>
      <c r="R121" s="89"/>
      <c r="U121" t="s">
        <v>22</v>
      </c>
      <c r="AC121" s="40"/>
      <c r="AD121" s="41"/>
      <c r="AE121" s="41">
        <v>100.07</v>
      </c>
      <c r="AI121" s="206"/>
      <c r="AJ121" s="114"/>
      <c r="AK121" s="222">
        <v>114.9</v>
      </c>
      <c r="AL121" s="206">
        <v>42353</v>
      </c>
      <c r="AM121" s="114">
        <v>60.12</v>
      </c>
      <c r="AN121" s="229">
        <v>126.44</v>
      </c>
      <c r="AO121" s="69"/>
      <c r="AP121" s="10"/>
      <c r="AQ121" s="10">
        <v>129.9</v>
      </c>
      <c r="AU121" s="71">
        <v>38999</v>
      </c>
      <c r="AV121" s="72">
        <v>75.959999999999994</v>
      </c>
      <c r="AW121" s="73">
        <v>85.28</v>
      </c>
      <c r="AX121" s="71"/>
      <c r="AY121" s="72"/>
      <c r="AZ121" s="73">
        <v>97.97</v>
      </c>
      <c r="BD121" s="71"/>
      <c r="BE121" s="72"/>
      <c r="BF121" s="73">
        <v>96.55</v>
      </c>
    </row>
    <row r="122" spans="2:58" ht="15" thickBot="1" x14ac:dyDescent="0.35">
      <c r="B122" s="182"/>
      <c r="AC122" s="40"/>
      <c r="AD122" s="41"/>
      <c r="AE122" s="41">
        <v>100.36</v>
      </c>
      <c r="AI122" s="206"/>
      <c r="AJ122" s="114"/>
      <c r="AK122" s="222">
        <v>115</v>
      </c>
      <c r="AL122" s="206">
        <v>42387</v>
      </c>
      <c r="AM122" s="114">
        <v>60.38</v>
      </c>
      <c r="AN122" s="229">
        <v>126.42</v>
      </c>
      <c r="AO122" s="69"/>
      <c r="AP122" s="10"/>
      <c r="AQ122" s="10">
        <v>129.86000000000001</v>
      </c>
      <c r="AU122" s="71">
        <v>39140</v>
      </c>
      <c r="AV122" s="72">
        <v>76.400000000000006</v>
      </c>
      <c r="AW122" s="73">
        <v>84.84</v>
      </c>
      <c r="AX122" s="71"/>
      <c r="AY122" s="72"/>
      <c r="AZ122" s="73">
        <v>98.12</v>
      </c>
      <c r="BD122" s="71"/>
      <c r="BE122" s="72"/>
      <c r="BF122" s="73">
        <v>96.64</v>
      </c>
    </row>
    <row r="123" spans="2:58" ht="15" thickBot="1" x14ac:dyDescent="0.35">
      <c r="B123" s="182"/>
      <c r="AC123" s="40"/>
      <c r="AD123" s="41"/>
      <c r="AE123" s="41">
        <v>100.3</v>
      </c>
      <c r="AI123" s="206"/>
      <c r="AJ123" s="114"/>
      <c r="AK123" s="222">
        <v>115.01</v>
      </c>
      <c r="AL123" s="206">
        <v>42429</v>
      </c>
      <c r="AM123" s="114">
        <v>62.31</v>
      </c>
      <c r="AN123" s="229">
        <v>126.41</v>
      </c>
      <c r="AO123" s="69"/>
      <c r="AP123" s="10"/>
      <c r="AQ123" s="10">
        <v>130.16</v>
      </c>
      <c r="AU123" s="71">
        <v>39184</v>
      </c>
      <c r="AV123" s="72">
        <v>76.64</v>
      </c>
      <c r="AW123" s="73">
        <v>84.6</v>
      </c>
      <c r="AX123" s="71"/>
      <c r="AY123" s="72"/>
      <c r="AZ123" s="73">
        <v>98.06</v>
      </c>
      <c r="BD123" s="71"/>
      <c r="BE123" s="72"/>
      <c r="BF123" s="73">
        <v>96.59</v>
      </c>
    </row>
    <row r="124" spans="2:58" ht="15" thickBot="1" x14ac:dyDescent="0.35">
      <c r="B124" s="323"/>
      <c r="AC124" s="40"/>
      <c r="AD124" s="41"/>
      <c r="AE124" s="41">
        <v>99.68</v>
      </c>
      <c r="AI124" s="206"/>
      <c r="AJ124" s="114"/>
      <c r="AK124" s="222">
        <v>114.99</v>
      </c>
      <c r="AL124" s="206">
        <v>42494</v>
      </c>
      <c r="AM124" s="114">
        <v>61.07</v>
      </c>
      <c r="AN124" s="229">
        <v>126.43</v>
      </c>
      <c r="AO124" s="69"/>
      <c r="AP124" s="10"/>
      <c r="AQ124" s="10">
        <v>130.26</v>
      </c>
      <c r="AU124" s="71">
        <v>39213</v>
      </c>
      <c r="AV124" s="72">
        <v>76.55</v>
      </c>
      <c r="AW124" s="73">
        <v>84.69</v>
      </c>
      <c r="AX124" s="71"/>
      <c r="AY124" s="72"/>
      <c r="AZ124" s="73">
        <v>97.45</v>
      </c>
      <c r="BD124" s="71"/>
      <c r="BE124" s="72"/>
      <c r="BF124" s="73">
        <v>96.39</v>
      </c>
    </row>
    <row r="125" spans="2:58" ht="15" thickBot="1" x14ac:dyDescent="0.35">
      <c r="B125" s="182"/>
      <c r="AC125" s="40"/>
      <c r="AD125" s="41"/>
      <c r="AE125" s="41">
        <v>100</v>
      </c>
      <c r="AI125" s="206"/>
      <c r="AJ125" s="114"/>
      <c r="AK125" s="222">
        <v>114.99</v>
      </c>
      <c r="AL125" s="206">
        <v>42557</v>
      </c>
      <c r="AM125" s="114">
        <v>60.73</v>
      </c>
      <c r="AN125" s="229">
        <v>126.41</v>
      </c>
      <c r="AO125" s="69"/>
      <c r="AP125" s="10"/>
      <c r="AQ125" s="10">
        <v>130.38</v>
      </c>
      <c r="AU125" s="71">
        <v>39231</v>
      </c>
      <c r="AV125" s="72">
        <v>76.650000000000006</v>
      </c>
      <c r="AW125" s="73">
        <v>84.59</v>
      </c>
      <c r="AX125" s="71"/>
      <c r="AY125" s="72"/>
      <c r="AZ125" s="73">
        <v>97.46</v>
      </c>
      <c r="BD125" s="71"/>
      <c r="BE125" s="72"/>
      <c r="BF125" s="73">
        <v>96.52</v>
      </c>
    </row>
    <row r="126" spans="2:58" ht="15" thickBot="1" x14ac:dyDescent="0.35">
      <c r="B126" s="182"/>
      <c r="AC126" s="40"/>
      <c r="AD126" s="41"/>
      <c r="AE126" s="41">
        <v>99.83</v>
      </c>
      <c r="AI126" s="206"/>
      <c r="AJ126" s="114"/>
      <c r="AK126" s="222">
        <v>114.98</v>
      </c>
      <c r="AL126" s="206">
        <v>42591</v>
      </c>
      <c r="AM126" s="114">
        <v>60.98</v>
      </c>
      <c r="AN126" s="229">
        <v>126.41</v>
      </c>
      <c r="AO126" s="69"/>
      <c r="AP126" s="10"/>
      <c r="AQ126" s="10">
        <v>130.25</v>
      </c>
      <c r="AU126" s="71">
        <v>39253</v>
      </c>
      <c r="AV126" s="72">
        <v>76.63</v>
      </c>
      <c r="AW126" s="73">
        <v>84.61</v>
      </c>
      <c r="AX126" s="71"/>
      <c r="AY126" s="72"/>
      <c r="AZ126" s="73">
        <v>97.61</v>
      </c>
      <c r="BD126" s="71"/>
      <c r="BE126" s="72"/>
      <c r="BF126" s="73">
        <v>96.22</v>
      </c>
    </row>
    <row r="127" spans="2:58" ht="15" thickBot="1" x14ac:dyDescent="0.35">
      <c r="B127" s="182"/>
      <c r="AC127" s="40"/>
      <c r="AD127" s="41"/>
      <c r="AE127" s="41">
        <v>99.72</v>
      </c>
      <c r="AI127" s="206"/>
      <c r="AJ127" s="114"/>
      <c r="AK127" s="222">
        <v>114.96</v>
      </c>
      <c r="AL127" s="206">
        <v>42663</v>
      </c>
      <c r="AM127" s="114">
        <v>60.83</v>
      </c>
      <c r="AN127" s="229">
        <v>126.42</v>
      </c>
      <c r="AO127" s="69"/>
      <c r="AP127" s="10"/>
      <c r="AQ127" s="10">
        <v>130.35</v>
      </c>
      <c r="AU127" s="71">
        <v>39346</v>
      </c>
      <c r="AV127" s="72">
        <v>76.94</v>
      </c>
      <c r="AW127" s="73">
        <v>84.3</v>
      </c>
      <c r="AX127" s="71"/>
      <c r="AY127" s="72"/>
      <c r="AZ127" s="73">
        <v>97.33</v>
      </c>
      <c r="BD127" s="71"/>
      <c r="BE127" s="72"/>
      <c r="BF127" s="73">
        <v>96.21</v>
      </c>
    </row>
    <row r="128" spans="2:58" ht="15" thickBot="1" x14ac:dyDescent="0.35">
      <c r="B128" s="182"/>
      <c r="AC128" s="40"/>
      <c r="AD128" s="41"/>
      <c r="AE128" s="41">
        <v>99.44</v>
      </c>
      <c r="AI128" s="206"/>
      <c r="AJ128" s="114"/>
      <c r="AK128" s="222">
        <v>114.93</v>
      </c>
      <c r="AL128" s="206">
        <v>42774</v>
      </c>
      <c r="AM128" s="114">
        <v>61.12</v>
      </c>
      <c r="AN128" s="229">
        <v>126.42</v>
      </c>
      <c r="AO128" s="69"/>
      <c r="AP128" s="10"/>
      <c r="AQ128" s="10">
        <v>130.36000000000001</v>
      </c>
      <c r="AU128" s="71">
        <v>39377</v>
      </c>
      <c r="AV128" s="72">
        <v>76.91</v>
      </c>
      <c r="AW128" s="73">
        <v>84.33</v>
      </c>
      <c r="AX128" s="71"/>
      <c r="AY128" s="72"/>
      <c r="AZ128" s="73">
        <v>97.3</v>
      </c>
      <c r="BD128" s="71"/>
      <c r="BE128" s="72"/>
      <c r="BF128" s="73">
        <v>95.76</v>
      </c>
    </row>
    <row r="129" spans="2:58" ht="15" thickBot="1" x14ac:dyDescent="0.35">
      <c r="B129" s="182"/>
      <c r="AC129" s="40"/>
      <c r="AD129" s="41"/>
      <c r="AE129" s="41">
        <v>99.14</v>
      </c>
      <c r="AI129" s="206"/>
      <c r="AJ129" s="114"/>
      <c r="AK129" s="222">
        <v>114.95</v>
      </c>
      <c r="AL129" s="206">
        <v>42852</v>
      </c>
      <c r="AM129" s="114">
        <v>61.32</v>
      </c>
      <c r="AN129" s="229">
        <v>126.41</v>
      </c>
      <c r="AO129" s="69"/>
      <c r="AP129" s="10"/>
      <c r="AQ129" s="10">
        <v>130.35</v>
      </c>
      <c r="AU129" s="71">
        <v>39714</v>
      </c>
      <c r="AV129" s="72">
        <v>78.34</v>
      </c>
      <c r="AW129" s="73">
        <v>82.9</v>
      </c>
      <c r="AX129" s="71"/>
      <c r="AY129" s="72"/>
      <c r="AZ129" s="73">
        <v>97.36</v>
      </c>
      <c r="BD129" s="71"/>
      <c r="BE129" s="72"/>
      <c r="BF129" s="73">
        <v>95.76</v>
      </c>
    </row>
    <row r="130" spans="2:58" ht="15" thickBot="1" x14ac:dyDescent="0.35">
      <c r="B130" s="182"/>
      <c r="AC130" s="40"/>
      <c r="AD130" s="41"/>
      <c r="AE130" s="41">
        <v>99.44</v>
      </c>
      <c r="AI130" s="206"/>
      <c r="AJ130" s="114"/>
      <c r="AK130" s="222">
        <v>114.96</v>
      </c>
      <c r="AL130" s="206">
        <v>42888</v>
      </c>
      <c r="AM130" s="114">
        <v>61.41</v>
      </c>
      <c r="AN130" s="229">
        <v>126.41</v>
      </c>
      <c r="AO130" s="69"/>
      <c r="AP130" s="10"/>
      <c r="AQ130" s="10">
        <v>130.25</v>
      </c>
      <c r="AU130" s="71">
        <v>39805</v>
      </c>
      <c r="AV130" s="72">
        <v>78.72</v>
      </c>
      <c r="AW130" s="73">
        <v>82.52</v>
      </c>
      <c r="AX130" s="71"/>
      <c r="AY130" s="72"/>
      <c r="AZ130" s="73">
        <v>97.32</v>
      </c>
      <c r="BD130" s="71"/>
      <c r="BE130" s="72"/>
      <c r="BF130" s="73">
        <v>94.76</v>
      </c>
    </row>
    <row r="131" spans="2:58" ht="15" thickBot="1" x14ac:dyDescent="0.35">
      <c r="B131" s="182"/>
      <c r="AC131" s="40"/>
      <c r="AD131" s="41"/>
      <c r="AE131" s="41">
        <v>99.5</v>
      </c>
      <c r="AI131" s="206"/>
      <c r="AJ131" s="114"/>
      <c r="AK131" s="222">
        <v>114.96</v>
      </c>
      <c r="AL131" s="206">
        <v>42955</v>
      </c>
      <c r="AM131" s="114">
        <v>61.53</v>
      </c>
      <c r="AN131" s="229">
        <v>126.41</v>
      </c>
      <c r="AO131" s="69"/>
      <c r="AP131" s="10"/>
      <c r="AQ131" s="10">
        <v>130.1</v>
      </c>
      <c r="AU131" s="71">
        <v>39847</v>
      </c>
      <c r="AV131" s="72">
        <v>78.66</v>
      </c>
      <c r="AW131" s="73">
        <v>82.58</v>
      </c>
      <c r="AX131" s="71"/>
      <c r="AY131" s="72"/>
      <c r="AZ131" s="73">
        <v>97.17</v>
      </c>
      <c r="BD131" s="71"/>
      <c r="BE131" s="72"/>
      <c r="BF131" s="73">
        <v>95.22</v>
      </c>
    </row>
    <row r="132" spans="2:58" ht="15" thickBot="1" x14ac:dyDescent="0.35">
      <c r="B132" s="182"/>
      <c r="AC132" s="40"/>
      <c r="AD132" s="41"/>
      <c r="AE132" s="41">
        <v>99.49</v>
      </c>
      <c r="AI132" s="206"/>
      <c r="AJ132" s="114"/>
      <c r="AK132" s="222">
        <v>114.92</v>
      </c>
      <c r="AL132" s="206">
        <v>43048</v>
      </c>
      <c r="AM132" s="114">
        <v>61.72</v>
      </c>
      <c r="AN132" s="229">
        <v>126.39</v>
      </c>
      <c r="AO132" s="69"/>
      <c r="AP132" s="10"/>
      <c r="AQ132" s="10">
        <v>129.75</v>
      </c>
      <c r="AU132" s="71">
        <v>39881</v>
      </c>
      <c r="AV132" s="72">
        <v>78.78</v>
      </c>
      <c r="AW132" s="73">
        <v>82.46</v>
      </c>
      <c r="AX132" s="71"/>
      <c r="AY132" s="72"/>
      <c r="AZ132" s="73">
        <v>94.85</v>
      </c>
      <c r="BD132" s="71"/>
      <c r="BE132" s="72"/>
      <c r="BF132" s="73">
        <v>95.24</v>
      </c>
    </row>
    <row r="133" spans="2:58" ht="15" thickBot="1" x14ac:dyDescent="0.35">
      <c r="B133" s="182"/>
      <c r="AC133" s="40"/>
      <c r="AD133" s="41"/>
      <c r="AE133" s="41">
        <v>99.88</v>
      </c>
      <c r="AI133" s="206"/>
      <c r="AJ133" s="114"/>
      <c r="AK133" s="222">
        <v>114.89</v>
      </c>
      <c r="AL133" s="206">
        <v>43069</v>
      </c>
      <c r="AM133" s="114">
        <v>62.29</v>
      </c>
      <c r="AN133" s="229">
        <v>126.39</v>
      </c>
      <c r="AO133" s="69"/>
      <c r="AP133" s="10"/>
      <c r="AQ133" s="10">
        <v>129.30000000000001</v>
      </c>
      <c r="AU133" s="71">
        <v>39939</v>
      </c>
      <c r="AV133" s="72">
        <v>79.17</v>
      </c>
      <c r="AW133" s="73">
        <v>82.07</v>
      </c>
      <c r="AX133" s="71"/>
      <c r="AY133" s="72"/>
      <c r="AZ133" s="73">
        <v>96.74</v>
      </c>
      <c r="BD133" s="71"/>
      <c r="BE133" s="72"/>
      <c r="BF133" s="73">
        <v>94.88</v>
      </c>
    </row>
    <row r="134" spans="2:58" ht="15" thickBot="1" x14ac:dyDescent="0.35">
      <c r="B134" s="182"/>
      <c r="AC134" s="40"/>
      <c r="AD134" s="41"/>
      <c r="AE134" s="41">
        <v>99.94</v>
      </c>
      <c r="AI134" s="228"/>
      <c r="AJ134" s="114"/>
      <c r="AK134" s="222">
        <v>114.89</v>
      </c>
      <c r="AL134" s="206">
        <v>43123</v>
      </c>
      <c r="AM134" s="114">
        <v>62.03</v>
      </c>
      <c r="AN134" s="229">
        <v>126.38</v>
      </c>
      <c r="AO134" s="69"/>
      <c r="AP134" s="10"/>
      <c r="AQ134" s="10">
        <v>129.03</v>
      </c>
      <c r="AU134" s="71">
        <v>40011</v>
      </c>
      <c r="AV134" s="72">
        <v>79.36</v>
      </c>
      <c r="AW134" s="73">
        <v>81.88</v>
      </c>
      <c r="AX134" s="71"/>
      <c r="AY134" s="72"/>
      <c r="AZ134" s="73">
        <v>96.47</v>
      </c>
      <c r="BD134" s="71"/>
      <c r="BE134" s="72"/>
      <c r="BF134" s="73">
        <v>94.84</v>
      </c>
    </row>
    <row r="135" spans="2:58" ht="15" thickBot="1" x14ac:dyDescent="0.35">
      <c r="B135" s="182"/>
      <c r="AC135" s="40"/>
      <c r="AD135" s="41"/>
      <c r="AE135" s="41">
        <v>99.98</v>
      </c>
      <c r="AI135" s="228"/>
      <c r="AJ135" s="114"/>
      <c r="AK135" s="222">
        <v>114.89</v>
      </c>
      <c r="AL135" s="206">
        <v>43263</v>
      </c>
      <c r="AM135" s="114">
        <v>62.26</v>
      </c>
      <c r="AN135" s="229">
        <v>126.37</v>
      </c>
      <c r="AO135" s="69"/>
      <c r="AP135" s="10"/>
      <c r="AQ135" s="10">
        <v>128.9</v>
      </c>
      <c r="AU135" s="71">
        <v>40049</v>
      </c>
      <c r="AV135" s="72">
        <v>79.62</v>
      </c>
      <c r="AW135" s="73">
        <v>81.62</v>
      </c>
      <c r="AX135" s="71"/>
      <c r="AY135" s="72"/>
      <c r="AZ135" s="73">
        <v>95.82</v>
      </c>
      <c r="BD135" s="71"/>
      <c r="BE135" s="72"/>
      <c r="BF135" s="73">
        <v>94.62</v>
      </c>
    </row>
    <row r="136" spans="2:58" ht="15" thickBot="1" x14ac:dyDescent="0.35">
      <c r="B136" s="182"/>
      <c r="AC136" s="40"/>
      <c r="AD136" s="41"/>
      <c r="AE136" s="41">
        <v>99.88</v>
      </c>
      <c r="AI136" s="228"/>
      <c r="AJ136" s="114"/>
      <c r="AK136" s="222">
        <v>114.82</v>
      </c>
      <c r="AL136" s="206">
        <v>43297</v>
      </c>
      <c r="AM136" s="114">
        <v>62.21</v>
      </c>
      <c r="AN136" s="229">
        <v>126.37</v>
      </c>
      <c r="AO136" s="69"/>
      <c r="AP136" s="15"/>
      <c r="AQ136" s="70">
        <v>164.65</v>
      </c>
      <c r="AU136" s="71">
        <v>40099</v>
      </c>
      <c r="AV136" s="72">
        <v>79.7</v>
      </c>
      <c r="AW136" s="73">
        <v>81.540000000000006</v>
      </c>
      <c r="AX136" s="71"/>
      <c r="AY136" s="72"/>
      <c r="AZ136" s="73">
        <v>95.74</v>
      </c>
      <c r="BD136" s="71"/>
      <c r="BE136" s="72"/>
      <c r="BF136" s="73">
        <v>94.08</v>
      </c>
    </row>
    <row r="137" spans="2:58" ht="15" thickBot="1" x14ac:dyDescent="0.35">
      <c r="B137" s="182"/>
      <c r="AC137" s="40"/>
      <c r="AD137" s="41"/>
      <c r="AE137" s="41">
        <v>99.93</v>
      </c>
      <c r="AI137" s="228"/>
      <c r="AJ137" s="114"/>
      <c r="AK137" s="222">
        <v>114.81</v>
      </c>
      <c r="AL137" s="206">
        <v>43348</v>
      </c>
      <c r="AM137" s="114">
        <v>62.36</v>
      </c>
      <c r="AN137" s="229">
        <v>126.25</v>
      </c>
      <c r="AO137" s="69"/>
      <c r="AP137" s="10"/>
      <c r="AQ137" s="10">
        <v>128.15</v>
      </c>
      <c r="AU137" s="71">
        <v>40190</v>
      </c>
      <c r="AV137" s="72">
        <v>80.17</v>
      </c>
      <c r="AW137" s="73">
        <v>81.069999999999993</v>
      </c>
      <c r="AX137" s="71"/>
      <c r="AY137" s="72"/>
      <c r="AZ137" s="73">
        <v>95.86</v>
      </c>
      <c r="BD137" s="71"/>
      <c r="BE137" s="72"/>
      <c r="BF137" s="73">
        <v>94.12</v>
      </c>
    </row>
    <row r="138" spans="2:58" ht="15" thickBot="1" x14ac:dyDescent="0.35">
      <c r="B138" s="182"/>
      <c r="AC138" s="40"/>
      <c r="AD138" s="41"/>
      <c r="AE138" s="41">
        <v>100.05</v>
      </c>
      <c r="AI138" s="228"/>
      <c r="AJ138" s="114"/>
      <c r="AK138" s="222">
        <v>114.81</v>
      </c>
      <c r="AL138" s="206">
        <v>43558</v>
      </c>
      <c r="AM138" s="114">
        <v>63.1</v>
      </c>
      <c r="AN138" s="229">
        <v>126.25</v>
      </c>
      <c r="AO138" s="69"/>
      <c r="AP138" s="10"/>
      <c r="AQ138" s="10">
        <v>127.86</v>
      </c>
      <c r="AU138" s="71">
        <v>40214</v>
      </c>
      <c r="AV138" s="72">
        <v>80.84</v>
      </c>
      <c r="AW138" s="73">
        <v>80.400000000000006</v>
      </c>
      <c r="AX138" s="71"/>
      <c r="AY138" s="72"/>
      <c r="AZ138" s="73">
        <v>95.56</v>
      </c>
      <c r="BD138" s="71"/>
      <c r="BE138" s="72"/>
      <c r="BF138" s="73">
        <v>93.89</v>
      </c>
    </row>
    <row r="139" spans="2:58" ht="15" thickBot="1" x14ac:dyDescent="0.35">
      <c r="B139" s="182"/>
      <c r="AC139" s="40"/>
      <c r="AD139" s="41"/>
      <c r="AE139" s="41">
        <v>99.98</v>
      </c>
      <c r="AI139" s="228"/>
      <c r="AJ139" s="114"/>
      <c r="AK139" s="222">
        <v>114.81</v>
      </c>
      <c r="AL139" s="228">
        <v>43697</v>
      </c>
      <c r="AM139" s="114">
        <v>66.06</v>
      </c>
      <c r="AN139" s="229">
        <v>126.25</v>
      </c>
      <c r="AO139" s="69"/>
      <c r="AP139" s="10"/>
      <c r="AQ139" s="10">
        <v>127.68</v>
      </c>
      <c r="AU139" s="71">
        <v>40238</v>
      </c>
      <c r="AV139" s="72">
        <v>81.55</v>
      </c>
      <c r="AW139" s="73">
        <v>79.69</v>
      </c>
      <c r="AX139" s="71"/>
      <c r="AY139" s="72"/>
      <c r="AZ139" s="73">
        <v>95.6</v>
      </c>
      <c r="BD139" s="71"/>
      <c r="BE139" s="72"/>
      <c r="BF139" s="73">
        <v>93.57</v>
      </c>
    </row>
    <row r="140" spans="2:58" ht="15" thickBot="1" x14ac:dyDescent="0.35">
      <c r="B140" s="183"/>
      <c r="AC140" s="40"/>
      <c r="AD140" s="41"/>
      <c r="AE140" s="41">
        <v>98.75</v>
      </c>
      <c r="AI140" s="228"/>
      <c r="AJ140" s="114"/>
      <c r="AK140" s="222">
        <v>114.79</v>
      </c>
      <c r="AL140" s="228">
        <v>43759</v>
      </c>
      <c r="AM140" s="114">
        <v>65.11</v>
      </c>
      <c r="AN140" s="229">
        <v>126.37</v>
      </c>
      <c r="AO140" s="69"/>
      <c r="AP140" s="10"/>
      <c r="AQ140" s="10">
        <v>127.66</v>
      </c>
      <c r="AU140" s="71">
        <v>40287</v>
      </c>
      <c r="AV140" s="72">
        <v>81.900000000000006</v>
      </c>
      <c r="AW140" s="73">
        <v>79.34</v>
      </c>
      <c r="AX140" s="71"/>
      <c r="AY140" s="72"/>
      <c r="AZ140" s="73">
        <v>95.64</v>
      </c>
      <c r="BD140" s="71"/>
      <c r="BE140" s="72"/>
      <c r="BF140" s="73">
        <v>93.48</v>
      </c>
    </row>
    <row r="141" spans="2:58" ht="15" thickBot="1" x14ac:dyDescent="0.35">
      <c r="B141" s="183"/>
      <c r="AC141" s="40"/>
      <c r="AD141" s="41"/>
      <c r="AE141" s="41">
        <v>98.69</v>
      </c>
      <c r="AI141" s="228"/>
      <c r="AJ141" s="238"/>
      <c r="AK141" s="222">
        <v>114.78</v>
      </c>
      <c r="AL141" s="206">
        <v>43964</v>
      </c>
      <c r="AM141" s="114">
        <v>64.900000000000006</v>
      </c>
      <c r="AN141" s="229">
        <v>126.37</v>
      </c>
      <c r="AO141" s="69"/>
      <c r="AP141" s="10"/>
      <c r="AQ141" s="10">
        <v>127.52</v>
      </c>
      <c r="AU141" s="71">
        <v>40305</v>
      </c>
      <c r="AV141" s="72">
        <v>81.88</v>
      </c>
      <c r="AW141" s="73">
        <v>79.36</v>
      </c>
      <c r="AX141" s="71"/>
      <c r="AY141" s="72"/>
      <c r="AZ141" s="73">
        <v>95.58</v>
      </c>
      <c r="BD141" s="71"/>
      <c r="BE141" s="72"/>
      <c r="BF141" s="73">
        <v>93.18</v>
      </c>
    </row>
    <row r="142" spans="2:58" ht="15" thickBot="1" x14ac:dyDescent="0.35">
      <c r="B142" s="183"/>
      <c r="AC142" s="40"/>
      <c r="AD142" s="41"/>
      <c r="AE142" s="41">
        <v>98.35</v>
      </c>
      <c r="AI142" s="228"/>
      <c r="AJ142" s="114"/>
      <c r="AK142" s="222">
        <v>114.78</v>
      </c>
      <c r="AL142" s="241">
        <v>44064</v>
      </c>
      <c r="AM142" s="96">
        <v>64.7</v>
      </c>
      <c r="AN142" s="229">
        <v>126.37</v>
      </c>
      <c r="AO142" s="69"/>
      <c r="AP142" s="10"/>
      <c r="AQ142" s="10">
        <v>127.47</v>
      </c>
      <c r="AU142" s="71">
        <v>40331</v>
      </c>
      <c r="AV142" s="72">
        <v>81.99</v>
      </c>
      <c r="AW142" s="73">
        <v>79.25</v>
      </c>
      <c r="AX142" s="71"/>
      <c r="AY142" s="72"/>
      <c r="AZ142" s="73">
        <v>95.48</v>
      </c>
      <c r="BD142" s="71"/>
      <c r="BE142" s="72"/>
      <c r="BF142" s="73">
        <v>92.98</v>
      </c>
    </row>
    <row r="143" spans="2:58" ht="15" thickBot="1" x14ac:dyDescent="0.35">
      <c r="B143" s="183"/>
      <c r="AC143" s="40"/>
      <c r="AD143" s="41"/>
      <c r="AE143" s="41">
        <v>98.52</v>
      </c>
      <c r="AI143" s="228"/>
      <c r="AJ143" s="114"/>
      <c r="AK143" s="222">
        <v>114.78</v>
      </c>
      <c r="AL143" s="241">
        <v>44329</v>
      </c>
      <c r="AM143" s="96">
        <v>64.8</v>
      </c>
      <c r="AN143" s="229">
        <v>126.37</v>
      </c>
      <c r="AO143" s="69"/>
      <c r="AP143" s="10"/>
      <c r="AQ143" s="10">
        <v>127.47</v>
      </c>
      <c r="AU143" s="71">
        <v>40498</v>
      </c>
      <c r="AV143" s="72">
        <v>82</v>
      </c>
      <c r="AW143" s="73">
        <v>79.239999999999995</v>
      </c>
      <c r="AX143" s="71"/>
      <c r="AY143" s="72"/>
      <c r="AZ143" s="73">
        <v>95.15</v>
      </c>
      <c r="BD143" s="71"/>
      <c r="BE143" s="72"/>
      <c r="BF143" s="73">
        <v>93</v>
      </c>
    </row>
    <row r="144" spans="2:58" ht="15" thickBot="1" x14ac:dyDescent="0.35">
      <c r="B144" s="183"/>
      <c r="AC144" s="40"/>
      <c r="AD144" s="41"/>
      <c r="AE144" s="41">
        <v>98.17</v>
      </c>
      <c r="AI144" s="228"/>
      <c r="AJ144" s="114"/>
      <c r="AK144" s="222">
        <v>114.78</v>
      </c>
      <c r="AL144" s="206">
        <v>44489</v>
      </c>
      <c r="AM144" s="114">
        <v>64.599999999999994</v>
      </c>
      <c r="AN144" s="229">
        <v>126.34</v>
      </c>
      <c r="AO144" s="69"/>
      <c r="AP144" s="10"/>
      <c r="AQ144" s="10">
        <v>127.5</v>
      </c>
      <c r="AU144" s="71">
        <v>40575</v>
      </c>
      <c r="AV144" s="72">
        <v>81.88</v>
      </c>
      <c r="AW144" s="73">
        <v>79.36</v>
      </c>
      <c r="AX144" s="71"/>
      <c r="AY144" s="72"/>
      <c r="AZ144" s="73">
        <v>94.33</v>
      </c>
      <c r="BD144" s="71"/>
      <c r="BE144" s="72"/>
      <c r="BF144" s="73">
        <v>92.34</v>
      </c>
    </row>
    <row r="145" spans="2:58" ht="15" thickBot="1" x14ac:dyDescent="0.35">
      <c r="B145" s="183"/>
      <c r="AC145" s="40"/>
      <c r="AD145" s="41"/>
      <c r="AE145" s="41">
        <v>97.91</v>
      </c>
      <c r="AI145" s="228"/>
      <c r="AJ145" s="114"/>
      <c r="AK145" s="222">
        <v>114.76</v>
      </c>
      <c r="AL145" s="206">
        <v>44593</v>
      </c>
      <c r="AM145" s="114">
        <v>65.430000000000007</v>
      </c>
      <c r="AN145" s="229">
        <v>126.36</v>
      </c>
      <c r="AO145" s="69"/>
      <c r="AP145" s="10"/>
      <c r="AQ145" s="10">
        <v>127.45</v>
      </c>
      <c r="AU145" s="71">
        <v>40679</v>
      </c>
      <c r="AV145" s="72">
        <v>81.69</v>
      </c>
      <c r="AW145" s="73">
        <v>79.55</v>
      </c>
      <c r="AX145" s="71"/>
      <c r="AY145" s="72"/>
      <c r="AZ145" s="73">
        <v>94.18</v>
      </c>
      <c r="BD145" s="71"/>
      <c r="BE145" s="72"/>
      <c r="BF145" s="73">
        <v>92.26</v>
      </c>
    </row>
    <row r="146" spans="2:58" ht="15" thickBot="1" x14ac:dyDescent="0.35">
      <c r="B146" s="183"/>
      <c r="AC146" s="40"/>
      <c r="AD146" s="41"/>
      <c r="AE146" s="41">
        <v>97.81</v>
      </c>
      <c r="AI146" s="228"/>
      <c r="AJ146" s="114"/>
      <c r="AK146" s="222">
        <v>114.74</v>
      </c>
      <c r="AL146" s="228">
        <v>44743</v>
      </c>
      <c r="AM146" s="114">
        <v>65.540000000000006</v>
      </c>
      <c r="AN146" s="229">
        <v>126.34</v>
      </c>
      <c r="AO146" s="69"/>
      <c r="AP146" s="10"/>
      <c r="AQ146" s="10">
        <v>127.41</v>
      </c>
      <c r="AU146" s="71">
        <v>40745</v>
      </c>
      <c r="AV146" s="72">
        <v>81.83</v>
      </c>
      <c r="AW146" s="73">
        <v>79.41</v>
      </c>
      <c r="AX146" s="71"/>
      <c r="AY146" s="72"/>
      <c r="AZ146" s="73">
        <v>94.26</v>
      </c>
      <c r="BD146" s="71"/>
      <c r="BE146" s="72"/>
      <c r="BF146" s="73">
        <v>92.43</v>
      </c>
    </row>
    <row r="147" spans="2:58" ht="15" thickBot="1" x14ac:dyDescent="0.35">
      <c r="B147" s="183"/>
      <c r="AC147" s="40"/>
      <c r="AD147" s="41"/>
      <c r="AE147" s="41">
        <v>97.56</v>
      </c>
      <c r="AI147" s="228"/>
      <c r="AJ147" s="114"/>
      <c r="AK147" s="222">
        <v>114.73</v>
      </c>
      <c r="AL147" s="206">
        <v>44846</v>
      </c>
      <c r="AM147" s="114">
        <v>67.06</v>
      </c>
      <c r="AN147" s="229">
        <v>126.34</v>
      </c>
      <c r="AO147" s="69"/>
      <c r="AP147" s="10"/>
      <c r="AQ147" s="10">
        <v>127.2</v>
      </c>
      <c r="AU147" s="71">
        <v>40777</v>
      </c>
      <c r="AV147" s="72">
        <v>82.18</v>
      </c>
      <c r="AW147" s="73">
        <v>79.06</v>
      </c>
      <c r="AX147" s="71"/>
      <c r="AY147" s="72"/>
      <c r="AZ147" s="73">
        <v>94.22</v>
      </c>
      <c r="BD147" s="71"/>
      <c r="BE147" s="72"/>
      <c r="BF147" s="73">
        <v>92.37</v>
      </c>
    </row>
    <row r="148" spans="2:58" ht="15" thickBot="1" x14ac:dyDescent="0.35">
      <c r="B148" s="183"/>
      <c r="AC148" s="40"/>
      <c r="AD148" s="41"/>
      <c r="AE148" s="41">
        <v>97.36</v>
      </c>
      <c r="AI148" s="206"/>
      <c r="AJ148" s="114"/>
      <c r="AK148" s="222">
        <v>114.73</v>
      </c>
      <c r="AL148" s="129">
        <v>44998</v>
      </c>
      <c r="AM148" s="162">
        <v>67.56</v>
      </c>
      <c r="AN148" s="229">
        <v>126.33</v>
      </c>
      <c r="AO148" s="69"/>
      <c r="AP148" s="10"/>
      <c r="AQ148" s="10">
        <v>127.41</v>
      </c>
      <c r="AU148" s="71">
        <v>40800</v>
      </c>
      <c r="AV148" s="72">
        <v>82.05</v>
      </c>
      <c r="AW148" s="73">
        <v>79.19</v>
      </c>
      <c r="AX148" s="71"/>
      <c r="AY148" s="72"/>
      <c r="AZ148" s="73">
        <v>93.54</v>
      </c>
      <c r="BD148" s="71"/>
      <c r="BE148" s="72"/>
      <c r="BF148" s="73">
        <v>92.12</v>
      </c>
    </row>
    <row r="149" spans="2:58" ht="15" thickBot="1" x14ac:dyDescent="0.35">
      <c r="B149" s="182"/>
      <c r="AC149" s="40"/>
      <c r="AD149" s="41"/>
      <c r="AE149" s="41">
        <v>97.47</v>
      </c>
      <c r="AI149" s="228"/>
      <c r="AJ149" s="114"/>
      <c r="AK149" s="222">
        <v>114.72</v>
      </c>
      <c r="AL149" s="248">
        <v>45146</v>
      </c>
      <c r="AM149" s="162">
        <v>67.290000000000006</v>
      </c>
      <c r="AN149" s="229">
        <v>126.34</v>
      </c>
      <c r="AO149" s="69"/>
      <c r="AP149" s="10"/>
      <c r="AQ149" s="10">
        <v>127.2</v>
      </c>
      <c r="AU149" s="71">
        <v>40814</v>
      </c>
      <c r="AV149" s="72">
        <v>82.2</v>
      </c>
      <c r="AW149" s="73">
        <v>79.040000000000006</v>
      </c>
      <c r="AX149" s="71"/>
      <c r="AY149" s="72"/>
      <c r="AZ149" s="73">
        <v>93.33</v>
      </c>
      <c r="BD149" s="71"/>
      <c r="BE149" s="72"/>
      <c r="BF149" s="73">
        <v>92</v>
      </c>
    </row>
    <row r="150" spans="2:58" ht="15" thickBot="1" x14ac:dyDescent="0.35">
      <c r="B150" s="183"/>
      <c r="AC150" s="40"/>
      <c r="AD150" s="41"/>
      <c r="AE150" s="41">
        <v>97.33</v>
      </c>
      <c r="AI150" s="228"/>
      <c r="AJ150" s="114"/>
      <c r="AK150" s="222">
        <v>114.71</v>
      </c>
      <c r="AL150" s="248">
        <v>45267</v>
      </c>
      <c r="AM150" s="162">
        <v>67.66</v>
      </c>
      <c r="AN150" s="229">
        <v>126.33</v>
      </c>
      <c r="AO150" s="69"/>
      <c r="AP150" s="10"/>
      <c r="AQ150" s="10">
        <v>127.11</v>
      </c>
      <c r="AU150" s="71">
        <v>40834</v>
      </c>
      <c r="AV150" s="72">
        <v>82.3</v>
      </c>
      <c r="AW150" s="73">
        <v>78.94</v>
      </c>
      <c r="AX150" s="71"/>
      <c r="AY150" s="72"/>
      <c r="AZ150" s="73">
        <v>92.99</v>
      </c>
      <c r="BD150" s="71"/>
      <c r="BE150" s="72"/>
      <c r="BF150" s="73">
        <v>91.5</v>
      </c>
    </row>
    <row r="151" spans="2:58" ht="15" thickBot="1" x14ac:dyDescent="0.35">
      <c r="B151" s="183"/>
      <c r="AC151" s="40"/>
      <c r="AD151" s="41"/>
      <c r="AE151" s="41">
        <v>97.36</v>
      </c>
      <c r="AI151" s="228"/>
      <c r="AJ151" s="114"/>
      <c r="AK151" s="222">
        <v>114.71</v>
      </c>
      <c r="AL151" s="228">
        <v>45292</v>
      </c>
      <c r="AM151" s="114">
        <v>67.77</v>
      </c>
      <c r="AN151" s="229">
        <v>126.34</v>
      </c>
      <c r="AO151" s="69"/>
      <c r="AP151" s="10"/>
      <c r="AQ151" s="10">
        <v>126.74</v>
      </c>
      <c r="AU151" s="71">
        <v>40864</v>
      </c>
      <c r="AV151" s="72">
        <v>82.4</v>
      </c>
      <c r="AW151" s="73">
        <v>78.84</v>
      </c>
      <c r="AX151" s="71"/>
      <c r="AY151" s="72"/>
      <c r="AZ151" s="73">
        <v>92.37</v>
      </c>
      <c r="BD151" s="71"/>
      <c r="BE151" s="72"/>
      <c r="BF151" s="73">
        <v>91.3</v>
      </c>
    </row>
    <row r="152" spans="2:58" ht="15" thickBot="1" x14ac:dyDescent="0.35">
      <c r="B152" s="183"/>
      <c r="AC152" s="40"/>
      <c r="AD152" s="42"/>
      <c r="AE152" s="41">
        <v>143.93</v>
      </c>
      <c r="AI152" s="228"/>
      <c r="AJ152" s="114"/>
      <c r="AK152" s="222">
        <v>114.7</v>
      </c>
      <c r="AL152" s="228">
        <v>45449</v>
      </c>
      <c r="AM152" s="114">
        <v>68.680000000000007</v>
      </c>
      <c r="AN152" s="229">
        <v>126.34</v>
      </c>
      <c r="AO152" s="69"/>
      <c r="AP152" s="10"/>
      <c r="AQ152" s="10">
        <v>126.91</v>
      </c>
      <c r="AU152" s="71">
        <v>40911</v>
      </c>
      <c r="AV152" s="72">
        <v>82.65</v>
      </c>
      <c r="AW152" s="73">
        <v>78.59</v>
      </c>
      <c r="AX152" s="71"/>
      <c r="AY152" s="72"/>
      <c r="AZ152" s="73">
        <v>91.99</v>
      </c>
      <c r="BD152" s="71"/>
      <c r="BE152" s="72"/>
      <c r="BF152" s="73">
        <v>91.54</v>
      </c>
    </row>
    <row r="153" spans="2:58" ht="15" thickBot="1" x14ac:dyDescent="0.35">
      <c r="B153" s="183"/>
      <c r="AC153" s="40"/>
      <c r="AD153" s="41"/>
      <c r="AE153" s="41">
        <v>96.95</v>
      </c>
      <c r="AI153" s="228"/>
      <c r="AJ153" s="114"/>
      <c r="AK153" s="222">
        <v>114.69</v>
      </c>
      <c r="AL153" s="206">
        <v>45638</v>
      </c>
      <c r="AM153" s="114">
        <v>67.61</v>
      </c>
      <c r="AN153" s="229">
        <v>126.33</v>
      </c>
      <c r="AO153" s="69"/>
      <c r="AP153" s="10"/>
      <c r="AQ153" s="10">
        <v>126.84</v>
      </c>
      <c r="AU153" s="71">
        <v>40934</v>
      </c>
      <c r="AV153" s="72">
        <v>82.7</v>
      </c>
      <c r="AW153" s="73">
        <v>78.540000000000006</v>
      </c>
      <c r="AX153" s="71"/>
      <c r="AY153" s="72"/>
      <c r="AZ153" s="73">
        <v>91.65</v>
      </c>
      <c r="BD153" s="71"/>
      <c r="BE153" s="72"/>
      <c r="BF153" s="73">
        <v>91.74</v>
      </c>
    </row>
    <row r="154" spans="2:58" ht="15" thickBot="1" x14ac:dyDescent="0.35">
      <c r="B154" s="182"/>
      <c r="AC154" s="40"/>
      <c r="AD154" s="41"/>
      <c r="AE154" s="41">
        <v>96.93</v>
      </c>
      <c r="AI154" s="228"/>
      <c r="AJ154" s="114"/>
      <c r="AK154" s="222">
        <v>114.61</v>
      </c>
      <c r="AL154" s="248">
        <v>45709</v>
      </c>
      <c r="AM154" s="162">
        <v>68.12</v>
      </c>
      <c r="AN154" s="229">
        <v>126.32</v>
      </c>
      <c r="AO154" s="69"/>
      <c r="AP154" s="10"/>
      <c r="AQ154" s="10">
        <v>126.7</v>
      </c>
      <c r="AU154" s="71">
        <v>40967</v>
      </c>
      <c r="AV154" s="72">
        <v>82.9</v>
      </c>
      <c r="AW154" s="73">
        <v>78.34</v>
      </c>
      <c r="AX154" s="71"/>
      <c r="AY154" s="72"/>
      <c r="AZ154" s="73">
        <v>92.5</v>
      </c>
      <c r="BD154" s="71"/>
      <c r="BE154" s="72"/>
      <c r="BF154" s="73">
        <v>91.76</v>
      </c>
    </row>
    <row r="155" spans="2:58" ht="15" thickBot="1" x14ac:dyDescent="0.35">
      <c r="AC155" s="40"/>
      <c r="AD155" s="41"/>
      <c r="AE155" s="41">
        <v>96.79</v>
      </c>
      <c r="AI155" s="228"/>
      <c r="AJ155" s="114"/>
      <c r="AK155" s="222">
        <v>114.67</v>
      </c>
      <c r="AL155" s="228">
        <v>45751</v>
      </c>
      <c r="AM155" s="114">
        <v>68.86</v>
      </c>
      <c r="AN155" s="229">
        <v>126.35</v>
      </c>
      <c r="AO155" s="69"/>
      <c r="AP155" s="10"/>
      <c r="AQ155" s="10">
        <v>126.83</v>
      </c>
      <c r="AU155" s="71">
        <v>41037</v>
      </c>
      <c r="AV155" s="72">
        <v>83.13</v>
      </c>
      <c r="AW155" s="73">
        <v>78.11</v>
      </c>
      <c r="AX155" s="71"/>
      <c r="AY155" s="72"/>
      <c r="AZ155" s="73">
        <v>91.9</v>
      </c>
      <c r="BD155" s="71"/>
      <c r="BE155" s="72"/>
      <c r="BF155" s="73">
        <v>91.79</v>
      </c>
    </row>
    <row r="156" spans="2:58" ht="15" thickBot="1" x14ac:dyDescent="0.35">
      <c r="AC156" s="40"/>
      <c r="AD156" s="41"/>
      <c r="AE156" s="41">
        <v>96.59</v>
      </c>
      <c r="AI156" s="206"/>
      <c r="AJ156" s="114"/>
      <c r="AK156" s="222">
        <v>114.65</v>
      </c>
      <c r="AL156" s="248">
        <v>45978</v>
      </c>
      <c r="AM156" s="162">
        <v>70.150000000000006</v>
      </c>
      <c r="AN156" s="229">
        <v>125.55</v>
      </c>
      <c r="AO156" s="69"/>
      <c r="AP156" s="10"/>
      <c r="AQ156" s="10">
        <v>126.88</v>
      </c>
      <c r="AU156" s="71">
        <v>41072</v>
      </c>
      <c r="AV156" s="72">
        <v>83.15</v>
      </c>
      <c r="AW156" s="73">
        <v>78.09</v>
      </c>
      <c r="AX156" s="71"/>
      <c r="AY156" s="72"/>
      <c r="AZ156" s="73">
        <v>92.07</v>
      </c>
      <c r="BD156" s="71"/>
      <c r="BE156" s="72"/>
      <c r="BF156" s="73">
        <v>91.94</v>
      </c>
    </row>
    <row r="157" spans="2:58" ht="15" thickBot="1" x14ac:dyDescent="0.35">
      <c r="AC157" s="40"/>
      <c r="AD157" s="41"/>
      <c r="AE157" s="41">
        <v>96.61</v>
      </c>
      <c r="AI157" s="206"/>
      <c r="AJ157" s="114"/>
      <c r="AK157" s="209">
        <v>114.64</v>
      </c>
      <c r="AL157" s="230"/>
      <c r="AM157" s="135"/>
      <c r="AN157" s="41">
        <v>126.85</v>
      </c>
      <c r="AO157" s="69"/>
      <c r="AP157" s="10"/>
      <c r="AQ157" s="10">
        <v>127</v>
      </c>
      <c r="AU157" s="71">
        <v>41098</v>
      </c>
      <c r="AV157" s="72">
        <v>83.15</v>
      </c>
      <c r="AW157" s="73">
        <v>78.09</v>
      </c>
      <c r="AX157" s="71"/>
      <c r="AY157" s="72"/>
      <c r="AZ157" s="73">
        <v>92.29</v>
      </c>
      <c r="BD157" s="71"/>
      <c r="BE157" s="72"/>
      <c r="BF157" s="73">
        <v>91.84</v>
      </c>
    </row>
    <row r="158" spans="2:58" ht="15" thickBot="1" x14ac:dyDescent="0.35">
      <c r="AC158" s="40"/>
      <c r="AD158" s="41"/>
      <c r="AE158" s="41">
        <v>96.46</v>
      </c>
      <c r="AI158" s="206"/>
      <c r="AJ158" s="114"/>
      <c r="AK158" s="209">
        <v>114.63</v>
      </c>
      <c r="AL158" s="40"/>
      <c r="AM158" s="41"/>
      <c r="AN158" s="41">
        <v>126.37</v>
      </c>
      <c r="AO158" s="69"/>
      <c r="AP158" s="10"/>
      <c r="AQ158" s="10">
        <v>126.37</v>
      </c>
      <c r="AU158" s="71">
        <v>41235</v>
      </c>
      <c r="AV158" s="72">
        <v>83.61</v>
      </c>
      <c r="AW158" s="73">
        <v>77.63</v>
      </c>
      <c r="AX158" s="71"/>
      <c r="AY158" s="72"/>
      <c r="AZ158" s="73">
        <v>90.23</v>
      </c>
      <c r="BD158" s="71"/>
      <c r="BE158" s="72"/>
      <c r="BF158" s="73">
        <v>91.89</v>
      </c>
    </row>
    <row r="159" spans="2:58" ht="15" thickBot="1" x14ac:dyDescent="0.35">
      <c r="AC159" s="40"/>
      <c r="AD159" s="41"/>
      <c r="AE159" s="41">
        <v>96.41</v>
      </c>
      <c r="AI159" s="241"/>
      <c r="AJ159" s="96"/>
      <c r="AK159" s="209">
        <v>114.6</v>
      </c>
      <c r="AL159" s="40"/>
      <c r="AM159" s="41"/>
      <c r="AN159" s="41">
        <v>126.23</v>
      </c>
      <c r="AO159" s="69"/>
      <c r="AP159" s="10"/>
      <c r="AQ159" s="10">
        <v>126.65</v>
      </c>
      <c r="AU159" s="71">
        <v>41278</v>
      </c>
      <c r="AV159" s="72">
        <v>83.88</v>
      </c>
      <c r="AW159" s="73">
        <v>77.36</v>
      </c>
      <c r="AX159" s="71"/>
      <c r="AY159" s="72"/>
      <c r="AZ159" s="73">
        <v>92.22</v>
      </c>
      <c r="BD159" s="71"/>
      <c r="BE159" s="72"/>
      <c r="BF159" s="73">
        <v>91.5</v>
      </c>
    </row>
    <row r="160" spans="2:58" ht="15" thickBot="1" x14ac:dyDescent="0.35">
      <c r="AC160" s="40"/>
      <c r="AD160" s="41"/>
      <c r="AE160" s="41">
        <v>96.44</v>
      </c>
      <c r="AI160" s="241"/>
      <c r="AJ160" s="96"/>
      <c r="AK160" s="209">
        <v>114.55</v>
      </c>
      <c r="AL160" s="20"/>
      <c r="AM160" s="21"/>
      <c r="AN160" s="41">
        <v>125.92</v>
      </c>
      <c r="AO160" s="69"/>
      <c r="AP160" s="11"/>
      <c r="AQ160" s="10">
        <v>126.41</v>
      </c>
      <c r="AU160" s="71">
        <v>41368</v>
      </c>
      <c r="AV160" s="72">
        <v>84.19</v>
      </c>
      <c r="AW160" s="73">
        <v>77.05</v>
      </c>
      <c r="AX160" s="71"/>
      <c r="AY160" s="72"/>
      <c r="AZ160" s="73">
        <v>90.34</v>
      </c>
      <c r="BD160" s="71"/>
      <c r="BE160" s="72"/>
      <c r="BF160" s="73">
        <v>91.69</v>
      </c>
    </row>
    <row r="161" spans="29:58" ht="15" thickBot="1" x14ac:dyDescent="0.35">
      <c r="AC161" s="40"/>
      <c r="AD161" s="41"/>
      <c r="AE161" s="41">
        <v>96.54</v>
      </c>
      <c r="AI161" s="241"/>
      <c r="AJ161" s="96"/>
      <c r="AK161" s="209">
        <v>114.55</v>
      </c>
      <c r="AL161" s="20"/>
      <c r="AM161" s="21"/>
      <c r="AN161" s="41">
        <v>125.72</v>
      </c>
      <c r="AO161" s="69"/>
      <c r="AP161" s="11"/>
      <c r="AQ161" s="10">
        <v>126.28</v>
      </c>
      <c r="AU161" s="71">
        <v>41401</v>
      </c>
      <c r="AV161" s="72">
        <v>84.22</v>
      </c>
      <c r="AW161" s="73">
        <v>77.02</v>
      </c>
      <c r="AX161" s="71"/>
      <c r="AY161" s="72"/>
      <c r="AZ161" s="73">
        <v>89.26</v>
      </c>
      <c r="BD161" s="71"/>
      <c r="BE161" s="72"/>
      <c r="BF161" s="73">
        <v>91.24</v>
      </c>
    </row>
    <row r="162" spans="29:58" ht="15" thickBot="1" x14ac:dyDescent="0.35">
      <c r="AC162" s="40"/>
      <c r="AD162" s="41"/>
      <c r="AE162" s="41">
        <v>96.27</v>
      </c>
      <c r="AI162" s="239"/>
      <c r="AJ162" s="125"/>
      <c r="AK162" s="209">
        <v>114.55</v>
      </c>
      <c r="AL162" s="20"/>
      <c r="AM162" s="21"/>
      <c r="AN162" s="41">
        <v>125.21</v>
      </c>
      <c r="AO162" s="69"/>
      <c r="AP162" s="11"/>
      <c r="AQ162" s="10">
        <v>126.31</v>
      </c>
      <c r="AU162" s="71">
        <v>41437</v>
      </c>
      <c r="AV162" s="72">
        <v>84.37</v>
      </c>
      <c r="AW162" s="73">
        <v>76.87</v>
      </c>
      <c r="AX162" s="71"/>
      <c r="AY162" s="72"/>
      <c r="AZ162" s="73">
        <v>89.32</v>
      </c>
      <c r="BD162" s="71"/>
      <c r="BE162" s="72"/>
      <c r="BF162" s="73">
        <v>91.24</v>
      </c>
    </row>
    <row r="163" spans="29:58" ht="15" thickBot="1" x14ac:dyDescent="0.35">
      <c r="AC163" s="40"/>
      <c r="AD163" s="41"/>
      <c r="AE163" s="41">
        <v>95.88</v>
      </c>
      <c r="AI163" s="206"/>
      <c r="AJ163" s="114"/>
      <c r="AK163" s="209">
        <v>114.57</v>
      </c>
      <c r="AL163" s="20"/>
      <c r="AM163" s="21"/>
      <c r="AN163" s="41">
        <v>124.11</v>
      </c>
      <c r="AO163" s="69"/>
      <c r="AP163" s="11"/>
      <c r="AQ163" s="10">
        <v>126.07</v>
      </c>
      <c r="AU163" s="71">
        <v>41506</v>
      </c>
      <c r="AV163" s="72">
        <v>84.54</v>
      </c>
      <c r="AW163" s="73">
        <v>76.7</v>
      </c>
      <c r="AX163" s="71"/>
      <c r="AY163" s="72"/>
      <c r="AZ163" s="73">
        <v>89.48</v>
      </c>
      <c r="BD163" s="71"/>
      <c r="BE163" s="72"/>
      <c r="BF163" s="73">
        <v>90.99</v>
      </c>
    </row>
    <row r="164" spans="29:58" ht="15" thickBot="1" x14ac:dyDescent="0.35">
      <c r="AC164" s="40"/>
      <c r="AD164" s="41"/>
      <c r="AE164" s="41">
        <v>96.07</v>
      </c>
      <c r="AI164" s="206"/>
      <c r="AJ164" s="114"/>
      <c r="AK164" s="209">
        <v>114.6</v>
      </c>
      <c r="AL164" s="20"/>
      <c r="AM164" s="21"/>
      <c r="AN164" s="41">
        <v>124.13</v>
      </c>
      <c r="AO164" s="69"/>
      <c r="AP164" s="11"/>
      <c r="AQ164" s="10">
        <v>126.11</v>
      </c>
      <c r="AU164" s="71">
        <v>41555</v>
      </c>
      <c r="AV164" s="72">
        <v>84.52</v>
      </c>
      <c r="AW164" s="73">
        <v>76.72</v>
      </c>
      <c r="AX164" s="71"/>
      <c r="AY164" s="72"/>
      <c r="AZ164" s="73">
        <v>89.22</v>
      </c>
      <c r="BD164" s="71"/>
      <c r="BE164" s="72"/>
      <c r="BF164" s="73">
        <v>90.45</v>
      </c>
    </row>
    <row r="165" spans="29:58" ht="15" thickBot="1" x14ac:dyDescent="0.35">
      <c r="AC165" s="40"/>
      <c r="AD165" s="41"/>
      <c r="AE165" s="41">
        <v>95.97</v>
      </c>
      <c r="AI165" s="206"/>
      <c r="AJ165" s="114"/>
      <c r="AK165" s="209">
        <v>114.6</v>
      </c>
      <c r="AL165" s="20"/>
      <c r="AM165" s="21"/>
      <c r="AN165" s="41">
        <v>124.11</v>
      </c>
      <c r="AO165" s="69"/>
      <c r="AP165" s="11"/>
      <c r="AQ165" s="10">
        <v>125.84</v>
      </c>
      <c r="AU165" s="71">
        <v>41556</v>
      </c>
      <c r="AV165" s="72">
        <v>84.55</v>
      </c>
      <c r="AW165" s="73">
        <v>76.69</v>
      </c>
      <c r="AX165" s="71"/>
      <c r="AY165" s="72"/>
      <c r="AZ165" s="73">
        <v>88.74</v>
      </c>
      <c r="BD165" s="71"/>
      <c r="BE165" s="72"/>
      <c r="BF165" s="73">
        <v>90.14</v>
      </c>
    </row>
    <row r="166" spans="29:58" ht="15" thickBot="1" x14ac:dyDescent="0.35">
      <c r="AC166" s="40"/>
      <c r="AD166" s="41"/>
      <c r="AE166" s="41">
        <v>95.88</v>
      </c>
      <c r="AI166" s="206"/>
      <c r="AJ166" s="114"/>
      <c r="AK166" s="209">
        <v>114.6</v>
      </c>
      <c r="AL166" s="20"/>
      <c r="AM166" s="21"/>
      <c r="AN166" s="41">
        <v>124.11</v>
      </c>
      <c r="AO166" s="69"/>
      <c r="AP166" s="15"/>
      <c r="AQ166" s="70">
        <v>164.65</v>
      </c>
      <c r="AU166" s="71">
        <v>41617</v>
      </c>
      <c r="AV166" s="72">
        <v>84.91</v>
      </c>
      <c r="AW166" s="73">
        <v>76.33</v>
      </c>
      <c r="AX166" s="71"/>
      <c r="AY166" s="72"/>
      <c r="AZ166" s="73">
        <v>88.72</v>
      </c>
      <c r="BD166" s="71"/>
      <c r="BE166" s="72"/>
      <c r="BF166" s="73">
        <v>89.79</v>
      </c>
    </row>
    <row r="167" spans="29:58" ht="15" thickBot="1" x14ac:dyDescent="0.35">
      <c r="AC167" s="40"/>
      <c r="AD167" s="41"/>
      <c r="AE167" s="41">
        <v>95.75</v>
      </c>
      <c r="AI167" s="206"/>
      <c r="AJ167" s="114"/>
      <c r="AK167" s="209">
        <v>114.52</v>
      </c>
      <c r="AL167" s="20"/>
      <c r="AM167" s="21"/>
      <c r="AN167" s="41">
        <v>124.11</v>
      </c>
      <c r="AO167" s="69"/>
      <c r="AP167" s="11"/>
      <c r="AQ167" s="10">
        <v>125.68</v>
      </c>
      <c r="AU167" s="71">
        <v>41659</v>
      </c>
      <c r="AV167" s="72">
        <v>84.95</v>
      </c>
      <c r="AW167" s="73">
        <v>76.290000000000006</v>
      </c>
      <c r="AX167" s="71"/>
      <c r="AY167" s="72"/>
      <c r="AZ167" s="73">
        <v>88.9</v>
      </c>
      <c r="BD167" s="71"/>
      <c r="BE167" s="72"/>
      <c r="BF167" s="73">
        <v>90.02</v>
      </c>
    </row>
    <row r="168" spans="29:58" ht="15" thickBot="1" x14ac:dyDescent="0.35">
      <c r="AC168" s="40"/>
      <c r="AD168" s="41"/>
      <c r="AE168" s="41">
        <v>95.5</v>
      </c>
      <c r="AI168" s="206"/>
      <c r="AJ168" s="125"/>
      <c r="AK168" s="209">
        <v>114.52</v>
      </c>
      <c r="AL168" s="20"/>
      <c r="AM168" s="21"/>
      <c r="AN168" s="41">
        <v>124.12</v>
      </c>
      <c r="AO168" s="69"/>
      <c r="AP168" s="11"/>
      <c r="AQ168" s="10">
        <v>125.31</v>
      </c>
      <c r="AU168" s="71">
        <v>41683</v>
      </c>
      <c r="AV168" s="72">
        <v>85.04</v>
      </c>
      <c r="AW168" s="73">
        <v>76.2</v>
      </c>
      <c r="AX168" s="71"/>
      <c r="AY168" s="72"/>
      <c r="AZ168" s="73">
        <v>88.92</v>
      </c>
      <c r="BD168" s="71"/>
      <c r="BE168" s="72"/>
      <c r="BF168" s="73">
        <v>89.45</v>
      </c>
    </row>
    <row r="169" spans="29:58" ht="15" thickBot="1" x14ac:dyDescent="0.35">
      <c r="AC169" s="40"/>
      <c r="AD169" s="41"/>
      <c r="AE169" s="41">
        <v>95.3</v>
      </c>
      <c r="AI169" s="206"/>
      <c r="AJ169" s="114"/>
      <c r="AK169" s="209">
        <v>114.5</v>
      </c>
      <c r="AL169" s="20"/>
      <c r="AM169" s="21"/>
      <c r="AN169" s="41">
        <v>124.12</v>
      </c>
      <c r="AO169" s="69"/>
      <c r="AP169" s="11"/>
      <c r="AQ169" s="10">
        <v>125.43</v>
      </c>
      <c r="AU169" s="71">
        <v>41731</v>
      </c>
      <c r="AV169" s="72">
        <v>85.34</v>
      </c>
      <c r="AW169" s="73">
        <v>75.900000000000006</v>
      </c>
      <c r="AX169" s="71"/>
      <c r="AY169" s="72"/>
      <c r="AZ169" s="73">
        <v>88.92</v>
      </c>
      <c r="BD169" s="71"/>
      <c r="BE169" s="72"/>
      <c r="BF169" s="73">
        <v>89.33</v>
      </c>
    </row>
    <row r="170" spans="29:58" ht="15" thickBot="1" x14ac:dyDescent="0.35">
      <c r="AC170" s="40"/>
      <c r="AD170" s="41"/>
      <c r="AE170" s="41">
        <v>95.44</v>
      </c>
      <c r="AI170" s="206"/>
      <c r="AJ170" s="114"/>
      <c r="AK170" s="209">
        <v>114.36</v>
      </c>
      <c r="AL170" s="20"/>
      <c r="AM170" s="21"/>
      <c r="AN170" s="41">
        <v>124.12</v>
      </c>
      <c r="AO170" s="69"/>
      <c r="AP170" s="11"/>
      <c r="AQ170" s="10">
        <v>124.67</v>
      </c>
      <c r="AU170" s="71">
        <v>41764</v>
      </c>
      <c r="AV170" s="72">
        <v>85.58</v>
      </c>
      <c r="AW170" s="73">
        <v>75.66</v>
      </c>
      <c r="AX170" s="71"/>
      <c r="AY170" s="72"/>
      <c r="AZ170" s="73">
        <v>88.73</v>
      </c>
      <c r="BD170" s="71"/>
      <c r="BE170" s="72"/>
      <c r="BF170" s="73">
        <v>89.34</v>
      </c>
    </row>
    <row r="171" spans="29:58" ht="15" thickBot="1" x14ac:dyDescent="0.35">
      <c r="AC171" s="40"/>
      <c r="AD171" s="41"/>
      <c r="AE171" s="41">
        <v>95.04</v>
      </c>
      <c r="AI171" s="206"/>
      <c r="AJ171" s="114"/>
      <c r="AK171" s="209">
        <v>114.48</v>
      </c>
      <c r="AL171" s="20"/>
      <c r="AM171" s="21"/>
      <c r="AN171" s="41">
        <v>124.12</v>
      </c>
      <c r="AO171" s="69"/>
      <c r="AP171" s="11"/>
      <c r="AQ171" s="10">
        <v>124.83</v>
      </c>
      <c r="AU171" s="71">
        <v>41793</v>
      </c>
      <c r="AV171" s="72">
        <v>85.65</v>
      </c>
      <c r="AW171" s="73">
        <v>75.59</v>
      </c>
      <c r="AX171" s="71"/>
      <c r="AY171" s="72"/>
      <c r="AZ171" s="73">
        <v>88.37</v>
      </c>
      <c r="BD171" s="71"/>
      <c r="BE171" s="72"/>
      <c r="BF171" s="73">
        <v>89.04</v>
      </c>
    </row>
    <row r="172" spans="29:58" ht="15" thickBot="1" x14ac:dyDescent="0.35">
      <c r="AC172" s="40"/>
      <c r="AD172" s="41"/>
      <c r="AE172" s="41">
        <v>94.62</v>
      </c>
      <c r="AI172" s="206"/>
      <c r="AJ172" s="114"/>
      <c r="AK172" s="209">
        <v>114.5</v>
      </c>
      <c r="AL172" s="20"/>
      <c r="AM172" s="21"/>
      <c r="AN172" s="41">
        <v>124.12</v>
      </c>
      <c r="AO172" s="69"/>
      <c r="AP172" s="11"/>
      <c r="AQ172" s="10">
        <v>124.75</v>
      </c>
      <c r="AU172" s="71">
        <v>41830</v>
      </c>
      <c r="AV172" s="72">
        <v>85.79</v>
      </c>
      <c r="AW172" s="73">
        <v>75.45</v>
      </c>
      <c r="AX172" s="71"/>
      <c r="AY172" s="72"/>
      <c r="AZ172" s="73">
        <v>88.36</v>
      </c>
      <c r="BD172" s="71"/>
      <c r="BE172" s="72"/>
      <c r="BF172" s="73">
        <v>89.07</v>
      </c>
    </row>
    <row r="173" spans="29:58" ht="15" thickBot="1" x14ac:dyDescent="0.35">
      <c r="AC173" s="40"/>
      <c r="AD173" s="41"/>
      <c r="AE173" s="41">
        <v>94.35</v>
      </c>
      <c r="AI173" s="241"/>
      <c r="AJ173" s="96"/>
      <c r="AK173" s="209">
        <v>114.49</v>
      </c>
      <c r="AL173" s="20"/>
      <c r="AM173" s="21"/>
      <c r="AN173" s="41">
        <v>124.12</v>
      </c>
      <c r="AO173" s="69"/>
      <c r="AP173" s="11"/>
      <c r="AQ173" s="10">
        <v>124.94</v>
      </c>
      <c r="AU173" s="71">
        <v>41877</v>
      </c>
      <c r="AV173" s="72">
        <v>86.17</v>
      </c>
      <c r="AW173" s="73">
        <v>75.069999999999993</v>
      </c>
      <c r="AX173" s="71"/>
      <c r="AY173" s="72"/>
      <c r="AZ173" s="73">
        <v>88.17</v>
      </c>
      <c r="BD173" s="71"/>
      <c r="BE173" s="72"/>
      <c r="BF173" s="73">
        <v>88.67</v>
      </c>
    </row>
    <row r="174" spans="29:58" ht="15" thickBot="1" x14ac:dyDescent="0.35">
      <c r="AC174" s="40"/>
      <c r="AD174" s="41"/>
      <c r="AE174" s="41">
        <v>93.86</v>
      </c>
      <c r="AI174" s="241"/>
      <c r="AJ174" s="96"/>
      <c r="AK174" s="209">
        <v>114.48</v>
      </c>
      <c r="AL174" s="20"/>
      <c r="AM174" s="21"/>
      <c r="AN174" s="41">
        <v>124.11</v>
      </c>
      <c r="AO174" s="69"/>
      <c r="AP174" s="11"/>
      <c r="AQ174" s="10">
        <v>125.08</v>
      </c>
      <c r="AU174" s="71">
        <v>41906</v>
      </c>
      <c r="AV174" s="72">
        <v>86.47</v>
      </c>
      <c r="AW174" s="73">
        <v>74.77</v>
      </c>
      <c r="AX174" s="71"/>
      <c r="AY174" s="72"/>
      <c r="AZ174" s="73">
        <v>88.33</v>
      </c>
      <c r="BD174" s="71"/>
      <c r="BE174" s="72"/>
      <c r="BF174" s="73">
        <v>88.45</v>
      </c>
    </row>
    <row r="175" spans="29:58" ht="15" thickBot="1" x14ac:dyDescent="0.35">
      <c r="AC175" s="40"/>
      <c r="AD175" s="41"/>
      <c r="AE175" s="41">
        <v>93.65</v>
      </c>
      <c r="AI175" s="241"/>
      <c r="AJ175" s="96"/>
      <c r="AK175" s="209">
        <v>114.5</v>
      </c>
      <c r="AL175" s="20"/>
      <c r="AM175" s="21"/>
      <c r="AN175" s="41">
        <v>124.11</v>
      </c>
      <c r="AO175" s="69"/>
      <c r="AP175" s="11"/>
      <c r="AQ175" s="10">
        <v>125.24</v>
      </c>
      <c r="AU175" s="71">
        <v>41936</v>
      </c>
      <c r="AV175" s="72">
        <v>86.88</v>
      </c>
      <c r="AW175" s="73">
        <v>74.36</v>
      </c>
      <c r="AX175" s="71"/>
      <c r="AY175" s="72"/>
      <c r="AZ175" s="73">
        <v>88.02</v>
      </c>
      <c r="BD175" s="71"/>
      <c r="BE175" s="72"/>
      <c r="BF175" s="73">
        <v>88.23</v>
      </c>
    </row>
    <row r="176" spans="29:58" ht="15" thickBot="1" x14ac:dyDescent="0.35">
      <c r="AC176" s="40"/>
      <c r="AD176" s="41"/>
      <c r="AE176" s="41">
        <v>93.48</v>
      </c>
      <c r="AI176" s="240"/>
      <c r="AJ176" s="98"/>
      <c r="AK176" s="209">
        <v>114.49</v>
      </c>
      <c r="AL176" s="20"/>
      <c r="AM176" s="21"/>
      <c r="AN176" s="41">
        <v>124.1</v>
      </c>
      <c r="AO176" s="69"/>
      <c r="AP176" s="11"/>
      <c r="AQ176" s="10">
        <v>124.56</v>
      </c>
      <c r="AU176" s="71">
        <v>42157</v>
      </c>
      <c r="AV176" s="72">
        <v>89.25</v>
      </c>
      <c r="AW176" s="73">
        <v>71.989999999999995</v>
      </c>
      <c r="AX176" s="71"/>
      <c r="AY176" s="72"/>
      <c r="AZ176" s="73">
        <v>87.82</v>
      </c>
      <c r="BD176" s="71"/>
      <c r="BE176" s="72"/>
      <c r="BF176" s="73">
        <v>88.05</v>
      </c>
    </row>
    <row r="177" spans="29:58" ht="15" thickBot="1" x14ac:dyDescent="0.35">
      <c r="AC177" s="40"/>
      <c r="AD177" s="41"/>
      <c r="AE177" s="41">
        <v>93.15</v>
      </c>
      <c r="AI177" s="240"/>
      <c r="AJ177" s="98"/>
      <c r="AK177" s="209">
        <v>114.48</v>
      </c>
      <c r="AL177" s="20"/>
      <c r="AM177" s="21"/>
      <c r="AN177" s="41">
        <v>124.09</v>
      </c>
      <c r="AO177" s="69"/>
      <c r="AP177" s="11"/>
      <c r="AQ177" s="10">
        <v>124.25</v>
      </c>
      <c r="AU177" s="71">
        <v>42220</v>
      </c>
      <c r="AV177" s="72">
        <v>89.18</v>
      </c>
      <c r="AW177" s="73">
        <v>72.06</v>
      </c>
      <c r="AX177" s="71"/>
      <c r="AY177" s="72"/>
      <c r="AZ177" s="73">
        <v>87.87</v>
      </c>
      <c r="BD177" s="71"/>
      <c r="BE177" s="72"/>
      <c r="BF177" s="73">
        <v>88.45</v>
      </c>
    </row>
    <row r="178" spans="29:58" ht="15" thickBot="1" x14ac:dyDescent="0.35">
      <c r="AC178" s="40"/>
      <c r="AD178" s="41"/>
      <c r="AE178" s="41">
        <v>93.2</v>
      </c>
      <c r="AI178" s="240"/>
      <c r="AJ178" s="98"/>
      <c r="AK178" s="209">
        <v>114.14</v>
      </c>
      <c r="AL178" s="20"/>
      <c r="AM178" s="21"/>
      <c r="AN178" s="41">
        <v>124.1</v>
      </c>
      <c r="AO178" s="69"/>
      <c r="AP178" s="11"/>
      <c r="AQ178" s="15">
        <f>(AQ177+AQ179)/2</f>
        <v>123.95</v>
      </c>
      <c r="AX178" s="71"/>
      <c r="AY178" s="72"/>
      <c r="AZ178" s="73">
        <v>87.72</v>
      </c>
      <c r="BD178" s="71"/>
      <c r="BE178" s="72"/>
      <c r="BF178" s="73">
        <v>88.23</v>
      </c>
    </row>
    <row r="179" spans="29:58" ht="15" thickBot="1" x14ac:dyDescent="0.35">
      <c r="AC179" s="40"/>
      <c r="AD179" s="41"/>
      <c r="AE179" s="41">
        <v>93.11</v>
      </c>
      <c r="AI179" s="240"/>
      <c r="AJ179" s="98"/>
      <c r="AK179" s="209">
        <v>113.37</v>
      </c>
      <c r="AL179" s="20"/>
      <c r="AM179" s="21"/>
      <c r="AN179" s="41">
        <v>124.1</v>
      </c>
      <c r="AO179" s="69"/>
      <c r="AP179" s="11"/>
      <c r="AQ179" s="10">
        <v>123.65</v>
      </c>
      <c r="AX179" s="71"/>
      <c r="AY179" s="72"/>
      <c r="AZ179" s="73">
        <v>87.71</v>
      </c>
      <c r="BD179" s="71"/>
      <c r="BE179" s="72"/>
      <c r="BF179" s="73">
        <v>88.05</v>
      </c>
    </row>
    <row r="180" spans="29:58" ht="15" thickBot="1" x14ac:dyDescent="0.35">
      <c r="AC180" s="40"/>
      <c r="AD180" s="41"/>
      <c r="AE180" s="41">
        <v>93.01</v>
      </c>
      <c r="AI180" s="199"/>
      <c r="AJ180" s="96"/>
      <c r="AK180" s="209">
        <v>113.41</v>
      </c>
      <c r="AL180" s="20"/>
      <c r="AM180" s="21"/>
      <c r="AN180" s="41">
        <v>124.1</v>
      </c>
      <c r="AO180" s="69"/>
      <c r="AP180" s="11"/>
      <c r="AQ180" s="15">
        <f>123.15</f>
        <v>123.15</v>
      </c>
      <c r="AX180" s="71"/>
      <c r="AY180" s="72"/>
      <c r="AZ180" s="73">
        <v>87.66</v>
      </c>
      <c r="BD180" s="71"/>
      <c r="BE180" s="72"/>
      <c r="BF180" s="73">
        <v>87.85</v>
      </c>
    </row>
    <row r="181" spans="29:58" ht="15" thickBot="1" x14ac:dyDescent="0.35">
      <c r="AC181" s="40"/>
      <c r="AD181" s="41"/>
      <c r="AE181" s="41">
        <v>92.76</v>
      </c>
      <c r="AI181" s="236"/>
      <c r="AJ181" s="237"/>
      <c r="AK181" s="209">
        <v>113.35</v>
      </c>
      <c r="AL181" s="20"/>
      <c r="AM181" s="21"/>
      <c r="AN181" s="41">
        <v>124.11</v>
      </c>
      <c r="AO181" s="69"/>
      <c r="AP181" s="11"/>
      <c r="AQ181" s="15">
        <v>122.87</v>
      </c>
      <c r="AX181" s="71"/>
      <c r="AY181" s="72"/>
      <c r="AZ181" s="73">
        <v>88.58</v>
      </c>
      <c r="BD181" s="74"/>
      <c r="BE181" s="72"/>
      <c r="BF181" s="73">
        <v>87.72</v>
      </c>
    </row>
    <row r="182" spans="29:58" ht="15" thickBot="1" x14ac:dyDescent="0.35">
      <c r="AC182" s="40"/>
      <c r="AD182" s="41"/>
      <c r="AE182" s="41">
        <v>92.04</v>
      </c>
      <c r="AI182" s="236"/>
      <c r="AJ182" s="237"/>
      <c r="AK182" s="209">
        <v>113.05</v>
      </c>
      <c r="AL182" s="20"/>
      <c r="AM182" s="21"/>
      <c r="AN182" s="41">
        <v>124.11</v>
      </c>
      <c r="AO182" s="88"/>
      <c r="AP182" s="90"/>
      <c r="AX182" s="71"/>
      <c r="AY182" s="72"/>
      <c r="AZ182" s="73">
        <v>87.47</v>
      </c>
      <c r="BD182" s="74"/>
      <c r="BE182" s="72"/>
      <c r="BF182" s="73">
        <v>87.49</v>
      </c>
    </row>
    <row r="183" spans="29:58" ht="15" thickBot="1" x14ac:dyDescent="0.35">
      <c r="AC183" s="40"/>
      <c r="AD183" s="41"/>
      <c r="AE183" s="41">
        <v>89.98</v>
      </c>
      <c r="AI183" s="236"/>
      <c r="AJ183" s="237"/>
      <c r="AK183" s="209">
        <v>112.45</v>
      </c>
      <c r="AL183" s="20"/>
      <c r="AM183" s="21"/>
      <c r="AN183" s="41">
        <v>124.11</v>
      </c>
      <c r="AO183" s="88"/>
      <c r="AP183" s="90"/>
      <c r="AX183" s="71"/>
      <c r="AY183" s="72"/>
      <c r="AZ183" s="73">
        <v>87.36</v>
      </c>
      <c r="BD183" s="71"/>
      <c r="BE183" s="72"/>
      <c r="BF183" s="73">
        <v>86.97</v>
      </c>
    </row>
    <row r="184" spans="29:58" ht="15" thickBot="1" x14ac:dyDescent="0.35">
      <c r="AC184" s="40"/>
      <c r="AD184" s="41"/>
      <c r="AE184" s="41">
        <v>90.51</v>
      </c>
      <c r="AI184" s="236"/>
      <c r="AJ184" s="237"/>
      <c r="AK184" s="209">
        <v>111.92</v>
      </c>
      <c r="AL184" s="20"/>
      <c r="AM184" s="21"/>
      <c r="AN184" s="41">
        <v>124.1</v>
      </c>
      <c r="AX184" s="71"/>
      <c r="AY184" s="72"/>
      <c r="AZ184" s="73">
        <v>87.26</v>
      </c>
      <c r="BD184" s="71"/>
      <c r="BE184" s="72"/>
      <c r="BF184" s="73">
        <v>86.66</v>
      </c>
    </row>
    <row r="185" spans="29:58" ht="15" thickBot="1" x14ac:dyDescent="0.35">
      <c r="AC185" s="40"/>
      <c r="AD185" s="41"/>
      <c r="AE185" s="41">
        <v>91.18</v>
      </c>
      <c r="AI185" s="236"/>
      <c r="AJ185" s="237"/>
      <c r="AK185" s="209">
        <v>111.7</v>
      </c>
      <c r="AL185" s="20"/>
      <c r="AM185" s="21"/>
      <c r="AN185" s="41">
        <v>124.1</v>
      </c>
      <c r="AX185" s="71"/>
      <c r="AY185" s="72"/>
      <c r="AZ185" s="73">
        <v>87.07</v>
      </c>
      <c r="BD185" s="71"/>
      <c r="BE185" s="72"/>
      <c r="BF185" s="73">
        <v>86.69</v>
      </c>
    </row>
    <row r="186" spans="29:58" ht="15" thickBot="1" x14ac:dyDescent="0.35">
      <c r="AC186" s="40"/>
      <c r="AD186" s="41"/>
      <c r="AE186" s="41">
        <v>91.25</v>
      </c>
      <c r="AI186" s="236"/>
      <c r="AJ186" s="237"/>
      <c r="AK186" s="209">
        <v>110.61</v>
      </c>
      <c r="AL186" s="20"/>
      <c r="AM186" s="21"/>
      <c r="AN186" s="41">
        <v>124.11</v>
      </c>
      <c r="AX186" s="71"/>
      <c r="AY186" s="72"/>
      <c r="AZ186" s="73">
        <v>86.82</v>
      </c>
      <c r="BD186" s="74"/>
      <c r="BE186" s="72"/>
      <c r="BF186" s="73">
        <v>85.74</v>
      </c>
    </row>
    <row r="187" spans="29:58" ht="15" thickBot="1" x14ac:dyDescent="0.35">
      <c r="AC187" s="40"/>
      <c r="AD187" s="41"/>
      <c r="AE187" s="41">
        <v>91.18</v>
      </c>
      <c r="AI187" s="236"/>
      <c r="AJ187" s="237"/>
      <c r="AK187" s="209">
        <v>110.62</v>
      </c>
      <c r="AL187" s="20"/>
      <c r="AM187" s="21"/>
      <c r="AN187" s="41">
        <v>124.12</v>
      </c>
      <c r="AX187" s="71"/>
      <c r="AY187" s="72"/>
      <c r="AZ187" s="73">
        <v>86.59</v>
      </c>
      <c r="BD187" s="71"/>
      <c r="BE187" s="72"/>
      <c r="BF187" s="73">
        <v>85.42</v>
      </c>
    </row>
    <row r="188" spans="29:58" ht="15" thickBot="1" x14ac:dyDescent="0.35">
      <c r="AC188" s="40"/>
      <c r="AD188" s="41"/>
      <c r="AE188" s="41">
        <v>91.06</v>
      </c>
      <c r="AI188" s="236"/>
      <c r="AJ188" s="237"/>
      <c r="AK188" s="209">
        <v>110.6</v>
      </c>
      <c r="AL188" s="20"/>
      <c r="AM188" s="21"/>
      <c r="AN188" s="41">
        <v>124.11</v>
      </c>
      <c r="AX188" s="71"/>
      <c r="AY188" s="72"/>
      <c r="AZ188" s="73">
        <v>86.42</v>
      </c>
      <c r="BD188" s="74"/>
      <c r="BE188" s="72"/>
      <c r="BF188" s="73">
        <v>84.84</v>
      </c>
    </row>
    <row r="189" spans="29:58" ht="15" thickBot="1" x14ac:dyDescent="0.35">
      <c r="AC189" s="40"/>
      <c r="AD189" s="41"/>
      <c r="AE189" s="41">
        <v>89.18</v>
      </c>
      <c r="AI189" s="236"/>
      <c r="AJ189" s="237"/>
      <c r="AK189" s="209">
        <v>110.6</v>
      </c>
      <c r="AL189" s="20"/>
      <c r="AM189" s="21"/>
      <c r="AN189" s="41">
        <v>124.1</v>
      </c>
      <c r="AX189" s="71"/>
      <c r="AY189" s="72"/>
      <c r="AZ189" s="73">
        <v>86.12</v>
      </c>
      <c r="BD189" s="74"/>
      <c r="BE189" s="72"/>
      <c r="BF189" s="73">
        <v>84.1</v>
      </c>
    </row>
    <row r="190" spans="29:58" ht="15" thickBot="1" x14ac:dyDescent="0.35">
      <c r="AC190" s="40"/>
      <c r="AD190" s="41"/>
      <c r="AE190" s="41">
        <v>89.06</v>
      </c>
      <c r="AI190" s="236"/>
      <c r="AJ190" s="237"/>
      <c r="AK190" s="209">
        <v>110.61</v>
      </c>
      <c r="AL190" s="20"/>
      <c r="AM190" s="21"/>
      <c r="AN190" s="41">
        <v>124.1</v>
      </c>
      <c r="AX190" s="74"/>
      <c r="AY190" s="72"/>
      <c r="AZ190" s="73">
        <v>86.39</v>
      </c>
      <c r="BD190" s="74"/>
      <c r="BE190" s="72"/>
      <c r="BF190" s="73">
        <v>83.8</v>
      </c>
    </row>
    <row r="191" spans="29:58" ht="15" thickBot="1" x14ac:dyDescent="0.35">
      <c r="AC191" s="40"/>
      <c r="AD191" s="41"/>
      <c r="AE191" s="41">
        <v>87.17</v>
      </c>
      <c r="AI191" s="236"/>
      <c r="AJ191" s="237"/>
      <c r="AK191" s="209">
        <v>110.6</v>
      </c>
      <c r="AL191" s="20"/>
      <c r="AM191" s="21"/>
      <c r="AN191" s="41">
        <v>124.1</v>
      </c>
      <c r="AX191" s="74"/>
      <c r="AY191" s="72"/>
      <c r="AZ191" s="73">
        <v>86.4</v>
      </c>
      <c r="BD191" s="74"/>
      <c r="BE191" s="72"/>
      <c r="BF191" s="73">
        <v>82.9</v>
      </c>
    </row>
    <row r="192" spans="29:58" ht="15" thickBot="1" x14ac:dyDescent="0.35">
      <c r="AC192" s="88"/>
      <c r="AD192" s="91"/>
      <c r="AI192" s="236"/>
      <c r="AJ192" s="237"/>
      <c r="AK192" s="209">
        <v>110.6</v>
      </c>
      <c r="AL192" s="20"/>
      <c r="AM192" s="21"/>
      <c r="AN192" s="41">
        <v>124.1</v>
      </c>
      <c r="AX192" s="71"/>
      <c r="AY192" s="72"/>
      <c r="AZ192" s="73">
        <v>86.36</v>
      </c>
      <c r="BD192" s="71"/>
      <c r="BE192" s="72"/>
      <c r="BF192" s="73">
        <v>83.47</v>
      </c>
    </row>
    <row r="193" spans="35:58" ht="15" thickBot="1" x14ac:dyDescent="0.35">
      <c r="AI193" s="236"/>
      <c r="AJ193" s="237"/>
      <c r="AK193" s="209">
        <v>110.6</v>
      </c>
      <c r="AL193" s="20"/>
      <c r="AM193" s="21"/>
      <c r="AN193" s="41">
        <v>124.1</v>
      </c>
      <c r="AX193" s="71"/>
      <c r="AY193" s="72"/>
      <c r="AZ193" s="73">
        <v>86.24</v>
      </c>
      <c r="BD193" s="75"/>
      <c r="BE193" s="76"/>
      <c r="BF193" s="72">
        <v>79.88</v>
      </c>
    </row>
    <row r="194" spans="35:58" ht="15" thickBot="1" x14ac:dyDescent="0.35">
      <c r="AI194" s="236"/>
      <c r="AJ194" s="237"/>
      <c r="AK194" s="209">
        <v>110.59</v>
      </c>
      <c r="AL194" s="20"/>
      <c r="AM194" s="21"/>
      <c r="AN194" s="41">
        <v>124.1</v>
      </c>
      <c r="AX194" s="71"/>
      <c r="AY194" s="72"/>
      <c r="AZ194" s="73">
        <v>85.47</v>
      </c>
    </row>
    <row r="195" spans="35:58" ht="15" thickBot="1" x14ac:dyDescent="0.35">
      <c r="AI195" s="236"/>
      <c r="AJ195" s="237"/>
      <c r="AK195" s="209">
        <v>110.58</v>
      </c>
      <c r="AL195" s="20"/>
      <c r="AM195" s="21"/>
      <c r="AN195" s="41">
        <v>124.09</v>
      </c>
      <c r="AX195" s="74"/>
      <c r="AY195" s="72"/>
      <c r="AZ195" s="73">
        <v>85.3</v>
      </c>
    </row>
    <row r="196" spans="35:58" ht="15" thickBot="1" x14ac:dyDescent="0.35">
      <c r="AI196" s="236"/>
      <c r="AJ196" s="237"/>
      <c r="AK196" s="209">
        <v>110.57</v>
      </c>
      <c r="AL196" s="20"/>
      <c r="AM196" s="21"/>
      <c r="AN196" s="41">
        <v>124.09</v>
      </c>
      <c r="AX196" s="71"/>
      <c r="AY196" s="72"/>
      <c r="AZ196" s="73">
        <v>85.07</v>
      </c>
    </row>
    <row r="197" spans="35:58" ht="15" thickBot="1" x14ac:dyDescent="0.35">
      <c r="AI197" s="236"/>
      <c r="AJ197" s="237"/>
      <c r="AK197" s="209">
        <v>110.56</v>
      </c>
      <c r="AL197" s="20"/>
      <c r="AM197" s="21"/>
      <c r="AN197" s="41">
        <v>124.09</v>
      </c>
      <c r="AX197" s="74"/>
      <c r="AY197" s="72"/>
      <c r="AZ197" s="73">
        <v>84.95</v>
      </c>
    </row>
    <row r="198" spans="35:58" ht="15" thickBot="1" x14ac:dyDescent="0.35">
      <c r="AI198" s="236"/>
      <c r="AJ198" s="237"/>
      <c r="AK198" s="209">
        <v>110.55</v>
      </c>
      <c r="AL198" s="20"/>
      <c r="AM198" s="21"/>
      <c r="AN198" s="41">
        <v>124.09</v>
      </c>
      <c r="AX198" s="74"/>
      <c r="AY198" s="72"/>
      <c r="AZ198" s="73">
        <v>84.69</v>
      </c>
    </row>
    <row r="199" spans="35:58" ht="15" thickBot="1" x14ac:dyDescent="0.35">
      <c r="AI199" s="236"/>
      <c r="AJ199" s="237"/>
      <c r="AK199" s="209">
        <v>110.54</v>
      </c>
      <c r="AL199" s="20"/>
      <c r="AM199" s="21"/>
      <c r="AN199" s="41">
        <v>124.09</v>
      </c>
      <c r="AX199" s="71"/>
      <c r="AY199" s="72"/>
      <c r="AZ199" s="73">
        <v>84.5</v>
      </c>
    </row>
    <row r="200" spans="35:58" ht="15" thickBot="1" x14ac:dyDescent="0.35">
      <c r="AI200" s="236"/>
      <c r="AJ200" s="237"/>
      <c r="AK200" s="209">
        <v>110.52</v>
      </c>
      <c r="AL200" s="20"/>
      <c r="AM200" s="21"/>
      <c r="AN200" s="41">
        <v>124.09</v>
      </c>
      <c r="AX200" s="74"/>
      <c r="AY200" s="72"/>
      <c r="AZ200" s="73">
        <v>84.35</v>
      </c>
    </row>
    <row r="201" spans="35:58" ht="15" thickBot="1" x14ac:dyDescent="0.35">
      <c r="AI201" s="236"/>
      <c r="AJ201" s="237"/>
      <c r="AK201" s="209">
        <v>110.55</v>
      </c>
      <c r="AL201" s="20"/>
      <c r="AM201" s="21"/>
      <c r="AN201" s="41">
        <v>124.09</v>
      </c>
      <c r="AX201" s="74"/>
      <c r="AY201" s="72"/>
      <c r="AZ201" s="73">
        <v>84.13</v>
      </c>
    </row>
    <row r="202" spans="35:58" ht="15" thickBot="1" x14ac:dyDescent="0.35">
      <c r="AI202" s="236"/>
      <c r="AJ202" s="237"/>
      <c r="AK202" s="209">
        <v>110.57</v>
      </c>
      <c r="AL202" s="20"/>
      <c r="AM202" s="21"/>
      <c r="AN202" s="41">
        <v>124.09</v>
      </c>
      <c r="AX202" s="71"/>
      <c r="AY202" s="72"/>
      <c r="AZ202" s="73">
        <v>83.92</v>
      </c>
    </row>
    <row r="203" spans="35:58" ht="15" thickBot="1" x14ac:dyDescent="0.35">
      <c r="AI203" s="236"/>
      <c r="AJ203" s="237"/>
      <c r="AK203" s="209">
        <v>110.54</v>
      </c>
      <c r="AL203" s="20"/>
      <c r="AM203" s="21"/>
      <c r="AN203" s="41">
        <v>124.08</v>
      </c>
      <c r="AX203" s="75"/>
      <c r="AY203" s="76"/>
      <c r="AZ203" s="72">
        <v>84.11</v>
      </c>
    </row>
    <row r="204" spans="35:58" ht="15" thickBot="1" x14ac:dyDescent="0.35">
      <c r="AI204" s="236"/>
      <c r="AJ204" s="237"/>
      <c r="AK204" s="209">
        <v>110.54</v>
      </c>
      <c r="AL204" s="20"/>
      <c r="AM204" s="21"/>
      <c r="AN204" s="41">
        <v>124.08</v>
      </c>
      <c r="AX204" s="75"/>
      <c r="AY204" s="76"/>
      <c r="AZ204" s="72">
        <v>83.76</v>
      </c>
    </row>
    <row r="205" spans="35:58" ht="15" thickBot="1" x14ac:dyDescent="0.35">
      <c r="AI205" s="236"/>
      <c r="AJ205" s="237"/>
      <c r="AK205" s="209">
        <v>110.54</v>
      </c>
      <c r="AL205" s="20"/>
      <c r="AM205" s="21"/>
      <c r="AN205" s="41">
        <v>124.08</v>
      </c>
      <c r="AX205" s="75"/>
      <c r="AY205" s="76"/>
      <c r="AZ205" s="72">
        <v>83.83</v>
      </c>
    </row>
    <row r="206" spans="35:58" ht="15" thickBot="1" x14ac:dyDescent="0.35">
      <c r="AI206" s="236"/>
      <c r="AJ206" s="237"/>
      <c r="AK206" s="209">
        <v>110.54</v>
      </c>
      <c r="AL206" s="20"/>
      <c r="AM206" s="21"/>
      <c r="AN206" s="41">
        <v>125.55</v>
      </c>
      <c r="AX206" s="75"/>
      <c r="AY206" s="76"/>
      <c r="AZ206" s="72">
        <v>83.18</v>
      </c>
    </row>
    <row r="207" spans="35:58" ht="15" thickBot="1" x14ac:dyDescent="0.35">
      <c r="AI207" s="236"/>
      <c r="AJ207" s="237"/>
      <c r="AK207" s="209">
        <v>110.52</v>
      </c>
      <c r="AL207" s="20"/>
      <c r="AM207" s="21"/>
      <c r="AN207" s="41">
        <v>126.92</v>
      </c>
      <c r="AX207" s="75"/>
      <c r="AY207" s="76"/>
      <c r="AZ207" s="72">
        <v>82.91</v>
      </c>
    </row>
    <row r="208" spans="35:58" ht="15" thickBot="1" x14ac:dyDescent="0.35">
      <c r="AI208" s="236"/>
      <c r="AJ208" s="237"/>
      <c r="AK208" s="209">
        <v>110.51</v>
      </c>
      <c r="AL208" s="20"/>
      <c r="AM208" s="21"/>
      <c r="AN208" s="41">
        <v>126.91</v>
      </c>
      <c r="AX208" s="75"/>
      <c r="AY208" s="76"/>
      <c r="AZ208" s="72">
        <v>82.74</v>
      </c>
    </row>
    <row r="209" spans="35:52" ht="15" thickBot="1" x14ac:dyDescent="0.35">
      <c r="AI209" s="236"/>
      <c r="AJ209" s="237"/>
      <c r="AK209" s="209">
        <v>110.51</v>
      </c>
      <c r="AL209" s="20"/>
      <c r="AM209" s="21"/>
      <c r="AN209" s="41">
        <v>126.57</v>
      </c>
      <c r="AX209" s="75"/>
      <c r="AY209" s="77"/>
      <c r="AZ209" s="72">
        <v>82.39</v>
      </c>
    </row>
    <row r="210" spans="35:52" ht="15" thickBot="1" x14ac:dyDescent="0.35">
      <c r="AI210" s="236"/>
      <c r="AJ210" s="237"/>
      <c r="AK210" s="209">
        <v>110.52</v>
      </c>
      <c r="AL210" s="20"/>
      <c r="AM210" s="21"/>
      <c r="AN210" s="41">
        <v>126.9</v>
      </c>
      <c r="AX210" s="75"/>
      <c r="AY210" s="76"/>
      <c r="AZ210" s="72">
        <v>81.23</v>
      </c>
    </row>
    <row r="211" spans="35:52" ht="15" thickBot="1" x14ac:dyDescent="0.35">
      <c r="AI211" s="236"/>
      <c r="AJ211" s="237"/>
      <c r="AK211" s="209">
        <v>110.51</v>
      </c>
      <c r="AL211" s="20"/>
      <c r="AM211" s="21"/>
      <c r="AN211" s="41">
        <v>126.48</v>
      </c>
      <c r="AX211" s="75"/>
      <c r="AY211" s="76"/>
      <c r="AZ211" s="72">
        <v>82</v>
      </c>
    </row>
    <row r="212" spans="35:52" ht="15" thickBot="1" x14ac:dyDescent="0.35">
      <c r="AI212" s="236"/>
      <c r="AJ212" s="237"/>
      <c r="AK212" s="209">
        <v>110.47</v>
      </c>
      <c r="AL212" s="20"/>
      <c r="AM212" s="21"/>
      <c r="AN212" s="41">
        <v>126.93</v>
      </c>
      <c r="AX212" s="75"/>
      <c r="AY212" s="76"/>
      <c r="AZ212" s="72">
        <v>81.89</v>
      </c>
    </row>
    <row r="213" spans="35:52" ht="15" thickBot="1" x14ac:dyDescent="0.35">
      <c r="AI213" s="236"/>
      <c r="AJ213" s="237"/>
      <c r="AK213" s="209">
        <v>110.48</v>
      </c>
      <c r="AL213" s="20"/>
      <c r="AM213" s="21"/>
      <c r="AN213" s="41">
        <v>126.69</v>
      </c>
      <c r="AX213" s="75"/>
      <c r="AY213" s="76"/>
      <c r="AZ213" s="72">
        <v>80.94</v>
      </c>
    </row>
    <row r="214" spans="35:52" ht="15" thickBot="1" x14ac:dyDescent="0.35">
      <c r="AI214" s="236"/>
      <c r="AJ214" s="237"/>
      <c r="AK214" s="209">
        <v>110.49</v>
      </c>
      <c r="AL214" s="20"/>
      <c r="AM214" s="21"/>
      <c r="AN214" s="41">
        <v>127.05</v>
      </c>
      <c r="AX214" s="75"/>
      <c r="AY214" s="76"/>
      <c r="AZ214" s="72">
        <v>81.31</v>
      </c>
    </row>
    <row r="215" spans="35:52" ht="15" thickBot="1" x14ac:dyDescent="0.35">
      <c r="AI215" s="236"/>
      <c r="AJ215" s="237"/>
      <c r="AK215" s="209">
        <v>110.48</v>
      </c>
      <c r="AL215" s="20"/>
      <c r="AM215" s="21"/>
      <c r="AN215" s="41">
        <v>127.27</v>
      </c>
      <c r="AX215" s="75"/>
      <c r="AY215" s="76"/>
      <c r="AZ215" s="72">
        <v>81.09</v>
      </c>
    </row>
    <row r="216" spans="35:52" ht="15" thickBot="1" x14ac:dyDescent="0.35">
      <c r="AI216" s="236"/>
      <c r="AJ216" s="237"/>
      <c r="AK216" s="209">
        <v>110.48</v>
      </c>
      <c r="AL216" s="20"/>
      <c r="AM216" s="21"/>
      <c r="AN216" s="41">
        <v>127.27</v>
      </c>
      <c r="AX216" s="78"/>
      <c r="AY216" s="76"/>
      <c r="AZ216" s="72">
        <v>80.290000000000006</v>
      </c>
    </row>
    <row r="217" spans="35:52" ht="15" thickBot="1" x14ac:dyDescent="0.35">
      <c r="AI217" s="236"/>
      <c r="AJ217" s="237"/>
      <c r="AK217" s="209">
        <v>110.46</v>
      </c>
      <c r="AL217" s="20"/>
      <c r="AM217" s="21"/>
      <c r="AN217" s="41">
        <v>127.29</v>
      </c>
      <c r="AX217" s="75"/>
      <c r="AY217" s="76"/>
      <c r="AZ217" s="72">
        <v>79.319999999999993</v>
      </c>
    </row>
    <row r="218" spans="35:52" ht="15" thickBot="1" x14ac:dyDescent="0.35">
      <c r="AI218" s="236"/>
      <c r="AJ218" s="237"/>
      <c r="AK218" s="209">
        <v>110.45</v>
      </c>
      <c r="AL218" s="20"/>
      <c r="AM218" s="21"/>
      <c r="AN218" s="41">
        <v>127.17</v>
      </c>
      <c r="AX218" s="75"/>
      <c r="AY218" s="76"/>
      <c r="AZ218" s="72">
        <v>79.61</v>
      </c>
    </row>
    <row r="219" spans="35:52" ht="15" thickBot="1" x14ac:dyDescent="0.35">
      <c r="AI219" s="236"/>
      <c r="AJ219" s="237"/>
      <c r="AK219" s="209">
        <v>110.45</v>
      </c>
      <c r="AL219" s="20"/>
      <c r="AM219" s="21"/>
      <c r="AN219" s="41">
        <v>127.6</v>
      </c>
      <c r="AX219" s="75"/>
      <c r="AY219" s="76"/>
      <c r="AZ219" s="72">
        <v>79.5</v>
      </c>
    </row>
    <row r="220" spans="35:52" ht="15" thickBot="1" x14ac:dyDescent="0.35">
      <c r="AI220" s="236"/>
      <c r="AJ220" s="237"/>
      <c r="AK220" s="209">
        <v>110.46</v>
      </c>
      <c r="AL220" s="20"/>
      <c r="AM220" s="21"/>
      <c r="AN220" s="41">
        <v>126.31</v>
      </c>
      <c r="AX220" s="75"/>
      <c r="AY220" s="76"/>
      <c r="AZ220" s="72">
        <v>79.12</v>
      </c>
    </row>
    <row r="221" spans="35:52" ht="15" thickBot="1" x14ac:dyDescent="0.35">
      <c r="AI221" s="236"/>
      <c r="AJ221" s="237"/>
      <c r="AK221" s="209">
        <v>110.44</v>
      </c>
      <c r="AL221" s="20"/>
      <c r="AM221" s="21"/>
      <c r="AN221" s="41">
        <v>126.29</v>
      </c>
      <c r="AX221" s="75"/>
      <c r="AY221" s="76"/>
      <c r="AZ221" s="72">
        <v>78.45</v>
      </c>
    </row>
    <row r="222" spans="35:52" ht="15" thickBot="1" x14ac:dyDescent="0.35">
      <c r="AI222" s="236"/>
      <c r="AJ222" s="237"/>
      <c r="AK222" s="209">
        <v>110.43</v>
      </c>
      <c r="AL222" s="20"/>
      <c r="AM222" s="21"/>
      <c r="AN222" s="41">
        <v>126.33</v>
      </c>
      <c r="AX222" s="75"/>
      <c r="AY222" s="76"/>
      <c r="AZ222" s="72">
        <v>78</v>
      </c>
    </row>
    <row r="223" spans="35:52" ht="15" thickBot="1" x14ac:dyDescent="0.35">
      <c r="AI223" s="236"/>
      <c r="AJ223" s="237"/>
      <c r="AK223" s="209">
        <v>110.44</v>
      </c>
      <c r="AL223" s="20"/>
      <c r="AM223" s="21"/>
      <c r="AN223" s="41">
        <v>126.33</v>
      </c>
      <c r="AX223" s="75"/>
      <c r="AY223" s="76"/>
      <c r="AZ223" s="72">
        <v>77.069999999999993</v>
      </c>
    </row>
    <row r="224" spans="35:52" ht="15" thickBot="1" x14ac:dyDescent="0.35">
      <c r="AI224" s="236"/>
      <c r="AJ224" s="237"/>
      <c r="AK224" s="209">
        <v>110.44</v>
      </c>
      <c r="AL224" s="20"/>
      <c r="AM224" s="21"/>
      <c r="AN224" s="41">
        <v>126.34</v>
      </c>
      <c r="AX224" s="71"/>
      <c r="AY224" s="76"/>
      <c r="AZ224" s="72">
        <v>76.739999999999995</v>
      </c>
    </row>
    <row r="225" spans="35:52" ht="15" thickBot="1" x14ac:dyDescent="0.35">
      <c r="AI225" s="236"/>
      <c r="AJ225" s="237"/>
      <c r="AK225" s="209">
        <v>110.43</v>
      </c>
      <c r="AL225" s="20"/>
      <c r="AM225" s="21"/>
      <c r="AN225" s="41">
        <v>126.34</v>
      </c>
      <c r="AX225" s="71"/>
      <c r="AY225" s="76"/>
      <c r="AZ225" s="72">
        <v>77.069999999999993</v>
      </c>
    </row>
    <row r="226" spans="35:52" ht="15" thickBot="1" x14ac:dyDescent="0.35">
      <c r="AI226" s="236"/>
      <c r="AJ226" s="237"/>
      <c r="AK226" s="209">
        <v>110.44</v>
      </c>
      <c r="AL226" s="20"/>
      <c r="AM226" s="21"/>
      <c r="AN226" s="41">
        <v>126.35</v>
      </c>
      <c r="AX226" s="78"/>
      <c r="AY226" s="76"/>
      <c r="AZ226" s="72">
        <v>76.739999999999995</v>
      </c>
    </row>
    <row r="227" spans="35:52" ht="15" thickBot="1" x14ac:dyDescent="0.35">
      <c r="AI227" s="236"/>
      <c r="AJ227" s="237"/>
      <c r="AK227" s="209">
        <v>110.4</v>
      </c>
      <c r="AL227" s="20"/>
      <c r="AM227" s="21"/>
      <c r="AN227" s="41">
        <v>126.35</v>
      </c>
      <c r="AX227" s="71"/>
      <c r="AY227" s="72"/>
      <c r="AZ227" s="72">
        <v>75.78</v>
      </c>
    </row>
    <row r="228" spans="35:52" ht="15" thickBot="1" x14ac:dyDescent="0.35">
      <c r="AI228" s="236"/>
      <c r="AJ228" s="237"/>
      <c r="AK228" s="209">
        <v>110.42</v>
      </c>
      <c r="AL228" s="20"/>
      <c r="AM228" s="21"/>
      <c r="AN228" s="41">
        <v>126.29</v>
      </c>
      <c r="AX228" s="71"/>
      <c r="AY228" s="76"/>
      <c r="AZ228" s="72">
        <v>74.87</v>
      </c>
    </row>
    <row r="229" spans="35:52" ht="15" thickBot="1" x14ac:dyDescent="0.35">
      <c r="AI229" s="236"/>
      <c r="AJ229" s="237"/>
      <c r="AK229" s="209">
        <v>109.43</v>
      </c>
      <c r="AL229" s="20"/>
      <c r="AM229" s="21"/>
      <c r="AN229" s="41">
        <v>126.32</v>
      </c>
      <c r="AX229" s="78"/>
      <c r="AY229" s="76"/>
      <c r="AZ229" s="72">
        <v>70.849999999999994</v>
      </c>
    </row>
    <row r="230" spans="35:52" ht="15" thickBot="1" x14ac:dyDescent="0.35">
      <c r="AI230" s="236"/>
      <c r="AJ230" s="237"/>
      <c r="AK230" s="209">
        <v>109.42</v>
      </c>
      <c r="AL230" s="20"/>
      <c r="AM230" s="21"/>
      <c r="AN230" s="41">
        <v>126.33</v>
      </c>
      <c r="AX230" s="88"/>
      <c r="AY230" s="93"/>
    </row>
    <row r="231" spans="35:52" ht="15" thickBot="1" x14ac:dyDescent="0.35">
      <c r="AI231" s="236"/>
      <c r="AJ231" s="237"/>
      <c r="AK231" s="209">
        <v>109.42</v>
      </c>
      <c r="AL231" s="20"/>
      <c r="AM231" s="21"/>
      <c r="AN231" s="41">
        <v>126.34</v>
      </c>
    </row>
    <row r="232" spans="35:52" ht="15" thickBot="1" x14ac:dyDescent="0.35">
      <c r="AI232" s="236"/>
      <c r="AJ232" s="237"/>
      <c r="AK232" s="209">
        <v>109.42</v>
      </c>
      <c r="AL232" s="20"/>
      <c r="AM232" s="21"/>
      <c r="AN232" s="41">
        <v>126.34</v>
      </c>
    </row>
    <row r="233" spans="35:52" ht="15" thickBot="1" x14ac:dyDescent="0.35">
      <c r="AI233" s="236"/>
      <c r="AJ233" s="237"/>
      <c r="AK233" s="209">
        <v>109.42</v>
      </c>
      <c r="AL233" s="20"/>
      <c r="AM233" s="21"/>
      <c r="AN233" s="41">
        <v>126.34</v>
      </c>
    </row>
    <row r="234" spans="35:52" ht="15" thickBot="1" x14ac:dyDescent="0.35">
      <c r="AI234" s="236"/>
      <c r="AJ234" s="237"/>
      <c r="AK234" s="209">
        <v>109.42</v>
      </c>
      <c r="AL234" s="20"/>
      <c r="AM234" s="21"/>
      <c r="AN234" s="41">
        <v>126.35</v>
      </c>
    </row>
    <row r="235" spans="35:52" ht="15" thickBot="1" x14ac:dyDescent="0.35">
      <c r="AI235" s="236"/>
      <c r="AJ235" s="237"/>
      <c r="AK235" s="209">
        <v>109.41</v>
      </c>
      <c r="AL235" s="20"/>
      <c r="AM235" s="21"/>
      <c r="AN235" s="41">
        <v>126.39</v>
      </c>
    </row>
    <row r="236" spans="35:52" ht="15" thickBot="1" x14ac:dyDescent="0.35">
      <c r="AI236" s="236"/>
      <c r="AJ236" s="237"/>
      <c r="AK236" s="209">
        <v>109.4</v>
      </c>
      <c r="AL236" s="20"/>
      <c r="AM236" s="21"/>
      <c r="AN236" s="41">
        <v>126.42</v>
      </c>
    </row>
    <row r="237" spans="35:52" ht="15" thickBot="1" x14ac:dyDescent="0.35">
      <c r="AI237" s="236"/>
      <c r="AJ237" s="237"/>
      <c r="AK237" s="209">
        <v>109.4</v>
      </c>
      <c r="AL237" s="20"/>
      <c r="AM237" s="21"/>
      <c r="AN237" s="41">
        <v>126.37</v>
      </c>
    </row>
    <row r="238" spans="35:52" ht="15" thickBot="1" x14ac:dyDescent="0.35">
      <c r="AI238" s="236"/>
      <c r="AJ238" s="237"/>
      <c r="AK238" s="209">
        <v>109.39</v>
      </c>
      <c r="AL238" s="20"/>
      <c r="AM238" s="21"/>
      <c r="AN238" s="41">
        <v>127.77</v>
      </c>
    </row>
    <row r="239" spans="35:52" ht="15" thickBot="1" x14ac:dyDescent="0.35">
      <c r="AI239" s="236"/>
      <c r="AJ239" s="237"/>
      <c r="AK239" s="209">
        <v>109.37</v>
      </c>
      <c r="AL239" s="20"/>
      <c r="AM239" s="21"/>
      <c r="AN239" s="41">
        <v>127.32</v>
      </c>
    </row>
    <row r="240" spans="35:52" ht="15" thickBot="1" x14ac:dyDescent="0.35">
      <c r="AI240" s="236"/>
      <c r="AJ240" s="237"/>
      <c r="AK240" s="209">
        <v>109.38</v>
      </c>
      <c r="AL240" s="20"/>
      <c r="AM240" s="21"/>
      <c r="AN240" s="41">
        <v>128.77000000000001</v>
      </c>
    </row>
    <row r="241" spans="35:40" ht="15" thickBot="1" x14ac:dyDescent="0.35">
      <c r="AI241" s="236"/>
      <c r="AJ241" s="237"/>
      <c r="AK241" s="209">
        <v>109.38</v>
      </c>
      <c r="AL241" s="20"/>
      <c r="AM241" s="21"/>
      <c r="AN241" s="41">
        <v>129.37</v>
      </c>
    </row>
    <row r="242" spans="35:40" ht="15" thickBot="1" x14ac:dyDescent="0.35">
      <c r="AI242" s="236"/>
      <c r="AJ242" s="237"/>
      <c r="AK242" s="209">
        <v>109.3</v>
      </c>
      <c r="AL242" s="20"/>
      <c r="AM242" s="21"/>
      <c r="AN242" s="41">
        <v>129.32</v>
      </c>
    </row>
    <row r="243" spans="35:40" ht="15" thickBot="1" x14ac:dyDescent="0.35">
      <c r="AI243" s="236"/>
      <c r="AJ243" s="237"/>
      <c r="AK243" s="209">
        <v>109.28</v>
      </c>
      <c r="AL243" s="20"/>
      <c r="AM243" s="21"/>
      <c r="AN243" s="41">
        <v>127.28</v>
      </c>
    </row>
    <row r="244" spans="35:40" ht="15" thickBot="1" x14ac:dyDescent="0.35">
      <c r="AI244" s="236"/>
      <c r="AJ244" s="237"/>
      <c r="AK244" s="209">
        <v>109.29</v>
      </c>
      <c r="AL244" s="20"/>
      <c r="AM244" s="21"/>
      <c r="AN244" s="41">
        <v>129.47</v>
      </c>
    </row>
    <row r="245" spans="35:40" ht="15" thickBot="1" x14ac:dyDescent="0.35">
      <c r="AI245" s="236"/>
      <c r="AJ245" s="237"/>
      <c r="AK245" s="209">
        <v>109.29</v>
      </c>
      <c r="AL245" s="20"/>
      <c r="AM245" s="21"/>
      <c r="AN245" s="41">
        <v>128.87</v>
      </c>
    </row>
    <row r="246" spans="35:40" ht="15" thickBot="1" x14ac:dyDescent="0.35">
      <c r="AI246" s="236"/>
      <c r="AJ246" s="237"/>
      <c r="AK246" s="209">
        <v>109.29</v>
      </c>
      <c r="AL246" s="20"/>
      <c r="AM246" s="21"/>
      <c r="AN246" s="41">
        <v>130.02000000000001</v>
      </c>
    </row>
    <row r="247" spans="35:40" ht="15" thickBot="1" x14ac:dyDescent="0.35">
      <c r="AI247" s="236"/>
      <c r="AJ247" s="237"/>
      <c r="AK247" s="209">
        <v>109.28</v>
      </c>
      <c r="AL247" s="20"/>
      <c r="AM247" s="21"/>
      <c r="AN247" s="41">
        <v>134.37</v>
      </c>
    </row>
    <row r="248" spans="35:40" ht="15" thickBot="1" x14ac:dyDescent="0.35">
      <c r="AI248" s="236"/>
      <c r="AJ248" s="237"/>
      <c r="AK248" s="209">
        <v>109.25</v>
      </c>
      <c r="AL248" s="20"/>
      <c r="AM248" s="21"/>
      <c r="AN248" s="41">
        <v>135.57</v>
      </c>
    </row>
    <row r="249" spans="35:40" ht="15" thickBot="1" x14ac:dyDescent="0.35">
      <c r="AI249" s="236"/>
      <c r="AJ249" s="237"/>
      <c r="AK249" s="209">
        <v>109.24</v>
      </c>
      <c r="AL249" s="20"/>
      <c r="AM249" s="21"/>
      <c r="AN249" s="41">
        <v>132.66999999999999</v>
      </c>
    </row>
    <row r="250" spans="35:40" ht="15" thickBot="1" x14ac:dyDescent="0.35">
      <c r="AI250" s="236"/>
      <c r="AJ250" s="237"/>
      <c r="AK250" s="209">
        <v>109.24</v>
      </c>
      <c r="AL250" s="20"/>
      <c r="AM250" s="21"/>
      <c r="AN250" s="41">
        <v>130.97</v>
      </c>
    </row>
    <row r="251" spans="35:40" ht="15" thickBot="1" x14ac:dyDescent="0.35">
      <c r="AI251" s="236"/>
      <c r="AJ251" s="237"/>
      <c r="AK251" s="209">
        <v>109.25</v>
      </c>
      <c r="AL251" s="20"/>
      <c r="AM251" s="21"/>
      <c r="AN251" s="41">
        <v>127.09</v>
      </c>
    </row>
    <row r="252" spans="35:40" ht="15" thickBot="1" x14ac:dyDescent="0.35">
      <c r="AI252" s="236"/>
      <c r="AJ252" s="237"/>
      <c r="AK252" s="209">
        <v>109.26</v>
      </c>
      <c r="AL252" s="20"/>
      <c r="AM252" s="21"/>
      <c r="AN252" s="41">
        <v>127.22</v>
      </c>
    </row>
    <row r="253" spans="35:40" ht="15" thickBot="1" x14ac:dyDescent="0.35">
      <c r="AI253" s="236"/>
      <c r="AJ253" s="237"/>
      <c r="AK253" s="209">
        <v>109.26</v>
      </c>
      <c r="AL253" s="20"/>
      <c r="AM253" s="21"/>
      <c r="AN253" s="41">
        <v>128.01</v>
      </c>
    </row>
    <row r="254" spans="35:40" ht="15" thickBot="1" x14ac:dyDescent="0.35">
      <c r="AI254" s="236"/>
      <c r="AJ254" s="237"/>
      <c r="AK254" s="209">
        <v>109.25</v>
      </c>
      <c r="AL254" s="20"/>
      <c r="AM254" s="21"/>
      <c r="AN254" s="41">
        <v>127.22</v>
      </c>
    </row>
    <row r="255" spans="35:40" ht="15" thickBot="1" x14ac:dyDescent="0.35">
      <c r="AI255" s="236"/>
      <c r="AJ255" s="237"/>
      <c r="AK255" s="209">
        <v>109.25</v>
      </c>
      <c r="AL255" s="20"/>
      <c r="AM255" s="21"/>
      <c r="AN255" s="41">
        <v>126.95</v>
      </c>
    </row>
    <row r="256" spans="35:40" ht="15" thickBot="1" x14ac:dyDescent="0.35">
      <c r="AI256" s="236"/>
      <c r="AJ256" s="237"/>
      <c r="AK256" s="209">
        <v>109.25</v>
      </c>
      <c r="AL256" s="20"/>
      <c r="AM256" s="21"/>
      <c r="AN256" s="41">
        <v>126.7</v>
      </c>
    </row>
    <row r="257" spans="35:40" ht="15" thickBot="1" x14ac:dyDescent="0.35">
      <c r="AI257" s="236"/>
      <c r="AJ257" s="237"/>
      <c r="AK257" s="209">
        <v>109.26</v>
      </c>
      <c r="AL257" s="20"/>
      <c r="AM257" s="21"/>
      <c r="AN257" s="41">
        <v>126.72</v>
      </c>
    </row>
    <row r="258" spans="35:40" ht="15" thickBot="1" x14ac:dyDescent="0.35">
      <c r="AI258" s="236"/>
      <c r="AJ258" s="237"/>
      <c r="AK258" s="209">
        <v>109.23</v>
      </c>
      <c r="AL258" s="20"/>
      <c r="AM258" s="21"/>
      <c r="AN258" s="41">
        <v>125.91</v>
      </c>
    </row>
    <row r="259" spans="35:40" ht="15" thickBot="1" x14ac:dyDescent="0.35">
      <c r="AI259" s="236"/>
      <c r="AJ259" s="237"/>
      <c r="AK259" s="209">
        <v>109.22</v>
      </c>
      <c r="AL259" s="20"/>
      <c r="AM259" s="21"/>
      <c r="AN259" s="41">
        <v>127.03</v>
      </c>
    </row>
    <row r="260" spans="35:40" ht="15" thickBot="1" x14ac:dyDescent="0.35">
      <c r="AI260" s="236"/>
      <c r="AJ260" s="237"/>
      <c r="AK260" s="209">
        <v>109.22</v>
      </c>
      <c r="AL260" s="20"/>
      <c r="AM260" s="21"/>
      <c r="AN260" s="41">
        <v>128.44</v>
      </c>
    </row>
    <row r="261" spans="35:40" ht="15" thickBot="1" x14ac:dyDescent="0.35">
      <c r="AI261" s="236"/>
      <c r="AJ261" s="237"/>
      <c r="AK261" s="209">
        <v>109.22</v>
      </c>
      <c r="AL261" s="20"/>
      <c r="AM261" s="21"/>
      <c r="AN261" s="41">
        <v>127.82</v>
      </c>
    </row>
    <row r="262" spans="35:40" ht="15" thickBot="1" x14ac:dyDescent="0.35">
      <c r="AI262" s="236"/>
      <c r="AJ262" s="237"/>
      <c r="AK262" s="209">
        <v>109.21</v>
      </c>
      <c r="AL262" s="20"/>
      <c r="AM262" s="21"/>
      <c r="AN262" s="41">
        <v>129.37</v>
      </c>
    </row>
    <row r="263" spans="35:40" ht="15" thickBot="1" x14ac:dyDescent="0.35">
      <c r="AI263" s="236"/>
      <c r="AJ263" s="237"/>
      <c r="AK263" s="209">
        <v>109.21</v>
      </c>
      <c r="AL263" s="20"/>
      <c r="AM263" s="21"/>
      <c r="AN263" s="41">
        <v>129.34</v>
      </c>
    </row>
    <row r="264" spans="35:40" ht="15" thickBot="1" x14ac:dyDescent="0.35">
      <c r="AI264" s="236"/>
      <c r="AJ264" s="237"/>
      <c r="AK264" s="209">
        <v>109.19</v>
      </c>
      <c r="AL264" s="20"/>
      <c r="AM264" s="21"/>
      <c r="AN264" s="41">
        <v>131.13</v>
      </c>
    </row>
    <row r="265" spans="35:40" ht="15" thickBot="1" x14ac:dyDescent="0.35">
      <c r="AI265" s="236"/>
      <c r="AJ265" s="237"/>
      <c r="AK265" s="209">
        <v>110.07</v>
      </c>
      <c r="AL265" s="20"/>
      <c r="AM265" s="21"/>
      <c r="AN265" s="41">
        <v>130.16999999999999</v>
      </c>
    </row>
    <row r="266" spans="35:40" ht="15" thickBot="1" x14ac:dyDescent="0.35">
      <c r="AI266" s="236"/>
      <c r="AJ266" s="237"/>
      <c r="AK266" s="209">
        <v>110.28</v>
      </c>
      <c r="AL266" s="20"/>
      <c r="AM266" s="21"/>
      <c r="AN266" s="41">
        <v>127.17</v>
      </c>
    </row>
    <row r="267" spans="35:40" ht="15" thickBot="1" x14ac:dyDescent="0.35">
      <c r="AI267" s="236"/>
      <c r="AJ267" s="237"/>
      <c r="AK267" s="209">
        <v>110.33</v>
      </c>
      <c r="AL267" s="20"/>
      <c r="AM267" s="21"/>
      <c r="AN267" s="41">
        <v>126.45</v>
      </c>
    </row>
    <row r="268" spans="35:40" ht="15" thickBot="1" x14ac:dyDescent="0.35">
      <c r="AI268" s="236"/>
      <c r="AJ268" s="237"/>
      <c r="AK268" s="209">
        <v>110.32</v>
      </c>
      <c r="AL268" s="20"/>
      <c r="AM268" s="21"/>
      <c r="AN268" s="41">
        <v>126.15</v>
      </c>
    </row>
    <row r="269" spans="35:40" ht="15" thickBot="1" x14ac:dyDescent="0.35">
      <c r="AI269" s="236"/>
      <c r="AJ269" s="237"/>
      <c r="AK269" s="209">
        <v>110.32</v>
      </c>
      <c r="AL269" s="20"/>
      <c r="AM269" s="21"/>
      <c r="AN269" s="41">
        <v>126.14</v>
      </c>
    </row>
    <row r="270" spans="35:40" ht="15" thickBot="1" x14ac:dyDescent="0.35">
      <c r="AI270" s="236"/>
      <c r="AJ270" s="237"/>
      <c r="AK270" s="209">
        <v>110.32</v>
      </c>
      <c r="AL270" s="20"/>
      <c r="AM270" s="21"/>
      <c r="AN270" s="41">
        <v>126.07</v>
      </c>
    </row>
    <row r="271" spans="35:40" ht="15" thickBot="1" x14ac:dyDescent="0.35">
      <c r="AI271" s="236"/>
      <c r="AJ271" s="237"/>
      <c r="AK271" s="209">
        <v>110.32</v>
      </c>
      <c r="AL271" s="20"/>
      <c r="AM271" s="21"/>
      <c r="AN271" s="41">
        <v>126.13</v>
      </c>
    </row>
    <row r="272" spans="35:40" ht="15" thickBot="1" x14ac:dyDescent="0.35">
      <c r="AI272" s="236"/>
      <c r="AJ272" s="237"/>
      <c r="AK272" s="209">
        <v>110.37</v>
      </c>
      <c r="AL272" s="20"/>
      <c r="AM272" s="21"/>
      <c r="AN272" s="41">
        <v>125.81</v>
      </c>
    </row>
    <row r="273" spans="35:40" ht="15" thickBot="1" x14ac:dyDescent="0.35">
      <c r="AI273" s="236"/>
      <c r="AJ273" s="237"/>
      <c r="AK273" s="209">
        <v>110.62</v>
      </c>
      <c r="AL273" s="20"/>
      <c r="AM273" s="21"/>
      <c r="AN273" s="41">
        <v>124.41</v>
      </c>
    </row>
    <row r="274" spans="35:40" ht="15" thickBot="1" x14ac:dyDescent="0.35">
      <c r="AI274" s="236"/>
      <c r="AJ274" s="237"/>
      <c r="AK274" s="209">
        <v>110.47</v>
      </c>
      <c r="AL274" s="20"/>
      <c r="AM274" s="21"/>
      <c r="AN274" s="41">
        <v>128.87</v>
      </c>
    </row>
    <row r="275" spans="35:40" ht="15" thickBot="1" x14ac:dyDescent="0.35">
      <c r="AI275" s="236"/>
      <c r="AJ275" s="237"/>
      <c r="AK275" s="209">
        <v>110.28</v>
      </c>
      <c r="AL275" s="20"/>
      <c r="AM275" s="21"/>
      <c r="AN275" s="41">
        <v>125.69</v>
      </c>
    </row>
    <row r="276" spans="35:40" ht="15" thickBot="1" x14ac:dyDescent="0.35">
      <c r="AI276" s="236"/>
      <c r="AJ276" s="237"/>
      <c r="AK276" s="209">
        <v>110.31</v>
      </c>
      <c r="AL276" s="64"/>
      <c r="AM276" s="57"/>
      <c r="AN276" s="65">
        <v>125.49</v>
      </c>
    </row>
    <row r="277" spans="35:40" ht="15" thickBot="1" x14ac:dyDescent="0.35">
      <c r="AI277" s="236"/>
      <c r="AJ277" s="237"/>
      <c r="AK277" s="209">
        <v>110.1</v>
      </c>
      <c r="AL277" s="20"/>
      <c r="AM277" s="21"/>
      <c r="AN277" s="41">
        <v>125.32</v>
      </c>
    </row>
    <row r="278" spans="35:40" ht="15" thickBot="1" x14ac:dyDescent="0.35">
      <c r="AI278" s="236"/>
      <c r="AJ278" s="237"/>
      <c r="AK278" s="209">
        <v>109.74</v>
      </c>
      <c r="AL278" s="20"/>
      <c r="AM278" s="21"/>
      <c r="AN278" s="41">
        <v>125.25</v>
      </c>
    </row>
    <row r="279" spans="35:40" ht="15" thickBot="1" x14ac:dyDescent="0.35">
      <c r="AI279" s="236"/>
      <c r="AJ279" s="237"/>
      <c r="AK279" s="209">
        <v>109.67</v>
      </c>
      <c r="AL279" s="20"/>
      <c r="AM279" s="21"/>
      <c r="AN279" s="41">
        <v>125.15</v>
      </c>
    </row>
    <row r="280" spans="35:40" ht="15" thickBot="1" x14ac:dyDescent="0.35">
      <c r="AI280" s="236"/>
      <c r="AJ280" s="237"/>
      <c r="AK280" s="209">
        <v>109.2</v>
      </c>
      <c r="AL280" s="20"/>
      <c r="AM280" s="21"/>
      <c r="AN280" s="41">
        <v>124.89</v>
      </c>
    </row>
    <row r="281" spans="35:40" ht="15" thickBot="1" x14ac:dyDescent="0.35">
      <c r="AI281" s="236"/>
      <c r="AJ281" s="237"/>
      <c r="AK281" s="209">
        <v>109.21</v>
      </c>
      <c r="AL281" s="20"/>
      <c r="AM281" s="21"/>
      <c r="AN281" s="41">
        <v>122.96</v>
      </c>
    </row>
    <row r="282" spans="35:40" ht="15" thickBot="1" x14ac:dyDescent="0.35">
      <c r="AI282" s="236"/>
      <c r="AJ282" s="237"/>
      <c r="AK282" s="209">
        <v>109.12</v>
      </c>
      <c r="AL282" s="20"/>
      <c r="AM282" s="21"/>
      <c r="AN282" s="41">
        <v>124.2</v>
      </c>
    </row>
    <row r="283" spans="35:40" ht="15" thickBot="1" x14ac:dyDescent="0.35">
      <c r="AI283" s="236"/>
      <c r="AJ283" s="237"/>
      <c r="AK283" s="209">
        <v>108.81</v>
      </c>
      <c r="AL283" s="20"/>
      <c r="AM283" s="21"/>
      <c r="AN283" s="41">
        <v>124.54</v>
      </c>
    </row>
    <row r="284" spans="35:40" ht="15" thickBot="1" x14ac:dyDescent="0.35">
      <c r="AI284" s="236"/>
      <c r="AJ284" s="237"/>
      <c r="AK284" s="209">
        <v>108.86</v>
      </c>
      <c r="AL284" s="20"/>
      <c r="AM284" s="21"/>
      <c r="AN284" s="41">
        <v>124.29</v>
      </c>
    </row>
    <row r="285" spans="35:40" ht="15" thickBot="1" x14ac:dyDescent="0.35">
      <c r="AI285" s="236"/>
      <c r="AJ285" s="237"/>
      <c r="AK285" s="209">
        <v>108.52</v>
      </c>
      <c r="AL285" s="20"/>
      <c r="AM285" s="21"/>
      <c r="AN285" s="41">
        <v>124.44</v>
      </c>
    </row>
    <row r="286" spans="35:40" ht="15" thickBot="1" x14ac:dyDescent="0.35">
      <c r="AI286" s="236"/>
      <c r="AJ286" s="237"/>
      <c r="AK286" s="209">
        <v>108.47</v>
      </c>
      <c r="AL286" s="20"/>
      <c r="AM286" s="21"/>
      <c r="AN286" s="41">
        <v>124.15</v>
      </c>
    </row>
    <row r="287" spans="35:40" ht="15" thickBot="1" x14ac:dyDescent="0.35">
      <c r="AI287" s="236"/>
      <c r="AJ287" s="237"/>
      <c r="AK287" s="209">
        <v>108.27</v>
      </c>
      <c r="AL287" s="20"/>
      <c r="AM287" s="21"/>
      <c r="AN287" s="41">
        <v>123.95</v>
      </c>
    </row>
    <row r="288" spans="35:40" ht="15" thickBot="1" x14ac:dyDescent="0.35">
      <c r="AI288" s="236"/>
      <c r="AJ288" s="237"/>
      <c r="AK288" s="209">
        <v>108.45</v>
      </c>
      <c r="AL288" s="20"/>
      <c r="AM288" s="21"/>
      <c r="AN288" s="41">
        <v>123.86</v>
      </c>
    </row>
    <row r="289" spans="35:40" ht="15" thickBot="1" x14ac:dyDescent="0.35">
      <c r="AI289" s="244"/>
      <c r="AJ289" s="245"/>
      <c r="AK289" s="21">
        <v>107.82</v>
      </c>
      <c r="AL289" s="20"/>
      <c r="AM289" s="21"/>
      <c r="AN289" s="41">
        <v>123.74</v>
      </c>
    </row>
    <row r="290" spans="35:40" ht="15" thickBot="1" x14ac:dyDescent="0.35">
      <c r="AI290" s="48"/>
      <c r="AJ290" s="49"/>
      <c r="AK290" s="21">
        <v>107.59</v>
      </c>
      <c r="AL290" s="20"/>
      <c r="AM290" s="21"/>
      <c r="AN290" s="41">
        <v>123.55</v>
      </c>
    </row>
    <row r="291" spans="35:40" ht="15" thickBot="1" x14ac:dyDescent="0.35">
      <c r="AI291" s="48"/>
      <c r="AJ291" s="49"/>
      <c r="AK291" s="21">
        <v>107.47</v>
      </c>
      <c r="AL291" s="20"/>
      <c r="AM291" s="21"/>
      <c r="AN291" s="41">
        <v>122.98</v>
      </c>
    </row>
    <row r="292" spans="35:40" ht="15" thickBot="1" x14ac:dyDescent="0.35">
      <c r="AI292" s="48"/>
      <c r="AJ292" s="49"/>
      <c r="AK292" s="21">
        <v>107.38</v>
      </c>
      <c r="AL292" s="20"/>
      <c r="AM292" s="21"/>
      <c r="AN292" s="41">
        <v>123.24</v>
      </c>
    </row>
    <row r="293" spans="35:40" ht="15" thickBot="1" x14ac:dyDescent="0.35">
      <c r="AI293" s="48"/>
      <c r="AJ293" s="49"/>
      <c r="AK293" s="21">
        <v>107.2</v>
      </c>
      <c r="AL293" s="20"/>
      <c r="AM293" s="21"/>
      <c r="AN293" s="41">
        <v>123.01</v>
      </c>
    </row>
    <row r="294" spans="35:40" ht="15" thickBot="1" x14ac:dyDescent="0.35">
      <c r="AI294" s="48"/>
      <c r="AJ294" s="49"/>
      <c r="AK294" s="21">
        <v>106.89</v>
      </c>
      <c r="AL294" s="20"/>
      <c r="AM294" s="21"/>
      <c r="AN294" s="41">
        <v>123.06</v>
      </c>
    </row>
    <row r="295" spans="35:40" ht="15" thickBot="1" x14ac:dyDescent="0.35">
      <c r="AI295" s="48"/>
      <c r="AJ295" s="49"/>
      <c r="AK295" s="21">
        <v>106.61</v>
      </c>
      <c r="AL295" s="20"/>
      <c r="AM295" s="21"/>
      <c r="AN295" s="41">
        <v>122.91</v>
      </c>
    </row>
    <row r="296" spans="35:40" ht="15" thickBot="1" x14ac:dyDescent="0.35">
      <c r="AI296" s="48"/>
      <c r="AJ296" s="49"/>
      <c r="AK296" s="21">
        <v>106.2</v>
      </c>
      <c r="AL296" s="20"/>
      <c r="AM296" s="21"/>
      <c r="AN296" s="41">
        <v>122.17</v>
      </c>
    </row>
    <row r="297" spans="35:40" ht="15" thickBot="1" x14ac:dyDescent="0.35">
      <c r="AI297" s="48"/>
      <c r="AJ297" s="49"/>
      <c r="AK297" s="21">
        <v>106.04</v>
      </c>
      <c r="AL297" s="40"/>
      <c r="AM297" s="21"/>
      <c r="AN297" s="41">
        <v>119.21</v>
      </c>
    </row>
    <row r="298" spans="35:40" ht="15" thickBot="1" x14ac:dyDescent="0.35">
      <c r="AI298" s="48"/>
      <c r="AJ298" s="49"/>
      <c r="AK298" s="21">
        <v>105.94</v>
      </c>
      <c r="AL298" s="40"/>
      <c r="AM298" s="21"/>
      <c r="AN298" s="41">
        <v>120.16</v>
      </c>
    </row>
    <row r="299" spans="35:40" ht="15" thickBot="1" x14ac:dyDescent="0.35">
      <c r="AI299" s="48"/>
      <c r="AJ299" s="49"/>
      <c r="AK299" s="21">
        <v>105.76</v>
      </c>
      <c r="AL299" s="20"/>
      <c r="AM299" s="21"/>
      <c r="AN299" s="41">
        <v>120.37</v>
      </c>
    </row>
    <row r="300" spans="35:40" ht="15" thickBot="1" x14ac:dyDescent="0.35">
      <c r="AI300" s="48"/>
      <c r="AJ300" s="49"/>
      <c r="AK300" s="21">
        <v>105.62</v>
      </c>
      <c r="AL300" s="20"/>
      <c r="AM300" s="21"/>
      <c r="AN300" s="41">
        <v>120.67</v>
      </c>
    </row>
    <row r="301" spans="35:40" ht="15" thickBot="1" x14ac:dyDescent="0.35">
      <c r="AI301" s="48"/>
      <c r="AJ301" s="49"/>
      <c r="AK301" s="21">
        <v>105.42</v>
      </c>
      <c r="AL301" s="20"/>
      <c r="AM301" s="21"/>
      <c r="AN301" s="41"/>
    </row>
    <row r="302" spans="35:40" ht="15" thickBot="1" x14ac:dyDescent="0.35">
      <c r="AI302" s="48"/>
      <c r="AJ302" s="49"/>
      <c r="AK302" s="21">
        <v>105.23</v>
      </c>
      <c r="AL302" s="40"/>
      <c r="AM302" s="21"/>
      <c r="AN302" s="41"/>
    </row>
    <row r="303" spans="35:40" ht="15" thickBot="1" x14ac:dyDescent="0.35">
      <c r="AI303" s="48"/>
      <c r="AJ303" s="49"/>
      <c r="AK303" s="21">
        <v>104.94</v>
      </c>
      <c r="AL303" s="20"/>
      <c r="AM303" s="21"/>
      <c r="AN303" s="41"/>
    </row>
    <row r="304" spans="35:40" ht="15" thickBot="1" x14ac:dyDescent="0.35">
      <c r="AI304" s="48"/>
      <c r="AJ304" s="49"/>
      <c r="AK304" s="21">
        <v>104.52</v>
      </c>
      <c r="AL304" s="40"/>
      <c r="AM304" s="21"/>
      <c r="AN304" s="41"/>
    </row>
    <row r="305" spans="35:40" ht="15" thickBot="1" x14ac:dyDescent="0.35">
      <c r="AI305" s="48"/>
      <c r="AJ305" s="49"/>
      <c r="AK305" s="21">
        <v>104.22</v>
      </c>
      <c r="AL305" s="40"/>
      <c r="AM305" s="21"/>
      <c r="AN305" s="41"/>
    </row>
    <row r="306" spans="35:40" ht="15" thickBot="1" x14ac:dyDescent="0.35">
      <c r="AI306" s="48"/>
      <c r="AJ306" s="49"/>
      <c r="AK306" s="21">
        <v>104.02</v>
      </c>
      <c r="AL306" s="20"/>
      <c r="AM306" s="21"/>
      <c r="AN306" s="41"/>
    </row>
    <row r="307" spans="35:40" ht="15" thickBot="1" x14ac:dyDescent="0.35">
      <c r="AI307" s="48"/>
      <c r="AJ307" s="49"/>
      <c r="AK307" s="21">
        <v>103.91</v>
      </c>
      <c r="AL307" s="40"/>
      <c r="AM307" s="21"/>
      <c r="AN307" s="41"/>
    </row>
    <row r="308" spans="35:40" ht="15" thickBot="1" x14ac:dyDescent="0.35">
      <c r="AI308" s="48"/>
      <c r="AJ308" s="49"/>
      <c r="AK308" s="21">
        <v>103.8</v>
      </c>
      <c r="AL308" s="40"/>
      <c r="AM308" s="21"/>
      <c r="AN308" s="41"/>
    </row>
    <row r="309" spans="35:40" ht="15" thickBot="1" x14ac:dyDescent="0.35">
      <c r="AI309" s="48"/>
      <c r="AJ309" s="49"/>
      <c r="AK309" s="21">
        <v>103.52</v>
      </c>
      <c r="AL309" s="20"/>
      <c r="AM309" s="21"/>
      <c r="AN309" s="41"/>
    </row>
    <row r="310" spans="35:40" ht="15" thickBot="1" x14ac:dyDescent="0.35">
      <c r="AI310" s="48"/>
      <c r="AJ310" s="49"/>
      <c r="AK310" s="21">
        <v>103.02</v>
      </c>
      <c r="AL310" s="63"/>
      <c r="AM310" s="56"/>
      <c r="AN310" s="57"/>
    </row>
    <row r="311" spans="35:40" ht="15" thickBot="1" x14ac:dyDescent="0.35">
      <c r="AI311" s="48"/>
      <c r="AJ311" s="49"/>
      <c r="AK311" s="21">
        <v>102.69</v>
      </c>
      <c r="AL311" s="63"/>
      <c r="AM311" s="56"/>
      <c r="AN311" s="57"/>
    </row>
    <row r="312" spans="35:40" ht="15" thickBot="1" x14ac:dyDescent="0.35">
      <c r="AI312" s="48"/>
      <c r="AJ312" s="49"/>
      <c r="AK312" s="21">
        <v>102.06</v>
      </c>
      <c r="AL312" s="63"/>
      <c r="AM312" s="56"/>
      <c r="AN312" s="57"/>
    </row>
    <row r="313" spans="35:40" ht="15" thickBot="1" x14ac:dyDescent="0.35">
      <c r="AI313" s="48"/>
      <c r="AJ313" s="49"/>
      <c r="AK313" s="21">
        <v>101.93</v>
      </c>
      <c r="AL313" s="63"/>
      <c r="AM313" s="56"/>
      <c r="AN313" s="57"/>
    </row>
    <row r="314" spans="35:40" ht="15" thickBot="1" x14ac:dyDescent="0.35">
      <c r="AI314" s="48"/>
      <c r="AJ314" s="49"/>
      <c r="AK314" s="21">
        <v>101.63</v>
      </c>
      <c r="AL314" s="63"/>
      <c r="AM314" s="56"/>
      <c r="AN314" s="57"/>
    </row>
    <row r="315" spans="35:40" ht="15" thickBot="1" x14ac:dyDescent="0.35">
      <c r="AI315" s="58"/>
      <c r="AJ315" s="59"/>
      <c r="AK315" s="60">
        <v>105.62</v>
      </c>
      <c r="AL315" s="63"/>
      <c r="AM315" s="56"/>
      <c r="AN315" s="57"/>
    </row>
    <row r="316" spans="35:40" ht="15" thickBot="1" x14ac:dyDescent="0.35">
      <c r="AI316" s="58"/>
      <c r="AJ316" s="59"/>
      <c r="AK316" s="60">
        <v>105.42</v>
      </c>
      <c r="AL316" s="63"/>
      <c r="AM316" s="45"/>
      <c r="AN316" s="45"/>
    </row>
    <row r="317" spans="35:40" ht="15" thickBot="1" x14ac:dyDescent="0.35">
      <c r="AI317" s="58"/>
      <c r="AJ317" s="59"/>
      <c r="AK317" s="60">
        <v>105.23</v>
      </c>
      <c r="AL317" s="63"/>
      <c r="AM317" s="56"/>
      <c r="AN317" s="57"/>
    </row>
    <row r="318" spans="35:40" ht="15" thickBot="1" x14ac:dyDescent="0.35">
      <c r="AI318" s="58"/>
      <c r="AJ318" s="59"/>
      <c r="AK318" s="60">
        <v>104.94</v>
      </c>
      <c r="AL318" s="63"/>
      <c r="AM318" s="56"/>
      <c r="AN318" s="57"/>
    </row>
    <row r="319" spans="35:40" ht="15" thickBot="1" x14ac:dyDescent="0.35">
      <c r="AI319" s="58"/>
      <c r="AJ319" s="59"/>
      <c r="AK319" s="60">
        <v>104.52</v>
      </c>
      <c r="AL319" s="63"/>
      <c r="AM319" s="56"/>
      <c r="AN319" s="57"/>
    </row>
    <row r="320" spans="35:40" ht="15" thickBot="1" x14ac:dyDescent="0.35">
      <c r="AI320" s="58"/>
      <c r="AJ320" s="59"/>
      <c r="AK320" s="60">
        <v>104.22</v>
      </c>
      <c r="AL320" s="63"/>
      <c r="AM320" s="56"/>
      <c r="AN320" s="57"/>
    </row>
    <row r="321" spans="35:40" ht="15" thickBot="1" x14ac:dyDescent="0.35">
      <c r="AI321" s="58"/>
      <c r="AJ321" s="59"/>
      <c r="AK321" s="60">
        <v>102.82</v>
      </c>
      <c r="AL321" s="63"/>
      <c r="AM321" s="56"/>
      <c r="AN321" s="57"/>
    </row>
    <row r="322" spans="35:40" ht="15" thickBot="1" x14ac:dyDescent="0.35">
      <c r="AI322" s="58"/>
      <c r="AJ322" s="61"/>
      <c r="AK322" s="62">
        <v>201.62</v>
      </c>
      <c r="AL322" s="63"/>
      <c r="AM322" s="56"/>
      <c r="AN322" s="57"/>
    </row>
    <row r="323" spans="35:40" ht="15" thickBot="1" x14ac:dyDescent="0.35">
      <c r="AI323" s="58"/>
      <c r="AJ323" s="59"/>
      <c r="AK323" s="60">
        <v>103.01</v>
      </c>
      <c r="AL323" s="55"/>
      <c r="AM323" s="56"/>
      <c r="AN323" s="57"/>
    </row>
    <row r="324" spans="35:40" ht="15" thickBot="1" x14ac:dyDescent="0.35">
      <c r="AI324" s="58"/>
      <c r="AJ324" s="59"/>
      <c r="AK324" s="60">
        <v>103.52</v>
      </c>
      <c r="AL324" s="63"/>
      <c r="AM324" s="56"/>
      <c r="AN324" s="57"/>
    </row>
    <row r="325" spans="35:40" ht="15" thickBot="1" x14ac:dyDescent="0.35">
      <c r="AI325" s="58"/>
      <c r="AJ325" s="59"/>
      <c r="AK325" s="60">
        <v>103.19</v>
      </c>
      <c r="AL325" s="63"/>
      <c r="AM325" s="56"/>
      <c r="AN325" s="57"/>
    </row>
    <row r="326" spans="35:40" ht="15" thickBot="1" x14ac:dyDescent="0.35">
      <c r="AI326" s="58"/>
      <c r="AJ326" s="59"/>
      <c r="AK326" s="60">
        <v>102.69</v>
      </c>
      <c r="AL326" s="63"/>
      <c r="AM326" s="56"/>
      <c r="AN326" s="57"/>
    </row>
    <row r="327" spans="35:40" ht="15" thickBot="1" x14ac:dyDescent="0.35">
      <c r="AI327" s="58"/>
      <c r="AJ327" s="59"/>
      <c r="AK327" s="60">
        <v>102.06</v>
      </c>
      <c r="AL327" s="63"/>
      <c r="AM327" s="56"/>
      <c r="AN327" s="57"/>
    </row>
    <row r="328" spans="35:40" ht="15" thickBot="1" x14ac:dyDescent="0.35">
      <c r="AI328" s="58"/>
      <c r="AJ328" s="59"/>
      <c r="AK328" s="60">
        <v>101.93</v>
      </c>
      <c r="AL328" s="63"/>
      <c r="AM328" s="56"/>
      <c r="AN328" s="57"/>
    </row>
    <row r="329" spans="35:40" ht="15" thickBot="1" x14ac:dyDescent="0.35">
      <c r="AI329" s="48"/>
      <c r="AJ329" s="49"/>
      <c r="AK329" s="21">
        <v>101.63</v>
      </c>
      <c r="AL329" s="63"/>
      <c r="AM329" s="56"/>
      <c r="AN329" s="57"/>
    </row>
    <row r="330" spans="35:40" ht="15" thickBot="1" x14ac:dyDescent="0.35">
      <c r="AI330" s="50"/>
      <c r="AJ330" s="49"/>
      <c r="AK330" s="21">
        <v>101.17</v>
      </c>
      <c r="AL330" s="63"/>
      <c r="AM330" s="56"/>
      <c r="AN330" s="57"/>
    </row>
    <row r="331" spans="35:40" ht="15" thickBot="1" x14ac:dyDescent="0.35">
      <c r="AI331" s="50"/>
      <c r="AJ331" s="49"/>
      <c r="AK331" s="21">
        <v>100.59</v>
      </c>
      <c r="AL331" s="64"/>
      <c r="AM331" s="56"/>
      <c r="AN331" s="57"/>
    </row>
    <row r="332" spans="35:40" ht="15" thickBot="1" x14ac:dyDescent="0.35">
      <c r="AI332" s="50"/>
      <c r="AJ332" s="49"/>
      <c r="AK332" s="21">
        <v>100.83</v>
      </c>
      <c r="AL332" s="64"/>
      <c r="AM332" s="56"/>
      <c r="AN332" s="57"/>
    </row>
    <row r="333" spans="35:40" ht="15" thickBot="1" x14ac:dyDescent="0.35">
      <c r="AI333" s="50"/>
      <c r="AJ333" s="49"/>
      <c r="AK333" s="21">
        <v>99.88</v>
      </c>
      <c r="AL333" s="55"/>
      <c r="AM333" s="56"/>
      <c r="AN333" s="57"/>
    </row>
    <row r="334" spans="35:40" ht="15" thickBot="1" x14ac:dyDescent="0.35">
      <c r="AI334" s="50"/>
      <c r="AJ334" s="49"/>
      <c r="AK334" s="21">
        <v>99.77</v>
      </c>
      <c r="AL334" s="66"/>
      <c r="AM334" s="67"/>
      <c r="AN334" s="57"/>
    </row>
    <row r="335" spans="35:40" ht="15" thickBot="1" x14ac:dyDescent="0.35">
      <c r="AI335" s="50"/>
      <c r="AJ335" s="49"/>
      <c r="AK335" s="21">
        <v>99.43</v>
      </c>
      <c r="AL335" s="64"/>
      <c r="AM335" s="56"/>
      <c r="AN335" s="57"/>
    </row>
    <row r="336" spans="35:40" ht="15" thickBot="1" x14ac:dyDescent="0.35">
      <c r="AI336" s="50"/>
      <c r="AJ336" s="49"/>
      <c r="AK336" s="21">
        <v>98.54</v>
      </c>
      <c r="AL336" s="55"/>
      <c r="AM336" s="56"/>
      <c r="AN336" s="57"/>
    </row>
    <row r="337" spans="35:40" ht="15" thickBot="1" x14ac:dyDescent="0.35">
      <c r="AI337" s="20"/>
      <c r="AJ337" s="49"/>
      <c r="AK337" s="21">
        <v>97.72</v>
      </c>
      <c r="AL337" s="55"/>
      <c r="AM337" s="56"/>
      <c r="AN337" s="57"/>
    </row>
    <row r="338" spans="35:40" ht="15" thickBot="1" x14ac:dyDescent="0.35">
      <c r="AI338" s="20"/>
      <c r="AJ338" s="49"/>
      <c r="AK338" s="21">
        <v>95.86</v>
      </c>
      <c r="AL338" s="64"/>
      <c r="AM338" s="56"/>
      <c r="AN338" s="57"/>
    </row>
    <row r="339" spans="35:40" ht="15" thickBot="1" x14ac:dyDescent="0.35">
      <c r="AI339" s="48"/>
      <c r="AJ339" s="49"/>
      <c r="AK339" s="21">
        <v>96.24</v>
      </c>
      <c r="AL339" s="64"/>
      <c r="AM339" s="56"/>
      <c r="AN339" s="57"/>
    </row>
    <row r="340" spans="35:40" ht="15" thickBot="1" x14ac:dyDescent="0.35">
      <c r="AI340" s="52"/>
      <c r="AJ340" s="53"/>
      <c r="AK340" s="21">
        <v>94.3</v>
      </c>
      <c r="AL340" s="64"/>
      <c r="AM340" s="68"/>
      <c r="AN340" s="57"/>
    </row>
    <row r="341" spans="35:40" ht="15" thickBot="1" x14ac:dyDescent="0.35">
      <c r="AI341" s="20"/>
      <c r="AJ341" s="49"/>
      <c r="AK341" s="21">
        <v>92.26</v>
      </c>
      <c r="AL341" s="55"/>
      <c r="AM341" s="57"/>
      <c r="AN341" s="57"/>
    </row>
    <row r="342" spans="35:40" ht="15" thickBot="1" x14ac:dyDescent="0.35">
      <c r="AI342" s="48"/>
      <c r="AJ342" s="49"/>
      <c r="AK342" s="21">
        <v>92.26</v>
      </c>
      <c r="AL342" s="64"/>
      <c r="AM342" s="56"/>
      <c r="AN342" s="57"/>
    </row>
    <row r="343" spans="35:40" ht="15" thickBot="1" x14ac:dyDescent="0.35">
      <c r="AI343" s="48"/>
      <c r="AJ343" s="49"/>
      <c r="AK343" s="21">
        <v>93.02</v>
      </c>
      <c r="AL343" s="64"/>
      <c r="AM343" s="57"/>
      <c r="AN343" s="57"/>
    </row>
    <row r="344" spans="35:40" ht="15" thickBot="1" x14ac:dyDescent="0.35">
      <c r="AI344" s="20"/>
      <c r="AJ344" s="49"/>
      <c r="AK344" s="21">
        <v>91.45</v>
      </c>
      <c r="AL344" s="55"/>
      <c r="AM344" s="56"/>
      <c r="AN344" s="57"/>
    </row>
    <row r="345" spans="35:40" ht="15" thickBot="1" x14ac:dyDescent="0.35">
      <c r="AI345" s="20"/>
      <c r="AJ345" s="49"/>
      <c r="AK345" s="21">
        <v>91.21</v>
      </c>
      <c r="AL345" s="88">
        <v>45627</v>
      </c>
    </row>
    <row r="346" spans="35:40" ht="15" thickBot="1" x14ac:dyDescent="0.35">
      <c r="AI346" s="20"/>
      <c r="AJ346" s="54"/>
      <c r="AK346" s="21">
        <v>91.29</v>
      </c>
    </row>
    <row r="347" spans="35:40" ht="15" thickBot="1" x14ac:dyDescent="0.35">
      <c r="AI347" s="48"/>
      <c r="AJ347" s="21"/>
      <c r="AK347" s="21">
        <v>91.13</v>
      </c>
    </row>
    <row r="348" spans="35:40" ht="15" thickBot="1" x14ac:dyDescent="0.35">
      <c r="AI348" s="20"/>
      <c r="AJ348" s="49"/>
      <c r="AK348" s="21">
        <v>91.39</v>
      </c>
    </row>
    <row r="349" spans="35:40" ht="15" thickBot="1" x14ac:dyDescent="0.35">
      <c r="AI349" s="20"/>
      <c r="AJ349" s="21"/>
      <c r="AK349" s="21">
        <v>91.12</v>
      </c>
    </row>
    <row r="350" spans="35:40" ht="15" thickBot="1" x14ac:dyDescent="0.35">
      <c r="AI350" s="48"/>
      <c r="AJ350" s="49"/>
      <c r="AK350" s="21">
        <v>90.84</v>
      </c>
    </row>
    <row r="351" spans="35:40" x14ac:dyDescent="0.3">
      <c r="AI351" s="88"/>
    </row>
    <row r="352" spans="35:40" x14ac:dyDescent="0.3">
      <c r="AI352" s="88"/>
    </row>
    <row r="353" spans="35:35" x14ac:dyDescent="0.3">
      <c r="AI353" s="88"/>
    </row>
    <row r="354" spans="35:35" x14ac:dyDescent="0.3">
      <c r="AI354" s="88"/>
    </row>
  </sheetData>
  <mergeCells count="21">
    <mergeCell ref="AI1:AK1"/>
    <mergeCell ref="A1:C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BD1:BF1"/>
    <mergeCell ref="BG1:BI1"/>
    <mergeCell ref="BJ1:BL1"/>
    <mergeCell ref="AL1:AN1"/>
    <mergeCell ref="AO1:AQ1"/>
    <mergeCell ref="AR1:AT1"/>
    <mergeCell ref="AU1:AW1"/>
    <mergeCell ref="AX1:AZ1"/>
    <mergeCell ref="BA1:BC1"/>
  </mergeCells>
  <phoneticPr fontId="2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D73A-6BCC-4A08-92A7-31C0E0112B0A}">
  <dimension ref="A1:AY203"/>
  <sheetViews>
    <sheetView topLeftCell="M54" workbookViewId="0">
      <selection activeCell="T138" sqref="T137:T138"/>
    </sheetView>
  </sheetViews>
  <sheetFormatPr baseColWidth="10" defaultRowHeight="14.4" x14ac:dyDescent="0.3"/>
  <sheetData>
    <row r="1" spans="1:51" s="176" customFormat="1" x14ac:dyDescent="0.3">
      <c r="A1" s="527" t="s">
        <v>0</v>
      </c>
      <c r="B1" s="527"/>
      <c r="C1" s="527"/>
      <c r="D1" s="527" t="s">
        <v>4</v>
      </c>
      <c r="E1" s="527"/>
      <c r="F1" s="527"/>
      <c r="G1" s="527" t="s">
        <v>6</v>
      </c>
      <c r="H1" s="527"/>
      <c r="I1" s="527"/>
      <c r="J1" s="528" t="s">
        <v>20</v>
      </c>
      <c r="K1" s="528"/>
      <c r="L1" s="528"/>
      <c r="M1" s="527" t="s">
        <v>7</v>
      </c>
      <c r="N1" s="527"/>
      <c r="O1" s="527"/>
      <c r="P1" s="527" t="s">
        <v>21</v>
      </c>
      <c r="Q1" s="527"/>
      <c r="R1" s="527"/>
      <c r="S1" s="528" t="s">
        <v>8</v>
      </c>
      <c r="T1" s="528"/>
      <c r="U1" s="528"/>
      <c r="V1" s="527" t="s">
        <v>9</v>
      </c>
      <c r="W1" s="527"/>
      <c r="X1" s="527"/>
      <c r="Y1" s="527" t="s">
        <v>10</v>
      </c>
      <c r="Z1" s="527"/>
      <c r="AA1" s="527"/>
      <c r="AB1" s="527" t="s">
        <v>11</v>
      </c>
      <c r="AC1" s="527"/>
      <c r="AD1" s="527"/>
      <c r="AE1" s="527" t="s">
        <v>12</v>
      </c>
      <c r="AF1" s="527"/>
      <c r="AG1" s="527"/>
      <c r="AH1" s="527" t="s">
        <v>13</v>
      </c>
      <c r="AI1" s="527"/>
      <c r="AJ1" s="527"/>
      <c r="AK1" s="527" t="s">
        <v>14</v>
      </c>
      <c r="AL1" s="527"/>
      <c r="AM1" s="527"/>
      <c r="AN1" s="527" t="s">
        <v>17</v>
      </c>
      <c r="AO1" s="527"/>
      <c r="AP1" s="527"/>
      <c r="AQ1" s="527" t="s">
        <v>18</v>
      </c>
      <c r="AR1" s="527"/>
      <c r="AS1" s="527"/>
      <c r="AT1" s="527" t="s">
        <v>19</v>
      </c>
      <c r="AU1" s="527"/>
      <c r="AV1" s="527"/>
      <c r="AW1" s="527" t="s">
        <v>24</v>
      </c>
      <c r="AX1" s="527"/>
      <c r="AY1" s="527"/>
    </row>
    <row r="2" spans="1:51" ht="28.8" x14ac:dyDescent="0.3">
      <c r="A2" s="465" t="s">
        <v>1</v>
      </c>
      <c r="B2" s="465" t="s">
        <v>2</v>
      </c>
      <c r="C2" s="462" t="s">
        <v>59</v>
      </c>
      <c r="D2" s="463" t="s">
        <v>1</v>
      </c>
      <c r="E2" s="464" t="s">
        <v>2</v>
      </c>
      <c r="F2" s="462" t="s">
        <v>59</v>
      </c>
      <c r="G2" s="460" t="s">
        <v>1</v>
      </c>
      <c r="H2" s="461" t="s">
        <v>2</v>
      </c>
      <c r="I2" s="462" t="s">
        <v>59</v>
      </c>
      <c r="J2" s="103" t="s">
        <v>1</v>
      </c>
      <c r="K2" s="95" t="s">
        <v>2</v>
      </c>
      <c r="L2" s="95" t="s">
        <v>59</v>
      </c>
      <c r="M2" s="95" t="s">
        <v>1</v>
      </c>
      <c r="N2" s="95" t="s">
        <v>2</v>
      </c>
      <c r="O2" s="95" t="s">
        <v>59</v>
      </c>
      <c r="P2" s="466" t="s">
        <v>1</v>
      </c>
      <c r="Q2" s="464" t="s">
        <v>2</v>
      </c>
      <c r="R2" s="462" t="s">
        <v>59</v>
      </c>
      <c r="S2" s="467" t="s">
        <v>1</v>
      </c>
      <c r="T2" s="468" t="s">
        <v>2</v>
      </c>
      <c r="U2" s="462" t="s">
        <v>59</v>
      </c>
      <c r="V2" s="342" t="s">
        <v>1</v>
      </c>
      <c r="W2" s="231" t="s">
        <v>2</v>
      </c>
      <c r="X2" s="231" t="s">
        <v>59</v>
      </c>
      <c r="Y2" s="347" t="s">
        <v>1</v>
      </c>
      <c r="Z2" s="348" t="s">
        <v>2</v>
      </c>
      <c r="AA2" s="348" t="s">
        <v>59</v>
      </c>
      <c r="AB2" s="412" t="s">
        <v>1</v>
      </c>
      <c r="AC2" s="272" t="s">
        <v>2</v>
      </c>
      <c r="AD2" s="348" t="s">
        <v>60</v>
      </c>
      <c r="AE2" s="462" t="s">
        <v>1</v>
      </c>
      <c r="AF2" s="462" t="s">
        <v>2</v>
      </c>
      <c r="AG2" s="429" t="s">
        <v>59</v>
      </c>
      <c r="AH2" s="95" t="s">
        <v>1</v>
      </c>
      <c r="AI2" s="95" t="s">
        <v>2</v>
      </c>
      <c r="AJ2" s="435" t="s">
        <v>59</v>
      </c>
      <c r="AK2" s="412" t="s">
        <v>1</v>
      </c>
      <c r="AL2" s="163" t="s">
        <v>2</v>
      </c>
      <c r="AM2" s="95" t="s">
        <v>59</v>
      </c>
      <c r="AN2" s="95" t="s">
        <v>1</v>
      </c>
      <c r="AO2" s="95" t="s">
        <v>2</v>
      </c>
      <c r="AP2" s="95" t="s">
        <v>59</v>
      </c>
      <c r="AQ2" s="412" t="s">
        <v>1</v>
      </c>
      <c r="AR2" s="163" t="s">
        <v>2</v>
      </c>
      <c r="AS2" s="95" t="s">
        <v>59</v>
      </c>
      <c r="AT2" s="412" t="s">
        <v>1</v>
      </c>
      <c r="AU2" s="163" t="s">
        <v>2</v>
      </c>
      <c r="AV2" s="95" t="s">
        <v>59</v>
      </c>
      <c r="AW2" s="412" t="s">
        <v>1</v>
      </c>
      <c r="AX2" s="163" t="s">
        <v>2</v>
      </c>
      <c r="AY2" s="95" t="s">
        <v>59</v>
      </c>
    </row>
    <row r="3" spans="1:51" x14ac:dyDescent="0.3">
      <c r="A3" s="167">
        <v>40224</v>
      </c>
      <c r="B3" s="373">
        <v>34.450000000000003</v>
      </c>
      <c r="C3" s="99">
        <v>0</v>
      </c>
      <c r="D3" s="379">
        <v>40254</v>
      </c>
      <c r="E3" s="361">
        <v>10.27436</v>
      </c>
      <c r="F3" s="85">
        <v>0</v>
      </c>
      <c r="G3" s="179" t="s">
        <v>26</v>
      </c>
      <c r="H3" s="370">
        <v>8.11</v>
      </c>
      <c r="I3" s="85">
        <v>0</v>
      </c>
      <c r="J3" s="193">
        <v>40224</v>
      </c>
      <c r="K3" s="194">
        <v>72.08</v>
      </c>
      <c r="L3" s="85">
        <v>0</v>
      </c>
      <c r="M3" s="393">
        <v>37635</v>
      </c>
      <c r="N3" s="394">
        <v>5</v>
      </c>
      <c r="O3" s="85">
        <v>0</v>
      </c>
      <c r="P3" s="383">
        <v>37635</v>
      </c>
      <c r="Q3" s="402">
        <v>4.45</v>
      </c>
      <c r="R3" s="85">
        <v>0</v>
      </c>
      <c r="S3" s="405">
        <v>37635</v>
      </c>
      <c r="T3" s="335">
        <v>28.58</v>
      </c>
      <c r="U3" s="85">
        <v>0</v>
      </c>
      <c r="V3" s="334">
        <v>37635</v>
      </c>
      <c r="W3" s="343">
        <v>3.13</v>
      </c>
      <c r="X3" s="224">
        <v>0</v>
      </c>
      <c r="Y3" s="349">
        <v>37657</v>
      </c>
      <c r="Z3" s="350">
        <v>30.9</v>
      </c>
      <c r="AA3" s="85">
        <v>0</v>
      </c>
      <c r="AB3" s="413">
        <v>37657</v>
      </c>
      <c r="AC3" s="205">
        <v>6.57</v>
      </c>
      <c r="AD3" s="85">
        <v>0</v>
      </c>
      <c r="AE3" s="206">
        <v>40190</v>
      </c>
      <c r="AF3" s="114">
        <v>89.7</v>
      </c>
      <c r="AG3" s="85">
        <v>0</v>
      </c>
      <c r="AH3" s="206">
        <v>40190</v>
      </c>
      <c r="AI3" s="114">
        <v>59.55</v>
      </c>
      <c r="AJ3" s="436">
        <v>0</v>
      </c>
      <c r="AK3" s="392">
        <v>40214</v>
      </c>
      <c r="AL3" s="373">
        <v>36.1</v>
      </c>
      <c r="AM3" s="322">
        <v>0</v>
      </c>
      <c r="AN3" s="239">
        <v>40214</v>
      </c>
      <c r="AO3" s="125">
        <v>61.48</v>
      </c>
      <c r="AP3" s="85">
        <v>0</v>
      </c>
      <c r="AQ3" s="442">
        <v>40190</v>
      </c>
      <c r="AR3" s="373">
        <v>11.7</v>
      </c>
      <c r="AS3" s="85">
        <v>0</v>
      </c>
      <c r="AT3" s="453">
        <v>40190</v>
      </c>
      <c r="AU3" s="454">
        <v>66.239999999999995</v>
      </c>
      <c r="AV3" s="85">
        <v>0</v>
      </c>
      <c r="AW3" s="442">
        <v>40214</v>
      </c>
      <c r="AX3" s="373">
        <v>34.17</v>
      </c>
      <c r="AY3" s="322">
        <v>0</v>
      </c>
    </row>
    <row r="4" spans="1:51" x14ac:dyDescent="0.3">
      <c r="A4" s="167">
        <v>40235</v>
      </c>
      <c r="B4" s="373">
        <v>34.979999999999997</v>
      </c>
      <c r="C4" s="99">
        <v>0</v>
      </c>
      <c r="D4" s="380">
        <v>40377</v>
      </c>
      <c r="E4" s="362">
        <v>10.220000000000001</v>
      </c>
      <c r="F4" s="85">
        <v>1</v>
      </c>
      <c r="G4" s="179">
        <v>40433</v>
      </c>
      <c r="H4" s="370">
        <v>8.34</v>
      </c>
      <c r="I4" s="85">
        <v>0</v>
      </c>
      <c r="J4" s="193">
        <v>40235</v>
      </c>
      <c r="K4" s="194">
        <v>72.5</v>
      </c>
      <c r="L4" s="85">
        <v>0</v>
      </c>
      <c r="M4" s="393">
        <v>37720</v>
      </c>
      <c r="N4" s="394">
        <v>5.03</v>
      </c>
      <c r="O4" s="85">
        <v>0</v>
      </c>
      <c r="P4" s="383">
        <v>37720</v>
      </c>
      <c r="Q4" s="402">
        <v>4.55</v>
      </c>
      <c r="R4" s="85">
        <v>0</v>
      </c>
      <c r="S4" s="405">
        <v>37720</v>
      </c>
      <c r="T4" s="335">
        <v>28.2</v>
      </c>
      <c r="U4" s="85">
        <v>0</v>
      </c>
      <c r="V4" s="334">
        <v>37720</v>
      </c>
      <c r="W4" s="343">
        <v>3.71</v>
      </c>
      <c r="X4" s="224">
        <v>0</v>
      </c>
      <c r="Y4" s="349">
        <v>37720</v>
      </c>
      <c r="Z4" s="350">
        <v>29.04</v>
      </c>
      <c r="AA4" s="85">
        <v>0</v>
      </c>
      <c r="AB4" s="413">
        <v>37720</v>
      </c>
      <c r="AC4" s="227">
        <v>6.84</v>
      </c>
      <c r="AD4" s="85">
        <v>0</v>
      </c>
      <c r="AE4" s="206">
        <v>40242</v>
      </c>
      <c r="AF4" s="114">
        <v>91.01</v>
      </c>
      <c r="AG4" s="85">
        <v>0</v>
      </c>
      <c r="AH4" s="206">
        <v>40238</v>
      </c>
      <c r="AI4" s="114">
        <v>60.06</v>
      </c>
      <c r="AJ4" s="436">
        <v>0</v>
      </c>
      <c r="AK4" s="392">
        <v>40235</v>
      </c>
      <c r="AL4" s="373">
        <v>36.299999999999997</v>
      </c>
      <c r="AM4" s="322">
        <v>0</v>
      </c>
      <c r="AN4" s="239">
        <v>40235</v>
      </c>
      <c r="AO4" s="125">
        <v>62.56</v>
      </c>
      <c r="AP4" s="85">
        <v>0</v>
      </c>
      <c r="AQ4" s="443">
        <v>40238</v>
      </c>
      <c r="AR4" s="375">
        <v>13</v>
      </c>
      <c r="AS4" s="85">
        <v>0</v>
      </c>
      <c r="AT4" s="453">
        <v>40235</v>
      </c>
      <c r="AU4" s="454">
        <v>66.900000000000006</v>
      </c>
      <c r="AV4" s="85">
        <v>0</v>
      </c>
      <c r="AW4" s="442">
        <v>40224</v>
      </c>
      <c r="AX4" s="373">
        <v>33.81</v>
      </c>
      <c r="AY4" s="322">
        <v>0</v>
      </c>
    </row>
    <row r="5" spans="1:51" x14ac:dyDescent="0.3">
      <c r="A5" s="167">
        <v>40287</v>
      </c>
      <c r="B5" s="373">
        <v>33.85</v>
      </c>
      <c r="C5" s="99">
        <v>0</v>
      </c>
      <c r="D5" s="379">
        <v>40531</v>
      </c>
      <c r="E5" s="361">
        <v>10.23</v>
      </c>
      <c r="F5" s="85">
        <v>0</v>
      </c>
      <c r="G5" s="181">
        <v>40636</v>
      </c>
      <c r="H5" s="371">
        <v>8.5</v>
      </c>
      <c r="I5" s="85">
        <v>1</v>
      </c>
      <c r="J5" s="193">
        <v>40242</v>
      </c>
      <c r="K5" s="194">
        <v>72.5</v>
      </c>
      <c r="L5" s="85">
        <v>0</v>
      </c>
      <c r="M5" s="393">
        <v>37726</v>
      </c>
      <c r="N5" s="394">
        <v>4.9800000000000004</v>
      </c>
      <c r="O5" s="85">
        <v>0</v>
      </c>
      <c r="P5" s="383">
        <v>37726</v>
      </c>
      <c r="Q5" s="402">
        <v>4.6100000000000003</v>
      </c>
      <c r="R5" s="85">
        <v>0</v>
      </c>
      <c r="S5" s="405">
        <v>37726</v>
      </c>
      <c r="T5" s="335">
        <v>28.3</v>
      </c>
      <c r="U5" s="85">
        <v>0</v>
      </c>
      <c r="V5" s="334">
        <v>37726</v>
      </c>
      <c r="W5" s="343">
        <v>3.23</v>
      </c>
      <c r="X5" s="224">
        <v>0</v>
      </c>
      <c r="Y5" s="349">
        <v>37726</v>
      </c>
      <c r="Z5" s="350">
        <v>30.75</v>
      </c>
      <c r="AA5" s="85">
        <v>0</v>
      </c>
      <c r="AB5" s="413">
        <v>37726</v>
      </c>
      <c r="AC5" s="227">
        <v>7.11</v>
      </c>
      <c r="AD5" s="85">
        <v>0</v>
      </c>
      <c r="AE5" s="206">
        <v>40244</v>
      </c>
      <c r="AF5" s="114">
        <v>91.02</v>
      </c>
      <c r="AG5" s="85">
        <v>0</v>
      </c>
      <c r="AH5" s="206">
        <v>40242</v>
      </c>
      <c r="AI5" s="114">
        <v>61.16</v>
      </c>
      <c r="AJ5" s="436">
        <v>0</v>
      </c>
      <c r="AK5" s="392">
        <v>40287</v>
      </c>
      <c r="AL5" s="373">
        <v>36.549999999999997</v>
      </c>
      <c r="AM5" s="322">
        <v>0</v>
      </c>
      <c r="AN5" s="239">
        <v>40287</v>
      </c>
      <c r="AO5" s="125">
        <v>62.5</v>
      </c>
      <c r="AP5" s="85">
        <v>0</v>
      </c>
      <c r="AQ5" s="372">
        <v>40490</v>
      </c>
      <c r="AR5" s="225">
        <v>11.57</v>
      </c>
      <c r="AS5" s="85">
        <v>1</v>
      </c>
      <c r="AT5" s="453">
        <v>40287</v>
      </c>
      <c r="AU5" s="454">
        <v>66.98</v>
      </c>
      <c r="AV5" s="85">
        <v>0</v>
      </c>
      <c r="AW5" s="442">
        <v>40235</v>
      </c>
      <c r="AX5" s="373">
        <v>34.200000000000003</v>
      </c>
      <c r="AY5" s="322">
        <v>0</v>
      </c>
    </row>
    <row r="6" spans="1:51" x14ac:dyDescent="0.3">
      <c r="A6" s="167">
        <v>40305</v>
      </c>
      <c r="B6" s="373">
        <v>34.869999999999997</v>
      </c>
      <c r="C6" s="99">
        <v>0</v>
      </c>
      <c r="D6" s="380">
        <v>40607</v>
      </c>
      <c r="E6" s="362">
        <v>10.231999999999999</v>
      </c>
      <c r="F6" s="85">
        <v>1</v>
      </c>
      <c r="G6" s="179">
        <v>40848</v>
      </c>
      <c r="H6" s="370">
        <v>8.7899999999999991</v>
      </c>
      <c r="I6" s="85">
        <v>0</v>
      </c>
      <c r="J6" s="193">
        <v>40287</v>
      </c>
      <c r="K6" s="194">
        <v>71.98</v>
      </c>
      <c r="L6" s="85">
        <v>0</v>
      </c>
      <c r="M6" s="393">
        <v>37732</v>
      </c>
      <c r="N6" s="394">
        <v>5.0999999999999996</v>
      </c>
      <c r="O6" s="85">
        <v>0</v>
      </c>
      <c r="P6" s="383">
        <v>37732</v>
      </c>
      <c r="Q6" s="402">
        <v>4.41</v>
      </c>
      <c r="R6" s="85">
        <v>0</v>
      </c>
      <c r="S6" s="405">
        <v>37732</v>
      </c>
      <c r="T6" s="335">
        <v>28.09</v>
      </c>
      <c r="U6" s="85">
        <v>0</v>
      </c>
      <c r="V6" s="334">
        <v>37732</v>
      </c>
      <c r="W6" s="343">
        <v>3.66</v>
      </c>
      <c r="X6" s="224">
        <v>0</v>
      </c>
      <c r="Y6" s="349">
        <v>37732</v>
      </c>
      <c r="Z6" s="350">
        <v>29.47</v>
      </c>
      <c r="AA6" s="85">
        <v>0</v>
      </c>
      <c r="AB6" s="413">
        <v>37732</v>
      </c>
      <c r="AC6" s="227">
        <v>6.85</v>
      </c>
      <c r="AD6" s="85">
        <v>0</v>
      </c>
      <c r="AE6" s="206">
        <v>40245</v>
      </c>
      <c r="AF6" s="114">
        <v>91.02</v>
      </c>
      <c r="AG6" s="85">
        <v>0</v>
      </c>
      <c r="AH6" s="206">
        <v>40243</v>
      </c>
      <c r="AI6" s="114">
        <v>61.14</v>
      </c>
      <c r="AJ6" s="436">
        <v>0</v>
      </c>
      <c r="AK6" s="392">
        <v>40305</v>
      </c>
      <c r="AL6" s="373">
        <v>36.36</v>
      </c>
      <c r="AM6" s="322">
        <v>0</v>
      </c>
      <c r="AN6" s="239">
        <v>40305</v>
      </c>
      <c r="AO6" s="125">
        <v>62.34</v>
      </c>
      <c r="AP6" s="85">
        <v>0</v>
      </c>
      <c r="AQ6" s="444">
        <v>40777</v>
      </c>
      <c r="AR6" s="449">
        <v>10.43</v>
      </c>
      <c r="AS6" s="85">
        <v>0</v>
      </c>
      <c r="AT6" s="453">
        <v>40305</v>
      </c>
      <c r="AU6" s="454">
        <v>66.81</v>
      </c>
      <c r="AV6" s="85">
        <v>0</v>
      </c>
      <c r="AW6" s="442">
        <v>40242</v>
      </c>
      <c r="AX6" s="373">
        <v>34.799999999999997</v>
      </c>
      <c r="AY6" s="322">
        <v>0</v>
      </c>
    </row>
    <row r="7" spans="1:51" x14ac:dyDescent="0.3">
      <c r="A7" s="167">
        <v>40331</v>
      </c>
      <c r="B7" s="373">
        <v>34.07</v>
      </c>
      <c r="C7" s="99">
        <v>0</v>
      </c>
      <c r="D7" s="379">
        <v>40766</v>
      </c>
      <c r="E7" s="361">
        <v>10.199999999999999</v>
      </c>
      <c r="F7" s="85">
        <v>0</v>
      </c>
      <c r="G7" s="181">
        <v>40953</v>
      </c>
      <c r="H7" s="371">
        <v>8.6300000000000008</v>
      </c>
      <c r="I7" s="85">
        <v>1</v>
      </c>
      <c r="J7" s="193">
        <v>40331</v>
      </c>
      <c r="K7" s="194">
        <v>71.78</v>
      </c>
      <c r="L7" s="85">
        <v>0</v>
      </c>
      <c r="M7" s="393">
        <v>37734</v>
      </c>
      <c r="N7" s="394">
        <v>5.0599999999999996</v>
      </c>
      <c r="O7" s="85">
        <v>0</v>
      </c>
      <c r="P7" s="383">
        <v>37734</v>
      </c>
      <c r="Q7" s="402">
        <v>4.5999999999999996</v>
      </c>
      <c r="R7" s="85">
        <v>0</v>
      </c>
      <c r="S7" s="405">
        <v>37734</v>
      </c>
      <c r="T7" s="335">
        <v>28.42</v>
      </c>
      <c r="U7" s="85">
        <v>0</v>
      </c>
      <c r="V7" s="334">
        <v>37734</v>
      </c>
      <c r="W7" s="343">
        <v>3.66</v>
      </c>
      <c r="X7" s="224">
        <v>0</v>
      </c>
      <c r="Y7" s="349">
        <v>37734</v>
      </c>
      <c r="Z7" s="350">
        <v>29.78</v>
      </c>
      <c r="AA7" s="85">
        <v>0</v>
      </c>
      <c r="AB7" s="413">
        <v>37734</v>
      </c>
      <c r="AC7" s="227">
        <v>7.08</v>
      </c>
      <c r="AD7" s="85">
        <v>0</v>
      </c>
      <c r="AE7" s="206">
        <v>40253</v>
      </c>
      <c r="AF7" s="114">
        <v>91.06</v>
      </c>
      <c r="AG7" s="85">
        <v>0</v>
      </c>
      <c r="AH7" s="206">
        <v>40244</v>
      </c>
      <c r="AI7" s="114">
        <v>61.16</v>
      </c>
      <c r="AJ7" s="436">
        <v>0</v>
      </c>
      <c r="AK7" s="392">
        <v>40331</v>
      </c>
      <c r="AL7" s="373">
        <v>36.450000000000003</v>
      </c>
      <c r="AM7" s="322">
        <v>0</v>
      </c>
      <c r="AN7" s="239">
        <v>40331</v>
      </c>
      <c r="AO7" s="125">
        <v>62.6</v>
      </c>
      <c r="AP7" s="85">
        <v>0</v>
      </c>
      <c r="AQ7" s="445">
        <v>40890</v>
      </c>
      <c r="AR7" s="441">
        <v>10.27</v>
      </c>
      <c r="AS7" s="85">
        <v>0</v>
      </c>
      <c r="AT7" s="453">
        <v>40331</v>
      </c>
      <c r="AU7" s="454">
        <v>66.87</v>
      </c>
      <c r="AV7" s="85">
        <v>0</v>
      </c>
      <c r="AW7" s="442">
        <v>40287</v>
      </c>
      <c r="AX7" s="373">
        <v>33.79</v>
      </c>
      <c r="AY7" s="322">
        <v>0</v>
      </c>
    </row>
    <row r="8" spans="1:51" x14ac:dyDescent="0.3">
      <c r="A8" s="167">
        <v>40417</v>
      </c>
      <c r="B8" s="373">
        <v>34.549999999999997</v>
      </c>
      <c r="C8" s="99">
        <v>0</v>
      </c>
      <c r="D8" s="379">
        <v>40985</v>
      </c>
      <c r="E8" s="361">
        <v>10.19</v>
      </c>
      <c r="F8" s="85">
        <v>0</v>
      </c>
      <c r="G8" s="179">
        <v>41032</v>
      </c>
      <c r="H8" s="363">
        <v>8.67</v>
      </c>
      <c r="I8" s="85">
        <v>0</v>
      </c>
      <c r="J8" s="193">
        <v>40312</v>
      </c>
      <c r="K8" s="194">
        <v>71.760000000000005</v>
      </c>
      <c r="L8" s="85">
        <v>0</v>
      </c>
      <c r="M8" s="393">
        <v>37735</v>
      </c>
      <c r="N8" s="394">
        <v>5.04</v>
      </c>
      <c r="O8" s="85">
        <v>0</v>
      </c>
      <c r="P8" s="383">
        <v>37735</v>
      </c>
      <c r="Q8" s="402">
        <v>4.63</v>
      </c>
      <c r="R8" s="85">
        <v>0</v>
      </c>
      <c r="S8" s="405">
        <v>37735</v>
      </c>
      <c r="T8" s="335">
        <v>28.51</v>
      </c>
      <c r="U8" s="85">
        <v>0</v>
      </c>
      <c r="V8" s="334">
        <v>37735</v>
      </c>
      <c r="W8" s="343">
        <v>3.69</v>
      </c>
      <c r="X8" s="224">
        <v>0</v>
      </c>
      <c r="Y8" s="349">
        <v>37735</v>
      </c>
      <c r="Z8" s="350">
        <v>28.9</v>
      </c>
      <c r="AA8" s="85">
        <v>0</v>
      </c>
      <c r="AB8" s="413">
        <v>37735</v>
      </c>
      <c r="AC8" s="227">
        <v>7.15</v>
      </c>
      <c r="AD8" s="85">
        <v>0</v>
      </c>
      <c r="AE8" s="206">
        <v>40269</v>
      </c>
      <c r="AF8" s="114">
        <v>91.14</v>
      </c>
      <c r="AG8" s="85">
        <v>0</v>
      </c>
      <c r="AH8" s="206">
        <v>40245</v>
      </c>
      <c r="AI8" s="114">
        <v>61.16</v>
      </c>
      <c r="AJ8" s="436">
        <v>0</v>
      </c>
      <c r="AK8" s="392">
        <v>40394</v>
      </c>
      <c r="AL8" s="373">
        <v>36</v>
      </c>
      <c r="AM8" s="322">
        <v>0</v>
      </c>
      <c r="AN8" s="239">
        <v>40393</v>
      </c>
      <c r="AO8" s="125">
        <v>63.08</v>
      </c>
      <c r="AP8" s="85">
        <v>0</v>
      </c>
      <c r="AQ8" s="372">
        <v>40922</v>
      </c>
      <c r="AR8" s="225">
        <v>10.77</v>
      </c>
      <c r="AS8" s="85">
        <v>1</v>
      </c>
      <c r="AT8" s="453">
        <v>40393</v>
      </c>
      <c r="AU8" s="454">
        <v>67.12</v>
      </c>
      <c r="AV8" s="85">
        <v>0</v>
      </c>
      <c r="AW8" s="442">
        <v>40351</v>
      </c>
      <c r="AX8" s="373">
        <v>33.75</v>
      </c>
      <c r="AY8" s="322">
        <v>0</v>
      </c>
    </row>
    <row r="9" spans="1:51" x14ac:dyDescent="0.3">
      <c r="A9" s="167">
        <v>40575</v>
      </c>
      <c r="B9" s="373">
        <v>34.65</v>
      </c>
      <c r="C9" s="99">
        <v>0</v>
      </c>
      <c r="D9" s="379">
        <v>41113</v>
      </c>
      <c r="E9" s="361">
        <v>10.11</v>
      </c>
      <c r="F9" s="85">
        <v>0</v>
      </c>
      <c r="G9" s="179">
        <v>41506</v>
      </c>
      <c r="H9" s="363">
        <v>11.48</v>
      </c>
      <c r="I9" s="85">
        <v>0</v>
      </c>
      <c r="J9" s="193">
        <v>40393</v>
      </c>
      <c r="K9" s="194">
        <v>71.900000000000006</v>
      </c>
      <c r="L9" s="85">
        <v>0</v>
      </c>
      <c r="M9" s="393">
        <v>37746</v>
      </c>
      <c r="N9" s="394">
        <v>4.45</v>
      </c>
      <c r="O9" s="85">
        <v>0</v>
      </c>
      <c r="P9" s="383">
        <v>37746</v>
      </c>
      <c r="Q9" s="402">
        <v>4.8600000000000003</v>
      </c>
      <c r="R9" s="85">
        <v>0</v>
      </c>
      <c r="S9" s="405">
        <v>37746</v>
      </c>
      <c r="T9" s="335">
        <v>28.35</v>
      </c>
      <c r="U9" s="85">
        <v>0</v>
      </c>
      <c r="V9" s="334">
        <v>37746</v>
      </c>
      <c r="W9" s="343">
        <v>3.32</v>
      </c>
      <c r="X9" s="224">
        <v>0</v>
      </c>
      <c r="Y9" s="349">
        <v>37746</v>
      </c>
      <c r="Z9" s="350">
        <v>30.38</v>
      </c>
      <c r="AA9" s="85">
        <v>0</v>
      </c>
      <c r="AB9" s="413">
        <v>37746</v>
      </c>
      <c r="AC9" s="227">
        <v>7.12</v>
      </c>
      <c r="AD9" s="85">
        <v>0</v>
      </c>
      <c r="AE9" s="206">
        <v>40278</v>
      </c>
      <c r="AF9" s="114">
        <v>91.19</v>
      </c>
      <c r="AG9" s="85">
        <v>0</v>
      </c>
      <c r="AH9" s="206">
        <v>40246</v>
      </c>
      <c r="AI9" s="114">
        <v>61.16</v>
      </c>
      <c r="AJ9" s="436">
        <v>0</v>
      </c>
      <c r="AK9" s="392">
        <v>40417</v>
      </c>
      <c r="AL9" s="373">
        <v>36.119999999999997</v>
      </c>
      <c r="AM9" s="322">
        <v>0</v>
      </c>
      <c r="AN9" s="239">
        <v>40403</v>
      </c>
      <c r="AO9" s="125">
        <v>63.1</v>
      </c>
      <c r="AP9" s="85">
        <v>0</v>
      </c>
      <c r="AQ9" s="446">
        <v>41025</v>
      </c>
      <c r="AR9" s="450">
        <v>11</v>
      </c>
      <c r="AS9" s="85">
        <v>0</v>
      </c>
      <c r="AT9" s="453">
        <v>40575</v>
      </c>
      <c r="AU9" s="454">
        <v>67.239999999999995</v>
      </c>
      <c r="AV9" s="85">
        <v>0</v>
      </c>
      <c r="AW9" s="442">
        <v>40305</v>
      </c>
      <c r="AX9" s="373">
        <v>34.29</v>
      </c>
      <c r="AY9" s="322">
        <v>0</v>
      </c>
    </row>
    <row r="10" spans="1:51" x14ac:dyDescent="0.3">
      <c r="A10" s="167">
        <v>40679</v>
      </c>
      <c r="B10" s="373">
        <v>34.57</v>
      </c>
      <c r="C10" s="99">
        <v>0</v>
      </c>
      <c r="D10" s="380">
        <v>41225</v>
      </c>
      <c r="E10" s="362">
        <v>10.130000000000001</v>
      </c>
      <c r="F10" s="85">
        <v>1</v>
      </c>
      <c r="G10" s="179">
        <v>41556</v>
      </c>
      <c r="H10" s="363">
        <v>12.83</v>
      </c>
      <c r="I10" s="85">
        <v>0</v>
      </c>
      <c r="J10" s="193">
        <v>40417</v>
      </c>
      <c r="K10" s="194">
        <v>71.900000000000006</v>
      </c>
      <c r="L10" s="85">
        <v>0</v>
      </c>
      <c r="M10" s="393">
        <v>37749</v>
      </c>
      <c r="N10" s="394">
        <v>5.0199999999999996</v>
      </c>
      <c r="O10" s="85">
        <v>0</v>
      </c>
      <c r="P10" s="383">
        <v>37749</v>
      </c>
      <c r="Q10" s="402">
        <v>4.99</v>
      </c>
      <c r="R10" s="85">
        <v>0</v>
      </c>
      <c r="S10" s="405">
        <v>37748</v>
      </c>
      <c r="T10" s="335">
        <v>28.02</v>
      </c>
      <c r="U10" s="85">
        <v>0</v>
      </c>
      <c r="V10" s="334">
        <v>37748</v>
      </c>
      <c r="W10" s="343">
        <v>3.47</v>
      </c>
      <c r="X10" s="224">
        <v>0</v>
      </c>
      <c r="Y10" s="349">
        <v>37748</v>
      </c>
      <c r="Z10" s="350">
        <v>30.35</v>
      </c>
      <c r="AA10" s="85">
        <v>0</v>
      </c>
      <c r="AB10" s="413">
        <v>37748</v>
      </c>
      <c r="AC10" s="227">
        <v>6.92</v>
      </c>
      <c r="AD10" s="85">
        <v>0</v>
      </c>
      <c r="AE10" s="206">
        <v>40283</v>
      </c>
      <c r="AF10" s="114">
        <v>91.22</v>
      </c>
      <c r="AG10" s="85">
        <v>0</v>
      </c>
      <c r="AH10" s="206">
        <v>40247</v>
      </c>
      <c r="AI10" s="114">
        <v>61.15</v>
      </c>
      <c r="AJ10" s="436">
        <v>0</v>
      </c>
      <c r="AK10" s="392">
        <v>40498</v>
      </c>
      <c r="AL10" s="373">
        <v>35.44</v>
      </c>
      <c r="AM10" s="322">
        <v>0</v>
      </c>
      <c r="AN10" s="239">
        <v>40575</v>
      </c>
      <c r="AO10" s="125">
        <v>62.92</v>
      </c>
      <c r="AP10" s="85">
        <v>0</v>
      </c>
      <c r="AQ10" s="442">
        <v>41235</v>
      </c>
      <c r="AR10" s="374">
        <v>10.94</v>
      </c>
      <c r="AS10" s="85">
        <v>0</v>
      </c>
      <c r="AT10" s="453">
        <v>40679</v>
      </c>
      <c r="AU10" s="454">
        <v>67.739999999999995</v>
      </c>
      <c r="AV10" s="85">
        <v>0</v>
      </c>
      <c r="AW10" s="442">
        <v>40393</v>
      </c>
      <c r="AX10" s="373">
        <v>33.840000000000003</v>
      </c>
      <c r="AY10" s="322">
        <v>0</v>
      </c>
    </row>
    <row r="11" spans="1:51" x14ac:dyDescent="0.3">
      <c r="A11" s="167">
        <v>40745</v>
      </c>
      <c r="B11" s="373">
        <v>34.54</v>
      </c>
      <c r="C11" s="99">
        <v>0</v>
      </c>
      <c r="D11" s="381">
        <v>41401</v>
      </c>
      <c r="E11" s="363">
        <v>10.16</v>
      </c>
      <c r="F11" s="85">
        <v>0</v>
      </c>
      <c r="G11" s="179">
        <v>41617</v>
      </c>
      <c r="H11" s="363">
        <v>10.130000000000001</v>
      </c>
      <c r="I11" s="85">
        <v>0</v>
      </c>
      <c r="J11" s="193">
        <v>40575</v>
      </c>
      <c r="K11" s="194">
        <v>71.52</v>
      </c>
      <c r="L11" s="85">
        <v>0</v>
      </c>
      <c r="M11" s="393">
        <v>37750</v>
      </c>
      <c r="N11" s="394">
        <v>5.12</v>
      </c>
      <c r="O11" s="85">
        <v>0</v>
      </c>
      <c r="P11" s="383">
        <v>37750</v>
      </c>
      <c r="Q11" s="402">
        <v>4.75</v>
      </c>
      <c r="R11" s="85">
        <v>0</v>
      </c>
      <c r="S11" s="405">
        <v>37749</v>
      </c>
      <c r="T11" s="335">
        <v>28.06</v>
      </c>
      <c r="U11" s="85">
        <v>0</v>
      </c>
      <c r="V11" s="334">
        <v>37749</v>
      </c>
      <c r="W11" s="343">
        <v>3.49</v>
      </c>
      <c r="X11" s="224">
        <v>0</v>
      </c>
      <c r="Y11" s="349">
        <v>37749</v>
      </c>
      <c r="Z11" s="350">
        <v>29.91</v>
      </c>
      <c r="AA11" s="85">
        <v>0</v>
      </c>
      <c r="AB11" s="413">
        <v>37749</v>
      </c>
      <c r="AC11" s="227">
        <v>7.05</v>
      </c>
      <c r="AD11" s="85">
        <v>0</v>
      </c>
      <c r="AE11" s="206">
        <v>40284</v>
      </c>
      <c r="AF11" s="114">
        <v>91.2</v>
      </c>
      <c r="AG11" s="85">
        <v>0</v>
      </c>
      <c r="AH11" s="206">
        <v>40248</v>
      </c>
      <c r="AI11" s="114">
        <v>61.15</v>
      </c>
      <c r="AJ11" s="436">
        <v>0</v>
      </c>
      <c r="AK11" s="392">
        <v>40575</v>
      </c>
      <c r="AL11" s="373">
        <v>34.75</v>
      </c>
      <c r="AM11" s="322">
        <v>0</v>
      </c>
      <c r="AN11" s="239">
        <v>40679</v>
      </c>
      <c r="AO11" s="125">
        <v>62.9</v>
      </c>
      <c r="AP11" s="85">
        <v>0</v>
      </c>
      <c r="AQ11" s="442">
        <v>41278</v>
      </c>
      <c r="AR11" s="373">
        <v>11.16</v>
      </c>
      <c r="AS11" s="85">
        <v>0</v>
      </c>
      <c r="AT11" s="453">
        <v>40745</v>
      </c>
      <c r="AU11" s="454">
        <v>67.94</v>
      </c>
      <c r="AV11" s="85">
        <v>0</v>
      </c>
      <c r="AW11" s="442">
        <v>40417</v>
      </c>
      <c r="AX11" s="373">
        <v>33.9</v>
      </c>
      <c r="AY11" s="322">
        <v>0</v>
      </c>
    </row>
    <row r="12" spans="1:51" x14ac:dyDescent="0.3">
      <c r="A12" s="167">
        <v>40777</v>
      </c>
      <c r="B12" s="373">
        <v>34.39</v>
      </c>
      <c r="C12" s="99">
        <v>0</v>
      </c>
      <c r="D12" s="381">
        <v>41506</v>
      </c>
      <c r="E12" s="363">
        <v>10.34</v>
      </c>
      <c r="F12" s="85">
        <v>0</v>
      </c>
      <c r="G12" s="179">
        <v>41683</v>
      </c>
      <c r="H12" s="363">
        <v>11.6</v>
      </c>
      <c r="I12" s="85">
        <v>0</v>
      </c>
      <c r="J12" s="193">
        <v>40745</v>
      </c>
      <c r="K12" s="194">
        <v>71.59</v>
      </c>
      <c r="L12" s="85">
        <v>0</v>
      </c>
      <c r="M12" s="393">
        <v>37755</v>
      </c>
      <c r="N12" s="394">
        <v>5.03</v>
      </c>
      <c r="O12" s="85">
        <v>0</v>
      </c>
      <c r="P12" s="383">
        <v>37755</v>
      </c>
      <c r="Q12" s="402">
        <v>4.45</v>
      </c>
      <c r="R12" s="85">
        <v>0</v>
      </c>
      <c r="S12" s="405">
        <v>37750</v>
      </c>
      <c r="T12" s="335">
        <v>28.1</v>
      </c>
      <c r="U12" s="85">
        <v>0</v>
      </c>
      <c r="V12" s="334">
        <v>37750</v>
      </c>
      <c r="W12" s="343">
        <v>3.37</v>
      </c>
      <c r="X12" s="224">
        <v>0</v>
      </c>
      <c r="Y12" s="349">
        <v>37750</v>
      </c>
      <c r="Z12" s="350">
        <v>28.53</v>
      </c>
      <c r="AA12" s="85">
        <v>0</v>
      </c>
      <c r="AB12" s="413">
        <v>37750</v>
      </c>
      <c r="AC12" s="227">
        <v>6.79</v>
      </c>
      <c r="AD12" s="85">
        <v>0</v>
      </c>
      <c r="AE12" s="206">
        <v>40501</v>
      </c>
      <c r="AF12" s="114">
        <v>92.19</v>
      </c>
      <c r="AG12" s="85">
        <v>0</v>
      </c>
      <c r="AH12" s="206">
        <v>40249</v>
      </c>
      <c r="AI12" s="114">
        <v>61.15</v>
      </c>
      <c r="AJ12" s="436">
        <v>0</v>
      </c>
      <c r="AK12" s="392">
        <v>40679</v>
      </c>
      <c r="AL12" s="373">
        <v>34.79</v>
      </c>
      <c r="AM12" s="322">
        <v>0</v>
      </c>
      <c r="AN12" s="239">
        <v>40679</v>
      </c>
      <c r="AO12" s="125">
        <v>62.9</v>
      </c>
      <c r="AP12" s="85">
        <v>0</v>
      </c>
      <c r="AQ12" s="442">
        <v>41401</v>
      </c>
      <c r="AR12" s="373">
        <v>11.61</v>
      </c>
      <c r="AS12" s="85">
        <v>0</v>
      </c>
      <c r="AT12" s="453">
        <v>40777</v>
      </c>
      <c r="AU12" s="454">
        <v>67.7</v>
      </c>
      <c r="AV12" s="85">
        <v>0</v>
      </c>
      <c r="AW12" s="442">
        <v>40575</v>
      </c>
      <c r="AX12" s="373">
        <v>33.53</v>
      </c>
      <c r="AY12" s="322">
        <v>0</v>
      </c>
    </row>
    <row r="13" spans="1:51" x14ac:dyDescent="0.3">
      <c r="A13" s="167">
        <v>40800</v>
      </c>
      <c r="B13" s="373">
        <v>34.1</v>
      </c>
      <c r="C13" s="99">
        <v>0</v>
      </c>
      <c r="D13" s="381">
        <v>41556</v>
      </c>
      <c r="E13" s="363">
        <v>9.42</v>
      </c>
      <c r="F13" s="85">
        <v>0</v>
      </c>
      <c r="G13" s="179">
        <v>41764</v>
      </c>
      <c r="H13" s="363">
        <v>10.38</v>
      </c>
      <c r="I13" s="85">
        <v>0</v>
      </c>
      <c r="J13" s="193">
        <v>40777</v>
      </c>
      <c r="K13" s="194">
        <v>71.7</v>
      </c>
      <c r="L13" s="85">
        <v>0</v>
      </c>
      <c r="M13" s="393">
        <v>37758</v>
      </c>
      <c r="N13" s="394">
        <v>5</v>
      </c>
      <c r="O13" s="85">
        <v>0</v>
      </c>
      <c r="P13" s="383">
        <v>37758</v>
      </c>
      <c r="Q13" s="402">
        <v>4.45</v>
      </c>
      <c r="R13" s="85">
        <v>0</v>
      </c>
      <c r="S13" s="405">
        <v>37755</v>
      </c>
      <c r="T13" s="335">
        <v>28.69</v>
      </c>
      <c r="U13" s="85">
        <v>0</v>
      </c>
      <c r="V13" s="334">
        <v>37755</v>
      </c>
      <c r="W13" s="343">
        <v>3.41</v>
      </c>
      <c r="X13" s="224">
        <v>0</v>
      </c>
      <c r="Y13" s="349">
        <v>37755</v>
      </c>
      <c r="Z13" s="350">
        <v>29.87</v>
      </c>
      <c r="AA13" s="85">
        <v>0</v>
      </c>
      <c r="AB13" s="413">
        <v>37755</v>
      </c>
      <c r="AC13" s="227">
        <v>6.73</v>
      </c>
      <c r="AD13" s="85">
        <v>0</v>
      </c>
      <c r="AE13" s="206">
        <v>40502</v>
      </c>
      <c r="AF13" s="114">
        <v>92.2</v>
      </c>
      <c r="AG13" s="85">
        <v>0</v>
      </c>
      <c r="AH13" s="206">
        <v>40250</v>
      </c>
      <c r="AI13" s="114">
        <v>61.15</v>
      </c>
      <c r="AJ13" s="436">
        <v>0</v>
      </c>
      <c r="AK13" s="392">
        <v>40745</v>
      </c>
      <c r="AL13" s="373">
        <v>34.49</v>
      </c>
      <c r="AM13" s="322">
        <v>0</v>
      </c>
      <c r="AN13" s="239">
        <v>40745</v>
      </c>
      <c r="AO13" s="125">
        <v>63.09</v>
      </c>
      <c r="AP13" s="85">
        <v>0</v>
      </c>
      <c r="AQ13" s="442">
        <v>41438</v>
      </c>
      <c r="AR13" s="373">
        <v>11.56</v>
      </c>
      <c r="AS13" s="85">
        <v>0</v>
      </c>
      <c r="AT13" s="453">
        <v>40800</v>
      </c>
      <c r="AU13" s="454">
        <v>67.5</v>
      </c>
      <c r="AV13" s="85">
        <v>0</v>
      </c>
      <c r="AW13" s="442">
        <v>40679</v>
      </c>
      <c r="AX13" s="373">
        <v>34.29</v>
      </c>
      <c r="AY13" s="322">
        <v>0</v>
      </c>
    </row>
    <row r="14" spans="1:51" x14ac:dyDescent="0.3">
      <c r="A14" s="167">
        <v>40814</v>
      </c>
      <c r="B14" s="373">
        <v>34.19</v>
      </c>
      <c r="C14" s="99">
        <v>0</v>
      </c>
      <c r="D14" s="381">
        <v>41617</v>
      </c>
      <c r="E14" s="363">
        <v>9.5500000000000007</v>
      </c>
      <c r="F14" s="85">
        <v>0</v>
      </c>
      <c r="G14" s="179">
        <v>41793</v>
      </c>
      <c r="H14" s="363">
        <v>9.57</v>
      </c>
      <c r="I14" s="85">
        <v>0</v>
      </c>
      <c r="J14" s="193">
        <v>40814</v>
      </c>
      <c r="K14" s="194">
        <v>71.64</v>
      </c>
      <c r="L14" s="85">
        <v>0</v>
      </c>
      <c r="M14" s="393">
        <v>37768</v>
      </c>
      <c r="N14" s="394">
        <v>5.12</v>
      </c>
      <c r="O14" s="85">
        <v>0</v>
      </c>
      <c r="P14" s="383">
        <v>37768</v>
      </c>
      <c r="Q14" s="402">
        <v>4.45</v>
      </c>
      <c r="R14" s="85">
        <v>0</v>
      </c>
      <c r="S14" s="405">
        <v>37758</v>
      </c>
      <c r="T14" s="335">
        <v>28.3</v>
      </c>
      <c r="U14" s="85">
        <v>0</v>
      </c>
      <c r="V14" s="334">
        <v>37758</v>
      </c>
      <c r="W14" s="343">
        <v>3.77</v>
      </c>
      <c r="X14" s="224">
        <v>0</v>
      </c>
      <c r="Y14" s="349">
        <v>37758</v>
      </c>
      <c r="Z14" s="350">
        <v>30.29</v>
      </c>
      <c r="AA14" s="85">
        <v>0</v>
      </c>
      <c r="AB14" s="413">
        <v>37758</v>
      </c>
      <c r="AC14" s="227">
        <v>6.78</v>
      </c>
      <c r="AD14" s="85">
        <v>0</v>
      </c>
      <c r="AE14" s="206">
        <v>40503</v>
      </c>
      <c r="AF14" s="114">
        <v>92.2</v>
      </c>
      <c r="AG14" s="85">
        <v>0</v>
      </c>
      <c r="AH14" s="206">
        <v>40251</v>
      </c>
      <c r="AI14" s="114">
        <v>61.15</v>
      </c>
      <c r="AJ14" s="436">
        <v>0</v>
      </c>
      <c r="AK14" s="392">
        <v>40777</v>
      </c>
      <c r="AL14" s="373">
        <v>34.39</v>
      </c>
      <c r="AM14" s="322">
        <v>0</v>
      </c>
      <c r="AN14" s="239">
        <v>40777</v>
      </c>
      <c r="AO14" s="125">
        <v>63.45</v>
      </c>
      <c r="AP14" s="85">
        <v>0</v>
      </c>
      <c r="AQ14" s="442">
        <v>41471</v>
      </c>
      <c r="AR14" s="373">
        <v>11.52</v>
      </c>
      <c r="AS14" s="85">
        <v>0</v>
      </c>
      <c r="AT14" s="453">
        <v>40814</v>
      </c>
      <c r="AU14" s="454">
        <v>67.48</v>
      </c>
      <c r="AV14" s="85">
        <v>0</v>
      </c>
      <c r="AW14" s="442">
        <v>40745</v>
      </c>
      <c r="AX14" s="373">
        <v>34.39</v>
      </c>
      <c r="AY14" s="322">
        <v>0</v>
      </c>
    </row>
    <row r="15" spans="1:51" x14ac:dyDescent="0.3">
      <c r="A15" s="167">
        <v>40834</v>
      </c>
      <c r="B15" s="373">
        <v>34.15</v>
      </c>
      <c r="C15" s="99">
        <v>0</v>
      </c>
      <c r="D15" s="381">
        <v>41647</v>
      </c>
      <c r="E15" s="363">
        <v>9.4600000000000009</v>
      </c>
      <c r="F15" s="85">
        <v>0</v>
      </c>
      <c r="G15" s="179">
        <v>41830</v>
      </c>
      <c r="H15" s="363">
        <v>11.32</v>
      </c>
      <c r="I15" s="85">
        <v>0</v>
      </c>
      <c r="J15" s="193">
        <v>40834</v>
      </c>
      <c r="K15" s="194">
        <v>71.55</v>
      </c>
      <c r="L15" s="85">
        <v>0</v>
      </c>
      <c r="M15" s="393">
        <v>37797</v>
      </c>
      <c r="N15" s="394">
        <v>4.96</v>
      </c>
      <c r="O15" s="85">
        <v>0</v>
      </c>
      <c r="P15" s="383">
        <v>37797</v>
      </c>
      <c r="Q15" s="402">
        <v>4.53</v>
      </c>
      <c r="R15" s="85">
        <v>0</v>
      </c>
      <c r="S15" s="405">
        <v>37768</v>
      </c>
      <c r="T15" s="335">
        <v>26.93</v>
      </c>
      <c r="U15" s="85">
        <v>0</v>
      </c>
      <c r="V15" s="334">
        <v>37768</v>
      </c>
      <c r="W15" s="343">
        <v>3.54</v>
      </c>
      <c r="X15" s="224">
        <v>0</v>
      </c>
      <c r="Y15" s="349">
        <v>37768</v>
      </c>
      <c r="Z15" s="350">
        <v>30.47</v>
      </c>
      <c r="AA15" s="85">
        <v>0</v>
      </c>
      <c r="AB15" s="413">
        <v>37768</v>
      </c>
      <c r="AC15" s="227">
        <v>6.5</v>
      </c>
      <c r="AD15" s="85">
        <v>0</v>
      </c>
      <c r="AE15" s="206">
        <v>40504</v>
      </c>
      <c r="AF15" s="114">
        <v>92.2</v>
      </c>
      <c r="AG15" s="85">
        <v>0</v>
      </c>
      <c r="AH15" s="206">
        <v>40252</v>
      </c>
      <c r="AI15" s="114">
        <v>61.15</v>
      </c>
      <c r="AJ15" s="436">
        <v>0</v>
      </c>
      <c r="AK15" s="392">
        <v>40800</v>
      </c>
      <c r="AL15" s="373">
        <v>34.270000000000003</v>
      </c>
      <c r="AM15" s="322">
        <v>0</v>
      </c>
      <c r="AN15" s="239">
        <v>40800</v>
      </c>
      <c r="AO15" s="125">
        <v>63.46</v>
      </c>
      <c r="AP15" s="85">
        <v>0</v>
      </c>
      <c r="AQ15" s="442">
        <v>41506</v>
      </c>
      <c r="AR15" s="373">
        <v>11.4</v>
      </c>
      <c r="AS15" s="85">
        <v>0</v>
      </c>
      <c r="AT15" s="453">
        <v>40834</v>
      </c>
      <c r="AU15" s="454">
        <v>67.45</v>
      </c>
      <c r="AV15" s="85">
        <v>0</v>
      </c>
      <c r="AW15" s="442">
        <v>40777</v>
      </c>
      <c r="AX15" s="373">
        <v>34.49</v>
      </c>
      <c r="AY15" s="322">
        <v>0</v>
      </c>
    </row>
    <row r="16" spans="1:51" x14ac:dyDescent="0.3">
      <c r="A16" s="167">
        <v>40864</v>
      </c>
      <c r="B16" s="373">
        <v>34.049999999999997</v>
      </c>
      <c r="C16" s="99">
        <v>0</v>
      </c>
      <c r="D16" s="381">
        <v>41683</v>
      </c>
      <c r="E16" s="363">
        <v>9.89</v>
      </c>
      <c r="F16" s="85">
        <v>0</v>
      </c>
      <c r="G16" s="179">
        <v>41877</v>
      </c>
      <c r="H16" s="363">
        <v>13.21</v>
      </c>
      <c r="I16" s="85">
        <v>0</v>
      </c>
      <c r="J16" s="193">
        <v>40864</v>
      </c>
      <c r="K16" s="194">
        <v>71.64</v>
      </c>
      <c r="L16" s="85">
        <v>0</v>
      </c>
      <c r="M16" s="393">
        <v>37811</v>
      </c>
      <c r="N16" s="394">
        <v>4.8099999999999996</v>
      </c>
      <c r="O16" s="85">
        <v>0</v>
      </c>
      <c r="P16" s="383">
        <v>37811</v>
      </c>
      <c r="Q16" s="402">
        <v>5.01</v>
      </c>
      <c r="R16" s="85">
        <v>0</v>
      </c>
      <c r="S16" s="405">
        <v>37797</v>
      </c>
      <c r="T16" s="335">
        <v>28.23</v>
      </c>
      <c r="U16" s="85">
        <v>0</v>
      </c>
      <c r="V16" s="334">
        <v>37797</v>
      </c>
      <c r="W16" s="343">
        <v>3.18</v>
      </c>
      <c r="X16" s="224">
        <v>0</v>
      </c>
      <c r="Y16" s="349">
        <v>37777</v>
      </c>
      <c r="Z16" s="350">
        <v>27.57</v>
      </c>
      <c r="AA16" s="85">
        <v>0</v>
      </c>
      <c r="AB16" s="413">
        <v>37777</v>
      </c>
      <c r="AC16" s="227">
        <v>7.2</v>
      </c>
      <c r="AD16" s="85">
        <v>0</v>
      </c>
      <c r="AE16" s="206">
        <v>40505</v>
      </c>
      <c r="AF16" s="114">
        <v>92.2</v>
      </c>
      <c r="AG16" s="85">
        <v>0</v>
      </c>
      <c r="AH16" s="206">
        <v>40253</v>
      </c>
      <c r="AI16" s="114">
        <v>61.16</v>
      </c>
      <c r="AJ16" s="436">
        <v>0</v>
      </c>
      <c r="AK16" s="392">
        <v>40814</v>
      </c>
      <c r="AL16" s="373">
        <v>34.4</v>
      </c>
      <c r="AM16" s="322">
        <v>0</v>
      </c>
      <c r="AN16" s="239">
        <v>40814</v>
      </c>
      <c r="AO16" s="125">
        <v>63.65</v>
      </c>
      <c r="AP16" s="85">
        <v>0</v>
      </c>
      <c r="AQ16" s="442">
        <v>41617</v>
      </c>
      <c r="AR16" s="373">
        <v>11.37</v>
      </c>
      <c r="AS16" s="85">
        <v>0</v>
      </c>
      <c r="AT16" s="453">
        <v>40864</v>
      </c>
      <c r="AU16" s="454">
        <v>67.3</v>
      </c>
      <c r="AV16" s="85">
        <v>0</v>
      </c>
      <c r="AW16" s="442">
        <v>40800</v>
      </c>
      <c r="AX16" s="373">
        <v>34.4</v>
      </c>
      <c r="AY16" s="322">
        <v>0</v>
      </c>
    </row>
    <row r="17" spans="1:51" x14ac:dyDescent="0.3">
      <c r="A17" s="167">
        <v>40911</v>
      </c>
      <c r="B17" s="373">
        <v>34.35</v>
      </c>
      <c r="C17" s="99">
        <v>0</v>
      </c>
      <c r="D17" s="381">
        <v>41764</v>
      </c>
      <c r="E17" s="363">
        <v>9.83</v>
      </c>
      <c r="F17" s="85">
        <v>0</v>
      </c>
      <c r="G17" s="179">
        <v>41906</v>
      </c>
      <c r="H17" s="363">
        <v>13.45</v>
      </c>
      <c r="I17" s="85">
        <v>0</v>
      </c>
      <c r="J17" s="193">
        <v>40889</v>
      </c>
      <c r="K17" s="194">
        <v>71.7</v>
      </c>
      <c r="L17" s="85">
        <v>0</v>
      </c>
      <c r="M17" s="393">
        <v>37817</v>
      </c>
      <c r="N17" s="394">
        <v>4.7</v>
      </c>
      <c r="O17" s="85">
        <v>0</v>
      </c>
      <c r="P17" s="383">
        <v>37817</v>
      </c>
      <c r="Q17" s="402">
        <v>4.99</v>
      </c>
      <c r="R17" s="85">
        <v>0</v>
      </c>
      <c r="S17" s="405">
        <v>37816</v>
      </c>
      <c r="T17" s="335">
        <v>27.96</v>
      </c>
      <c r="U17" s="85">
        <v>0</v>
      </c>
      <c r="V17" s="334">
        <v>37816</v>
      </c>
      <c r="W17" s="343">
        <v>2.96</v>
      </c>
      <c r="X17" s="224">
        <v>0</v>
      </c>
      <c r="Y17" s="349">
        <v>37797</v>
      </c>
      <c r="Z17" s="350">
        <v>27.19</v>
      </c>
      <c r="AA17" s="85">
        <v>0</v>
      </c>
      <c r="AB17" s="413">
        <v>37797</v>
      </c>
      <c r="AC17" s="227">
        <v>7.17</v>
      </c>
      <c r="AD17" s="85">
        <v>0</v>
      </c>
      <c r="AE17" s="206">
        <v>40506</v>
      </c>
      <c r="AF17" s="114">
        <v>92.2</v>
      </c>
      <c r="AG17" s="85">
        <v>0</v>
      </c>
      <c r="AH17" s="206">
        <v>40254</v>
      </c>
      <c r="AI17" s="114">
        <v>61.16</v>
      </c>
      <c r="AJ17" s="436">
        <v>0</v>
      </c>
      <c r="AK17" s="392">
        <v>40834</v>
      </c>
      <c r="AL17" s="373">
        <v>34.299999999999997</v>
      </c>
      <c r="AM17" s="322">
        <v>0</v>
      </c>
      <c r="AN17" s="239">
        <v>40834</v>
      </c>
      <c r="AO17" s="125">
        <v>63.49</v>
      </c>
      <c r="AP17" s="85">
        <v>0</v>
      </c>
      <c r="AQ17" s="442">
        <v>41683</v>
      </c>
      <c r="AR17" s="373">
        <v>11.25</v>
      </c>
      <c r="AS17" s="85">
        <v>0</v>
      </c>
      <c r="AT17" s="453">
        <v>40911</v>
      </c>
      <c r="AU17" s="454">
        <v>67.400000000000006</v>
      </c>
      <c r="AV17" s="85">
        <v>0</v>
      </c>
      <c r="AW17" s="442">
        <v>40814</v>
      </c>
      <c r="AX17" s="373">
        <v>34.43</v>
      </c>
      <c r="AY17" s="322">
        <v>0</v>
      </c>
    </row>
    <row r="18" spans="1:51" x14ac:dyDescent="0.3">
      <c r="A18" s="167">
        <v>40963</v>
      </c>
      <c r="B18" s="373">
        <v>34.6</v>
      </c>
      <c r="C18" s="99">
        <v>0</v>
      </c>
      <c r="D18" s="381">
        <v>41793</v>
      </c>
      <c r="E18" s="363">
        <v>9.4499999999999993</v>
      </c>
      <c r="F18" s="85">
        <v>0</v>
      </c>
      <c r="G18" s="179">
        <v>41976</v>
      </c>
      <c r="H18" s="363">
        <v>9.8699999999999992</v>
      </c>
      <c r="I18" s="85">
        <v>0</v>
      </c>
      <c r="J18" s="193">
        <v>40934</v>
      </c>
      <c r="K18" s="194">
        <v>71.75</v>
      </c>
      <c r="L18" s="85">
        <v>0</v>
      </c>
      <c r="M18" s="393">
        <v>37824</v>
      </c>
      <c r="N18" s="394">
        <v>4.7300000000000004</v>
      </c>
      <c r="O18" s="85">
        <v>0</v>
      </c>
      <c r="P18" s="383">
        <v>37824</v>
      </c>
      <c r="Q18" s="402">
        <v>4.95</v>
      </c>
      <c r="R18" s="85">
        <v>0</v>
      </c>
      <c r="S18" s="405">
        <v>37817</v>
      </c>
      <c r="T18" s="335">
        <v>28.49</v>
      </c>
      <c r="U18" s="85">
        <v>0</v>
      </c>
      <c r="V18" s="334">
        <v>37817</v>
      </c>
      <c r="W18" s="343">
        <v>3.1</v>
      </c>
      <c r="X18" s="224">
        <v>0</v>
      </c>
      <c r="Y18" s="349">
        <v>37811</v>
      </c>
      <c r="Z18" s="350">
        <v>27.47</v>
      </c>
      <c r="AA18" s="85">
        <v>0</v>
      </c>
      <c r="AB18" s="413">
        <v>37811</v>
      </c>
      <c r="AC18" s="227">
        <v>7.46</v>
      </c>
      <c r="AD18" s="85">
        <v>0</v>
      </c>
      <c r="AE18" s="206">
        <v>40507</v>
      </c>
      <c r="AF18" s="114">
        <v>92.21</v>
      </c>
      <c r="AG18" s="85">
        <v>0</v>
      </c>
      <c r="AH18" s="206">
        <v>40255</v>
      </c>
      <c r="AI18" s="114">
        <v>61.17</v>
      </c>
      <c r="AJ18" s="436">
        <v>0</v>
      </c>
      <c r="AK18" s="392">
        <v>40864</v>
      </c>
      <c r="AL18" s="373">
        <v>34.29</v>
      </c>
      <c r="AM18" s="322">
        <v>0</v>
      </c>
      <c r="AN18" s="239">
        <v>40864</v>
      </c>
      <c r="AO18" s="125">
        <v>63.8</v>
      </c>
      <c r="AP18" s="85">
        <v>0</v>
      </c>
      <c r="AQ18" s="442">
        <v>41764</v>
      </c>
      <c r="AR18" s="373">
        <v>11.32</v>
      </c>
      <c r="AS18" s="85">
        <v>0</v>
      </c>
      <c r="AT18" s="453">
        <v>40934</v>
      </c>
      <c r="AU18" s="454">
        <v>67.349999999999994</v>
      </c>
      <c r="AV18" s="85">
        <v>0</v>
      </c>
      <c r="AW18" s="442">
        <v>40834</v>
      </c>
      <c r="AX18" s="373">
        <v>34.450000000000003</v>
      </c>
      <c r="AY18" s="322">
        <v>0</v>
      </c>
    </row>
    <row r="19" spans="1:51" x14ac:dyDescent="0.3">
      <c r="A19" s="167">
        <v>41073</v>
      </c>
      <c r="B19" s="373">
        <v>34.799999999999997</v>
      </c>
      <c r="C19" s="99">
        <v>0</v>
      </c>
      <c r="D19" s="381">
        <v>41830</v>
      </c>
      <c r="E19" s="363">
        <v>9.52</v>
      </c>
      <c r="F19" s="85">
        <v>0</v>
      </c>
      <c r="G19" s="179">
        <v>42009</v>
      </c>
      <c r="H19" s="363">
        <v>10.99</v>
      </c>
      <c r="I19" s="85">
        <v>0</v>
      </c>
      <c r="J19" s="193">
        <v>40967</v>
      </c>
      <c r="K19" s="194">
        <v>71.7</v>
      </c>
      <c r="L19" s="85">
        <v>0</v>
      </c>
      <c r="M19" s="393">
        <v>37832</v>
      </c>
      <c r="N19" s="394">
        <v>4.7</v>
      </c>
      <c r="O19" s="85">
        <v>0</v>
      </c>
      <c r="P19" s="383">
        <v>37832</v>
      </c>
      <c r="Q19" s="402">
        <v>4.9800000000000004</v>
      </c>
      <c r="R19" s="85">
        <v>0</v>
      </c>
      <c r="S19" s="405">
        <v>37823</v>
      </c>
      <c r="T19" s="335">
        <v>28.51</v>
      </c>
      <c r="U19" s="85">
        <v>0</v>
      </c>
      <c r="V19" s="334">
        <v>37823</v>
      </c>
      <c r="W19" s="343">
        <v>3.15</v>
      </c>
      <c r="X19" s="224">
        <v>0</v>
      </c>
      <c r="Y19" s="349">
        <v>37816</v>
      </c>
      <c r="Z19" s="350">
        <v>28.98</v>
      </c>
      <c r="AA19" s="85">
        <v>0</v>
      </c>
      <c r="AB19" s="413">
        <v>37816</v>
      </c>
      <c r="AC19" s="227">
        <v>7.28</v>
      </c>
      <c r="AD19" s="85">
        <v>0</v>
      </c>
      <c r="AE19" s="206">
        <v>40531</v>
      </c>
      <c r="AF19" s="114">
        <v>92.33</v>
      </c>
      <c r="AG19" s="85">
        <v>0</v>
      </c>
      <c r="AH19" s="206">
        <v>40256</v>
      </c>
      <c r="AI19" s="114">
        <v>61.18</v>
      </c>
      <c r="AJ19" s="436">
        <v>0</v>
      </c>
      <c r="AK19" s="392">
        <v>40911</v>
      </c>
      <c r="AL19" s="373">
        <v>34.299999999999997</v>
      </c>
      <c r="AM19" s="322">
        <v>0</v>
      </c>
      <c r="AN19" s="239">
        <v>40911</v>
      </c>
      <c r="AO19" s="125">
        <v>64</v>
      </c>
      <c r="AP19" s="85">
        <v>0</v>
      </c>
      <c r="AQ19" s="443">
        <v>41976</v>
      </c>
      <c r="AR19" s="375">
        <v>11.22</v>
      </c>
      <c r="AS19" s="85">
        <v>0</v>
      </c>
      <c r="AT19" s="453">
        <v>40967</v>
      </c>
      <c r="AU19" s="454">
        <v>67.739999999999995</v>
      </c>
      <c r="AV19" s="85">
        <v>0</v>
      </c>
      <c r="AW19" s="442">
        <v>40864</v>
      </c>
      <c r="AX19" s="373">
        <v>33.369999999999997</v>
      </c>
      <c r="AY19" s="322">
        <v>0</v>
      </c>
    </row>
    <row r="20" spans="1:51" x14ac:dyDescent="0.3">
      <c r="A20" s="167">
        <v>41098</v>
      </c>
      <c r="B20" s="373">
        <v>34.799999999999997</v>
      </c>
      <c r="C20" s="99">
        <v>0</v>
      </c>
      <c r="D20" s="381">
        <v>41877</v>
      </c>
      <c r="E20" s="363">
        <v>10.35</v>
      </c>
      <c r="F20" s="85">
        <v>0</v>
      </c>
      <c r="G20" s="179">
        <v>42157</v>
      </c>
      <c r="H20" s="363">
        <v>12.9</v>
      </c>
      <c r="I20" s="85">
        <v>0</v>
      </c>
      <c r="J20" s="193">
        <v>41031</v>
      </c>
      <c r="K20" s="194">
        <v>71.650000000000006</v>
      </c>
      <c r="L20" s="85">
        <v>0</v>
      </c>
      <c r="M20" s="393">
        <v>37839</v>
      </c>
      <c r="N20" s="394">
        <v>4.7</v>
      </c>
      <c r="O20" s="85">
        <v>0</v>
      </c>
      <c r="P20" s="383">
        <v>37839</v>
      </c>
      <c r="Q20" s="402">
        <v>5.7</v>
      </c>
      <c r="R20" s="85">
        <v>0</v>
      </c>
      <c r="S20" s="405">
        <v>37830</v>
      </c>
      <c r="T20" s="335">
        <v>28.49</v>
      </c>
      <c r="U20" s="85">
        <v>0</v>
      </c>
      <c r="V20" s="334">
        <v>37830</v>
      </c>
      <c r="W20" s="343">
        <v>3.24</v>
      </c>
      <c r="X20" s="224">
        <v>0</v>
      </c>
      <c r="Y20" s="349">
        <v>37817</v>
      </c>
      <c r="Z20" s="350">
        <v>29.29</v>
      </c>
      <c r="AA20" s="85">
        <v>0</v>
      </c>
      <c r="AB20" s="413">
        <v>37817</v>
      </c>
      <c r="AC20" s="227">
        <v>7.36</v>
      </c>
      <c r="AD20" s="85">
        <v>0</v>
      </c>
      <c r="AE20" s="206">
        <v>40540</v>
      </c>
      <c r="AF20" s="114">
        <v>92.37</v>
      </c>
      <c r="AG20" s="85">
        <v>0</v>
      </c>
      <c r="AH20" s="206">
        <v>40257</v>
      </c>
      <c r="AI20" s="114">
        <v>61.17</v>
      </c>
      <c r="AJ20" s="436">
        <v>0</v>
      </c>
      <c r="AK20" s="392">
        <v>40934</v>
      </c>
      <c r="AL20" s="373">
        <v>34.4</v>
      </c>
      <c r="AM20" s="322">
        <v>0</v>
      </c>
      <c r="AN20" s="239">
        <v>40934</v>
      </c>
      <c r="AO20" s="125">
        <v>63.95</v>
      </c>
      <c r="AP20" s="85">
        <v>0</v>
      </c>
      <c r="AQ20" s="447">
        <v>42134</v>
      </c>
      <c r="AR20" s="225">
        <v>11.44</v>
      </c>
      <c r="AS20" s="85">
        <v>1</v>
      </c>
      <c r="AT20" s="453">
        <v>41023</v>
      </c>
      <c r="AU20" s="454">
        <v>67.55</v>
      </c>
      <c r="AV20" s="85">
        <v>0</v>
      </c>
      <c r="AW20" s="442">
        <v>40911</v>
      </c>
      <c r="AX20" s="373">
        <v>34.54</v>
      </c>
      <c r="AY20" s="322">
        <v>0</v>
      </c>
    </row>
    <row r="21" spans="1:51" x14ac:dyDescent="0.3">
      <c r="A21" s="167">
        <v>41191</v>
      </c>
      <c r="B21" s="373">
        <v>35.49</v>
      </c>
      <c r="C21" s="99">
        <v>0</v>
      </c>
      <c r="D21" s="381">
        <v>41906</v>
      </c>
      <c r="E21" s="363">
        <v>10.75</v>
      </c>
      <c r="F21" s="85">
        <v>0</v>
      </c>
      <c r="G21" s="179">
        <v>42220</v>
      </c>
      <c r="H21" s="363">
        <v>13.37</v>
      </c>
      <c r="I21" s="85">
        <v>0</v>
      </c>
      <c r="J21" s="193">
        <v>41072</v>
      </c>
      <c r="K21" s="194">
        <v>71.650000000000006</v>
      </c>
      <c r="L21" s="85">
        <v>0</v>
      </c>
      <c r="M21" s="393">
        <v>37845</v>
      </c>
      <c r="N21" s="394">
        <v>4.7300000000000004</v>
      </c>
      <c r="O21" s="85">
        <v>0</v>
      </c>
      <c r="P21" s="383">
        <v>37845</v>
      </c>
      <c r="Q21" s="402">
        <v>5.0599999999999996</v>
      </c>
      <c r="R21" s="85">
        <v>0</v>
      </c>
      <c r="S21" s="405">
        <v>37839</v>
      </c>
      <c r="T21" s="335">
        <v>28.52</v>
      </c>
      <c r="U21" s="85">
        <v>0</v>
      </c>
      <c r="V21" s="334">
        <v>37839</v>
      </c>
      <c r="W21" s="343">
        <v>3.2</v>
      </c>
      <c r="X21" s="224">
        <v>0</v>
      </c>
      <c r="Y21" s="349">
        <v>37821</v>
      </c>
      <c r="Z21" s="350">
        <v>29.02</v>
      </c>
      <c r="AA21" s="85">
        <v>0</v>
      </c>
      <c r="AB21" s="413">
        <v>37821</v>
      </c>
      <c r="AC21" s="227">
        <v>7.38</v>
      </c>
      <c r="AD21" s="85">
        <v>0</v>
      </c>
      <c r="AE21" s="206">
        <v>40541</v>
      </c>
      <c r="AF21" s="114">
        <v>92.37</v>
      </c>
      <c r="AG21" s="85">
        <v>0</v>
      </c>
      <c r="AH21" s="206">
        <v>40258</v>
      </c>
      <c r="AI21" s="114">
        <v>61.17</v>
      </c>
      <c r="AJ21" s="436">
        <v>0</v>
      </c>
      <c r="AK21" s="392">
        <v>40963</v>
      </c>
      <c r="AL21" s="373">
        <v>34.549999999999997</v>
      </c>
      <c r="AM21" s="322">
        <v>0</v>
      </c>
      <c r="AN21" s="239">
        <v>40967</v>
      </c>
      <c r="AO21" s="125">
        <v>64.099999999999994</v>
      </c>
      <c r="AP21" s="85">
        <v>0</v>
      </c>
      <c r="AQ21" s="443">
        <v>42223</v>
      </c>
      <c r="AR21" s="451">
        <v>12.27</v>
      </c>
      <c r="AS21" s="85">
        <v>0</v>
      </c>
      <c r="AT21" s="453">
        <v>41059</v>
      </c>
      <c r="AU21" s="454">
        <v>68</v>
      </c>
      <c r="AV21" s="85">
        <v>0</v>
      </c>
      <c r="AW21" s="442">
        <v>40934</v>
      </c>
      <c r="AX21" s="373">
        <v>34.54</v>
      </c>
      <c r="AY21" s="322">
        <v>0</v>
      </c>
    </row>
    <row r="22" spans="1:51" x14ac:dyDescent="0.3">
      <c r="A22" s="167">
        <v>41228</v>
      </c>
      <c r="B22" s="373">
        <v>34.72</v>
      </c>
      <c r="C22" s="99">
        <v>0</v>
      </c>
      <c r="D22" s="381">
        <v>41936</v>
      </c>
      <c r="E22" s="364">
        <v>10.42</v>
      </c>
      <c r="F22" s="85">
        <v>0</v>
      </c>
      <c r="G22" s="179">
        <v>42255</v>
      </c>
      <c r="H22" s="363">
        <v>12.95</v>
      </c>
      <c r="I22" s="85">
        <v>0</v>
      </c>
      <c r="J22" s="193">
        <v>41098</v>
      </c>
      <c r="K22" s="194">
        <v>71.64</v>
      </c>
      <c r="L22" s="85">
        <v>0</v>
      </c>
      <c r="M22" s="393">
        <v>37873</v>
      </c>
      <c r="N22" s="394">
        <v>4.74</v>
      </c>
      <c r="O22" s="85">
        <v>0</v>
      </c>
      <c r="P22" s="383">
        <v>37873</v>
      </c>
      <c r="Q22" s="402">
        <v>5.2</v>
      </c>
      <c r="R22" s="85">
        <v>0</v>
      </c>
      <c r="S22" s="405">
        <v>37846</v>
      </c>
      <c r="T22" s="335">
        <v>28.65</v>
      </c>
      <c r="U22" s="85">
        <v>0</v>
      </c>
      <c r="V22" s="334">
        <v>37846</v>
      </c>
      <c r="W22" s="343">
        <v>3.41</v>
      </c>
      <c r="X22" s="224">
        <v>0</v>
      </c>
      <c r="Y22" s="349">
        <v>37825</v>
      </c>
      <c r="Z22" s="350">
        <v>29.21</v>
      </c>
      <c r="AA22" s="85">
        <v>0</v>
      </c>
      <c r="AB22" s="413">
        <v>37825</v>
      </c>
      <c r="AC22" s="227">
        <v>7.48</v>
      </c>
      <c r="AD22" s="85">
        <v>0</v>
      </c>
      <c r="AE22" s="206">
        <v>40542</v>
      </c>
      <c r="AF22" s="114">
        <v>92.36</v>
      </c>
      <c r="AG22" s="85">
        <v>0</v>
      </c>
      <c r="AH22" s="206">
        <v>40259</v>
      </c>
      <c r="AI22" s="114">
        <v>61.17</v>
      </c>
      <c r="AJ22" s="436">
        <v>0</v>
      </c>
      <c r="AK22" s="392">
        <v>41011</v>
      </c>
      <c r="AL22" s="373">
        <v>34.9</v>
      </c>
      <c r="AM22" s="322">
        <v>0</v>
      </c>
      <c r="AN22" s="239">
        <v>41022</v>
      </c>
      <c r="AO22" s="125">
        <v>64.11</v>
      </c>
      <c r="AP22" s="85">
        <v>0</v>
      </c>
      <c r="AQ22" s="448">
        <v>42359</v>
      </c>
      <c r="AR22" s="441">
        <v>13.02</v>
      </c>
      <c r="AS22" s="85">
        <v>0</v>
      </c>
      <c r="AT22" s="453">
        <v>41072</v>
      </c>
      <c r="AU22" s="454">
        <v>68</v>
      </c>
      <c r="AV22" s="85">
        <v>0</v>
      </c>
      <c r="AW22" s="442">
        <v>40963</v>
      </c>
      <c r="AX22" s="373">
        <v>34.6</v>
      </c>
      <c r="AY22" s="322">
        <v>0</v>
      </c>
    </row>
    <row r="23" spans="1:51" x14ac:dyDescent="0.3">
      <c r="A23" s="167">
        <v>41278</v>
      </c>
      <c r="B23" s="373">
        <v>35.200000000000003</v>
      </c>
      <c r="C23" s="99">
        <v>0</v>
      </c>
      <c r="D23" s="381">
        <v>41976</v>
      </c>
      <c r="E23" s="364">
        <v>9.7100000000000009</v>
      </c>
      <c r="F23" s="85">
        <v>0</v>
      </c>
      <c r="G23" s="179">
        <v>42292</v>
      </c>
      <c r="H23" s="363">
        <v>11.98</v>
      </c>
      <c r="I23" s="85">
        <v>0</v>
      </c>
      <c r="J23" s="193">
        <v>41235</v>
      </c>
      <c r="K23" s="194">
        <v>71.599999999999994</v>
      </c>
      <c r="L23" s="85">
        <v>0</v>
      </c>
      <c r="M23" s="393">
        <v>38009</v>
      </c>
      <c r="N23" s="394">
        <v>4.41</v>
      </c>
      <c r="O23" s="85">
        <v>0</v>
      </c>
      <c r="P23" s="383">
        <v>38009</v>
      </c>
      <c r="Q23" s="402">
        <v>5.16</v>
      </c>
      <c r="R23" s="85">
        <v>0</v>
      </c>
      <c r="S23" s="405">
        <v>37873</v>
      </c>
      <c r="T23" s="335">
        <v>28.45</v>
      </c>
      <c r="U23" s="85">
        <v>0</v>
      </c>
      <c r="V23" s="334">
        <v>37873</v>
      </c>
      <c r="W23" s="343">
        <v>3.48</v>
      </c>
      <c r="X23" s="224">
        <v>0</v>
      </c>
      <c r="Y23" s="349">
        <v>37831</v>
      </c>
      <c r="Z23" s="350">
        <v>29.29</v>
      </c>
      <c r="AA23" s="85">
        <v>0</v>
      </c>
      <c r="AB23" s="413">
        <v>37831</v>
      </c>
      <c r="AC23" s="227">
        <v>7.47</v>
      </c>
      <c r="AD23" s="85">
        <v>0</v>
      </c>
      <c r="AE23" s="206">
        <v>40543</v>
      </c>
      <c r="AF23" s="114">
        <v>92.39</v>
      </c>
      <c r="AG23" s="85">
        <v>0</v>
      </c>
      <c r="AH23" s="206">
        <v>40260</v>
      </c>
      <c r="AI23" s="114">
        <v>61.16</v>
      </c>
      <c r="AJ23" s="436">
        <v>0</v>
      </c>
      <c r="AK23" s="392">
        <v>41072</v>
      </c>
      <c r="AL23" s="373">
        <v>35.35</v>
      </c>
      <c r="AM23" s="322">
        <v>0</v>
      </c>
      <c r="AN23" s="239">
        <v>41059</v>
      </c>
      <c r="AO23" s="125">
        <v>64.16</v>
      </c>
      <c r="AP23" s="85">
        <v>0</v>
      </c>
      <c r="AQ23" s="446">
        <v>42471</v>
      </c>
      <c r="AR23" s="450">
        <v>13.39</v>
      </c>
      <c r="AS23" s="85">
        <v>0</v>
      </c>
      <c r="AT23" s="453">
        <v>41098</v>
      </c>
      <c r="AU23" s="454">
        <v>68.25</v>
      </c>
      <c r="AV23" s="85">
        <v>0</v>
      </c>
      <c r="AW23" s="442">
        <v>41059</v>
      </c>
      <c r="AX23" s="373">
        <v>34.700000000000003</v>
      </c>
      <c r="AY23" s="322">
        <v>0</v>
      </c>
    </row>
    <row r="24" spans="1:51" x14ac:dyDescent="0.3">
      <c r="A24" s="167">
        <v>41401</v>
      </c>
      <c r="B24" s="373">
        <v>35.43</v>
      </c>
      <c r="C24" s="99">
        <v>0</v>
      </c>
      <c r="D24" s="381">
        <v>42009</v>
      </c>
      <c r="E24" s="365">
        <v>10.648333333333335</v>
      </c>
      <c r="F24" s="85">
        <v>0</v>
      </c>
      <c r="G24" s="179">
        <v>42353</v>
      </c>
      <c r="H24" s="363">
        <v>12.32</v>
      </c>
      <c r="I24" s="85">
        <v>0</v>
      </c>
      <c r="J24" s="193">
        <v>41278</v>
      </c>
      <c r="K24" s="194">
        <v>71.67</v>
      </c>
      <c r="L24" s="85">
        <v>0</v>
      </c>
      <c r="M24" s="393">
        <v>38016</v>
      </c>
      <c r="N24" s="394">
        <v>4.42</v>
      </c>
      <c r="O24" s="85">
        <v>0</v>
      </c>
      <c r="P24" s="383">
        <v>38016</v>
      </c>
      <c r="Q24" s="402">
        <v>5.12</v>
      </c>
      <c r="R24" s="85">
        <v>0</v>
      </c>
      <c r="S24" s="405">
        <v>37901</v>
      </c>
      <c r="T24" s="335">
        <v>28.47</v>
      </c>
      <c r="U24" s="85">
        <v>0</v>
      </c>
      <c r="V24" s="334">
        <v>37901</v>
      </c>
      <c r="W24" s="343">
        <v>3.01</v>
      </c>
      <c r="X24" s="224">
        <v>0</v>
      </c>
      <c r="Y24" s="349">
        <v>37839</v>
      </c>
      <c r="Z24" s="350">
        <v>29.3</v>
      </c>
      <c r="AA24" s="85">
        <v>0</v>
      </c>
      <c r="AB24" s="413">
        <v>37839</v>
      </c>
      <c r="AC24" s="227">
        <v>7.43</v>
      </c>
      <c r="AD24" s="85">
        <v>0</v>
      </c>
      <c r="AE24" s="206">
        <v>40544</v>
      </c>
      <c r="AF24" s="114">
        <v>92.4</v>
      </c>
      <c r="AG24" s="85">
        <v>0</v>
      </c>
      <c r="AH24" s="206">
        <v>40261</v>
      </c>
      <c r="AI24" s="114">
        <v>61.16</v>
      </c>
      <c r="AJ24" s="436">
        <v>0</v>
      </c>
      <c r="AK24" s="392">
        <v>41191</v>
      </c>
      <c r="AL24" s="373">
        <v>35.619999999999997</v>
      </c>
      <c r="AM24" s="322">
        <v>0</v>
      </c>
      <c r="AN24" s="239">
        <v>41072</v>
      </c>
      <c r="AO24" s="125">
        <v>63.24</v>
      </c>
      <c r="AP24" s="85">
        <v>0</v>
      </c>
      <c r="AQ24" s="447">
        <v>42620</v>
      </c>
      <c r="AR24" s="452">
        <v>14.56</v>
      </c>
      <c r="AS24" s="85">
        <v>1</v>
      </c>
      <c r="AT24" s="453">
        <v>41235</v>
      </c>
      <c r="AU24" s="454">
        <v>68.790000000000006</v>
      </c>
      <c r="AV24" s="85">
        <v>0</v>
      </c>
      <c r="AW24" s="442">
        <v>41073</v>
      </c>
      <c r="AX24" s="373">
        <v>34.64</v>
      </c>
      <c r="AY24" s="322">
        <v>0</v>
      </c>
    </row>
    <row r="25" spans="1:51" x14ac:dyDescent="0.3">
      <c r="A25" s="167">
        <v>41437</v>
      </c>
      <c r="B25" s="373">
        <v>35.5</v>
      </c>
      <c r="C25" s="99">
        <v>0</v>
      </c>
      <c r="D25" s="381">
        <v>42157</v>
      </c>
      <c r="E25" s="364">
        <v>10.55</v>
      </c>
      <c r="F25" s="85">
        <v>0</v>
      </c>
      <c r="G25" s="179">
        <v>42387</v>
      </c>
      <c r="H25" s="363">
        <v>13.47</v>
      </c>
      <c r="I25" s="85">
        <v>0</v>
      </c>
      <c r="J25" s="193">
        <v>41368</v>
      </c>
      <c r="K25" s="194">
        <v>71.88</v>
      </c>
      <c r="L25" s="85">
        <v>0</v>
      </c>
      <c r="M25" s="393">
        <v>38050</v>
      </c>
      <c r="N25" s="394">
        <v>4.45</v>
      </c>
      <c r="O25" s="85">
        <v>0</v>
      </c>
      <c r="P25" s="383">
        <v>38050</v>
      </c>
      <c r="Q25" s="402">
        <v>5.08</v>
      </c>
      <c r="R25" s="85">
        <v>0</v>
      </c>
      <c r="S25" s="405">
        <v>38009</v>
      </c>
      <c r="T25" s="335">
        <v>28.64</v>
      </c>
      <c r="U25" s="85">
        <v>0</v>
      </c>
      <c r="V25" s="334">
        <v>38009</v>
      </c>
      <c r="W25" s="343">
        <v>3.43</v>
      </c>
      <c r="X25" s="224">
        <v>0</v>
      </c>
      <c r="Y25" s="349">
        <v>37845</v>
      </c>
      <c r="Z25" s="350">
        <v>29.32</v>
      </c>
      <c r="AA25" s="85">
        <v>0</v>
      </c>
      <c r="AB25" s="413">
        <v>37845</v>
      </c>
      <c r="AC25" s="227">
        <v>7.49</v>
      </c>
      <c r="AD25" s="85">
        <v>0</v>
      </c>
      <c r="AE25" s="206">
        <v>40745</v>
      </c>
      <c r="AF25" s="114">
        <v>91.55</v>
      </c>
      <c r="AG25" s="85">
        <v>0</v>
      </c>
      <c r="AH25" s="206">
        <v>40262</v>
      </c>
      <c r="AI25" s="114">
        <v>61.16</v>
      </c>
      <c r="AJ25" s="436">
        <v>0</v>
      </c>
      <c r="AK25" s="392">
        <v>41228</v>
      </c>
      <c r="AL25" s="437">
        <v>35.75</v>
      </c>
      <c r="AM25" s="322">
        <v>0</v>
      </c>
      <c r="AN25" s="239">
        <v>41098</v>
      </c>
      <c r="AO25" s="125">
        <v>64.349999999999994</v>
      </c>
      <c r="AP25" s="85">
        <v>0</v>
      </c>
      <c r="AQ25" s="448">
        <v>42733</v>
      </c>
      <c r="AR25" s="441">
        <v>14.96</v>
      </c>
      <c r="AS25" s="85">
        <v>0</v>
      </c>
      <c r="AT25" s="453">
        <v>41278</v>
      </c>
      <c r="AU25" s="454">
        <v>69.099999999999994</v>
      </c>
      <c r="AV25" s="85">
        <v>0</v>
      </c>
      <c r="AW25" s="442">
        <v>41228</v>
      </c>
      <c r="AX25" s="373">
        <v>34.57</v>
      </c>
      <c r="AY25" s="322">
        <v>0</v>
      </c>
    </row>
    <row r="26" spans="1:51" x14ac:dyDescent="0.3">
      <c r="A26" s="167">
        <v>41471</v>
      </c>
      <c r="B26" s="373">
        <v>35.58</v>
      </c>
      <c r="C26" s="99">
        <v>0</v>
      </c>
      <c r="D26" s="381">
        <v>42220</v>
      </c>
      <c r="E26" s="364">
        <v>11.2</v>
      </c>
      <c r="F26" s="85">
        <v>0</v>
      </c>
      <c r="G26" s="179">
        <v>42429</v>
      </c>
      <c r="H26" s="363">
        <v>13.02</v>
      </c>
      <c r="I26" s="85">
        <v>0</v>
      </c>
      <c r="J26" s="331">
        <v>41397</v>
      </c>
      <c r="K26" s="194">
        <v>71.819999999999993</v>
      </c>
      <c r="L26" s="85">
        <v>0</v>
      </c>
      <c r="M26" s="393">
        <v>43588</v>
      </c>
      <c r="N26" s="394">
        <v>4.5999999999999996</v>
      </c>
      <c r="O26" s="85">
        <v>0</v>
      </c>
      <c r="P26" s="383">
        <v>43588</v>
      </c>
      <c r="Q26" s="402">
        <v>5.37</v>
      </c>
      <c r="R26" s="85">
        <v>0</v>
      </c>
      <c r="S26" s="405">
        <v>38110</v>
      </c>
      <c r="T26" s="335">
        <v>28.65</v>
      </c>
      <c r="U26" s="85">
        <v>0</v>
      </c>
      <c r="V26" s="334">
        <v>38110</v>
      </c>
      <c r="W26" s="343">
        <v>3.44</v>
      </c>
      <c r="X26" s="224">
        <v>0</v>
      </c>
      <c r="Y26" s="349">
        <v>37744</v>
      </c>
      <c r="Z26" s="350">
        <v>29.25</v>
      </c>
      <c r="AA26" s="85">
        <v>0</v>
      </c>
      <c r="AB26" s="413">
        <v>37744</v>
      </c>
      <c r="AC26" s="227">
        <v>7.5</v>
      </c>
      <c r="AD26" s="85">
        <v>0</v>
      </c>
      <c r="AE26" s="206">
        <v>40777</v>
      </c>
      <c r="AF26" s="114">
        <v>91.34</v>
      </c>
      <c r="AG26" s="85">
        <v>0</v>
      </c>
      <c r="AH26" s="206">
        <v>40263</v>
      </c>
      <c r="AI26" s="114">
        <v>61.17</v>
      </c>
      <c r="AJ26" s="436">
        <v>0</v>
      </c>
      <c r="AK26" s="392">
        <v>41278</v>
      </c>
      <c r="AL26" s="437">
        <f>(AL25+AL27)/2</f>
        <v>36.125</v>
      </c>
      <c r="AM26" s="322">
        <v>0</v>
      </c>
      <c r="AN26" s="239">
        <v>41171</v>
      </c>
      <c r="AO26" s="125">
        <v>64.459999999999994</v>
      </c>
      <c r="AP26" s="85">
        <v>0</v>
      </c>
      <c r="AQ26" s="473" t="s">
        <v>62</v>
      </c>
      <c r="AR26" s="473">
        <f>COUNT(AR3:AR25)</f>
        <v>23</v>
      </c>
      <c r="AS26" s="474">
        <f>SUM(AS3:AS25)</f>
        <v>4</v>
      </c>
      <c r="AT26" s="262">
        <v>41368</v>
      </c>
      <c r="AU26" s="454">
        <v>69.45</v>
      </c>
      <c r="AV26" s="85">
        <v>0</v>
      </c>
      <c r="AW26" s="442">
        <v>41278</v>
      </c>
      <c r="AX26" s="373">
        <v>34.74</v>
      </c>
      <c r="AY26" s="322">
        <v>0</v>
      </c>
    </row>
    <row r="27" spans="1:51" x14ac:dyDescent="0.3">
      <c r="A27" s="167">
        <v>41506</v>
      </c>
      <c r="B27" s="373">
        <v>35.549999999999997</v>
      </c>
      <c r="C27" s="99">
        <v>0</v>
      </c>
      <c r="D27" s="381">
        <v>42255</v>
      </c>
      <c r="E27" s="364">
        <v>11.26</v>
      </c>
      <c r="F27" s="85">
        <v>0</v>
      </c>
      <c r="G27" s="179">
        <v>42471</v>
      </c>
      <c r="H27" s="363">
        <v>12.32</v>
      </c>
      <c r="I27" s="85">
        <v>0</v>
      </c>
      <c r="J27" s="193">
        <v>41437</v>
      </c>
      <c r="K27" s="194">
        <v>71.75</v>
      </c>
      <c r="L27" s="85">
        <v>0</v>
      </c>
      <c r="M27" s="393">
        <v>38078</v>
      </c>
      <c r="N27" s="394">
        <v>4.8</v>
      </c>
      <c r="O27" s="85">
        <v>0</v>
      </c>
      <c r="P27" s="383">
        <v>38078</v>
      </c>
      <c r="Q27" s="402">
        <v>5.4</v>
      </c>
      <c r="R27" s="85">
        <v>0</v>
      </c>
      <c r="S27" s="405">
        <v>38048</v>
      </c>
      <c r="T27" s="335">
        <v>28.68</v>
      </c>
      <c r="U27" s="85">
        <v>0</v>
      </c>
      <c r="V27" s="334">
        <v>38048</v>
      </c>
      <c r="W27" s="343">
        <v>3.49</v>
      </c>
      <c r="X27" s="224">
        <v>0</v>
      </c>
      <c r="Y27" s="349">
        <v>37858</v>
      </c>
      <c r="Z27" s="350">
        <v>29.29</v>
      </c>
      <c r="AA27" s="85">
        <v>0</v>
      </c>
      <c r="AB27" s="413">
        <v>37858</v>
      </c>
      <c r="AC27" s="227">
        <v>7.51</v>
      </c>
      <c r="AD27" s="85">
        <v>0</v>
      </c>
      <c r="AE27" s="206">
        <v>40814</v>
      </c>
      <c r="AF27" s="114">
        <v>91.29</v>
      </c>
      <c r="AG27" s="85">
        <v>0</v>
      </c>
      <c r="AH27" s="206">
        <v>40264</v>
      </c>
      <c r="AI27" s="114">
        <v>61.17</v>
      </c>
      <c r="AJ27" s="436">
        <v>0</v>
      </c>
      <c r="AK27" s="392">
        <v>41368</v>
      </c>
      <c r="AL27" s="437">
        <v>36.5</v>
      </c>
      <c r="AM27" s="322">
        <v>0</v>
      </c>
      <c r="AN27" s="239">
        <v>41191</v>
      </c>
      <c r="AO27" s="125">
        <v>64.56</v>
      </c>
      <c r="AP27" s="85">
        <v>0</v>
      </c>
      <c r="AT27" s="262">
        <v>41401</v>
      </c>
      <c r="AU27" s="454">
        <v>69.22</v>
      </c>
      <c r="AV27" s="85">
        <v>0</v>
      </c>
      <c r="AW27" s="442">
        <v>41368</v>
      </c>
      <c r="AX27" s="373">
        <v>34.97</v>
      </c>
      <c r="AY27" s="322">
        <v>0</v>
      </c>
    </row>
    <row r="28" spans="1:51" x14ac:dyDescent="0.3">
      <c r="A28" s="167">
        <v>41617</v>
      </c>
      <c r="B28" s="373">
        <v>35.85</v>
      </c>
      <c r="C28" s="99">
        <v>0</v>
      </c>
      <c r="D28" s="381">
        <v>42292</v>
      </c>
      <c r="E28" s="364">
        <v>11.25</v>
      </c>
      <c r="F28" s="85">
        <v>0</v>
      </c>
      <c r="G28" s="179">
        <v>42557</v>
      </c>
      <c r="H28" s="363">
        <v>11.27</v>
      </c>
      <c r="I28" s="85">
        <v>0</v>
      </c>
      <c r="J28" s="193">
        <v>41471</v>
      </c>
      <c r="K28" s="194">
        <v>71.739999999999995</v>
      </c>
      <c r="L28" s="85">
        <v>0</v>
      </c>
      <c r="M28" s="393">
        <v>38090</v>
      </c>
      <c r="N28" s="394">
        <v>4.9000000000000004</v>
      </c>
      <c r="O28" s="85">
        <v>0</v>
      </c>
      <c r="P28" s="383">
        <v>38090</v>
      </c>
      <c r="Q28" s="402">
        <v>5.48</v>
      </c>
      <c r="R28" s="85">
        <v>0</v>
      </c>
      <c r="S28" s="405">
        <v>38058</v>
      </c>
      <c r="T28" s="335">
        <v>28.7</v>
      </c>
      <c r="U28" s="85">
        <v>0</v>
      </c>
      <c r="V28" s="334">
        <v>38058</v>
      </c>
      <c r="W28" s="343">
        <v>3.48</v>
      </c>
      <c r="X28" s="224">
        <v>0</v>
      </c>
      <c r="Y28" s="349">
        <v>37865</v>
      </c>
      <c r="Z28" s="350">
        <v>29.1</v>
      </c>
      <c r="AA28" s="85">
        <v>0</v>
      </c>
      <c r="AB28" s="413">
        <v>37865</v>
      </c>
      <c r="AC28" s="227">
        <v>7.6</v>
      </c>
      <c r="AD28" s="85">
        <v>0</v>
      </c>
      <c r="AE28" s="206">
        <v>40834</v>
      </c>
      <c r="AF28" s="114">
        <v>91.3</v>
      </c>
      <c r="AG28" s="85">
        <v>0</v>
      </c>
      <c r="AH28" s="206">
        <v>40265</v>
      </c>
      <c r="AI28" s="114">
        <v>61.16</v>
      </c>
      <c r="AJ28" s="436">
        <v>0</v>
      </c>
      <c r="AK28" s="392">
        <v>41401</v>
      </c>
      <c r="AL28" s="437">
        <v>36.79</v>
      </c>
      <c r="AM28" s="322">
        <v>0</v>
      </c>
      <c r="AN28" s="239">
        <v>41235</v>
      </c>
      <c r="AO28" s="125">
        <v>64.75</v>
      </c>
      <c r="AP28" s="85">
        <v>0</v>
      </c>
      <c r="AT28" s="262">
        <v>41437</v>
      </c>
      <c r="AU28" s="454">
        <v>69.790000000000006</v>
      </c>
      <c r="AV28" s="85">
        <v>0</v>
      </c>
      <c r="AW28" s="442">
        <v>41401</v>
      </c>
      <c r="AX28" s="373">
        <v>35.14</v>
      </c>
      <c r="AY28" s="322">
        <v>0</v>
      </c>
    </row>
    <row r="29" spans="1:51" x14ac:dyDescent="0.3">
      <c r="A29" s="167">
        <v>41647</v>
      </c>
      <c r="B29" s="373">
        <v>36.54</v>
      </c>
      <c r="C29" s="99">
        <v>0</v>
      </c>
      <c r="D29" s="381">
        <v>42353</v>
      </c>
      <c r="E29" s="364">
        <v>11.026</v>
      </c>
      <c r="F29" s="85">
        <v>0</v>
      </c>
      <c r="G29" s="179">
        <v>42591</v>
      </c>
      <c r="H29" s="363">
        <v>10.1</v>
      </c>
      <c r="I29" s="85">
        <v>0</v>
      </c>
      <c r="J29" s="193">
        <v>41506</v>
      </c>
      <c r="K29" s="194">
        <v>72.02</v>
      </c>
      <c r="L29" s="85">
        <v>0</v>
      </c>
      <c r="M29" s="393">
        <v>38105</v>
      </c>
      <c r="N29" s="394">
        <v>4.8499999999999996</v>
      </c>
      <c r="O29" s="85">
        <v>0</v>
      </c>
      <c r="P29" s="383">
        <v>38105</v>
      </c>
      <c r="Q29" s="402">
        <v>5.34</v>
      </c>
      <c r="R29" s="85">
        <v>0</v>
      </c>
      <c r="S29" s="405">
        <v>38078</v>
      </c>
      <c r="T29" s="335">
        <v>28.71</v>
      </c>
      <c r="U29" s="85">
        <v>0</v>
      </c>
      <c r="V29" s="334">
        <v>38078</v>
      </c>
      <c r="W29" s="343">
        <v>3.5</v>
      </c>
      <c r="X29" s="224">
        <v>0</v>
      </c>
      <c r="Y29" s="349">
        <v>37872</v>
      </c>
      <c r="Z29" s="350">
        <v>30.1</v>
      </c>
      <c r="AA29" s="85">
        <v>0</v>
      </c>
      <c r="AB29" s="413">
        <v>37872</v>
      </c>
      <c r="AC29" s="227">
        <v>7.5</v>
      </c>
      <c r="AD29" s="85">
        <v>0</v>
      </c>
      <c r="AE29" s="206">
        <v>40864</v>
      </c>
      <c r="AF29" s="114">
        <v>91.3</v>
      </c>
      <c r="AG29" s="85">
        <v>0</v>
      </c>
      <c r="AH29" s="206">
        <v>40266</v>
      </c>
      <c r="AI29" s="114">
        <v>61.15</v>
      </c>
      <c r="AJ29" s="436">
        <v>0</v>
      </c>
      <c r="AK29" s="392">
        <v>41437</v>
      </c>
      <c r="AL29" s="437">
        <v>36.97</v>
      </c>
      <c r="AM29" s="322">
        <v>0</v>
      </c>
      <c r="AN29" s="239">
        <v>41278</v>
      </c>
      <c r="AO29" s="125">
        <v>65</v>
      </c>
      <c r="AP29" s="85">
        <v>0</v>
      </c>
      <c r="AT29" s="262">
        <v>41471</v>
      </c>
      <c r="AU29" s="454">
        <v>69.91</v>
      </c>
      <c r="AV29" s="85">
        <v>0</v>
      </c>
      <c r="AW29" s="442">
        <v>41437</v>
      </c>
      <c r="AX29" s="373">
        <v>35.24</v>
      </c>
      <c r="AY29" s="322">
        <v>0</v>
      </c>
    </row>
    <row r="30" spans="1:51" x14ac:dyDescent="0.3">
      <c r="A30" s="167">
        <v>41683</v>
      </c>
      <c r="B30" s="373">
        <v>36.72</v>
      </c>
      <c r="C30" s="99">
        <v>0</v>
      </c>
      <c r="D30" s="381">
        <v>42429</v>
      </c>
      <c r="E30" s="364">
        <v>11.25</v>
      </c>
      <c r="F30" s="85">
        <v>0</v>
      </c>
      <c r="G30" s="179">
        <v>42858</v>
      </c>
      <c r="H30" s="363">
        <v>9.4600000000000009</v>
      </c>
      <c r="I30" s="85">
        <v>0</v>
      </c>
      <c r="J30" s="193">
        <v>41555</v>
      </c>
      <c r="K30" s="194">
        <v>72.010000000000005</v>
      </c>
      <c r="L30" s="85">
        <v>0</v>
      </c>
      <c r="M30" s="393">
        <v>38133</v>
      </c>
      <c r="N30" s="394">
        <v>4.53</v>
      </c>
      <c r="O30" s="85">
        <v>0</v>
      </c>
      <c r="P30" s="383">
        <v>38133</v>
      </c>
      <c r="Q30" s="402">
        <v>4.9000000000000004</v>
      </c>
      <c r="R30" s="85">
        <v>0</v>
      </c>
      <c r="S30" s="405">
        <v>38090</v>
      </c>
      <c r="T30" s="335">
        <v>29.05</v>
      </c>
      <c r="U30" s="85">
        <v>0</v>
      </c>
      <c r="V30" s="334">
        <v>38090</v>
      </c>
      <c r="W30" s="343">
        <v>4.01</v>
      </c>
      <c r="X30" s="224">
        <v>0</v>
      </c>
      <c r="Y30" s="349">
        <v>37873</v>
      </c>
      <c r="Z30" s="350">
        <v>30</v>
      </c>
      <c r="AA30" s="85">
        <v>0</v>
      </c>
      <c r="AB30" s="413">
        <v>37873</v>
      </c>
      <c r="AC30" s="227">
        <v>7.55</v>
      </c>
      <c r="AD30" s="85">
        <v>0</v>
      </c>
      <c r="AE30" s="206">
        <v>40889</v>
      </c>
      <c r="AF30" s="114">
        <v>91.3</v>
      </c>
      <c r="AG30" s="85">
        <v>0</v>
      </c>
      <c r="AH30" s="206">
        <v>40267</v>
      </c>
      <c r="AI30" s="114">
        <v>61.16</v>
      </c>
      <c r="AJ30" s="436">
        <v>0</v>
      </c>
      <c r="AK30" s="392">
        <v>41471</v>
      </c>
      <c r="AL30" s="437">
        <v>36.99</v>
      </c>
      <c r="AM30" s="322">
        <v>0</v>
      </c>
      <c r="AN30" s="239">
        <v>41368</v>
      </c>
      <c r="AO30" s="125">
        <v>65.23</v>
      </c>
      <c r="AP30" s="85">
        <v>0</v>
      </c>
      <c r="AT30" s="262">
        <v>41506</v>
      </c>
      <c r="AU30" s="454">
        <v>69.900000000000006</v>
      </c>
      <c r="AV30" s="85">
        <v>0</v>
      </c>
      <c r="AW30" s="442">
        <v>41471</v>
      </c>
      <c r="AX30" s="373">
        <v>35.31</v>
      </c>
      <c r="AY30" s="322">
        <v>0</v>
      </c>
    </row>
    <row r="31" spans="1:51" x14ac:dyDescent="0.3">
      <c r="A31" s="167">
        <v>41764</v>
      </c>
      <c r="B31" s="373">
        <v>36.950000000000003</v>
      </c>
      <c r="C31" s="99">
        <v>0</v>
      </c>
      <c r="D31" s="381">
        <v>42471</v>
      </c>
      <c r="E31" s="364">
        <v>11.66</v>
      </c>
      <c r="F31" s="85">
        <v>0</v>
      </c>
      <c r="G31" s="179">
        <v>42888</v>
      </c>
      <c r="H31" s="363">
        <v>8.8699999999999992</v>
      </c>
      <c r="I31" s="85">
        <v>0</v>
      </c>
      <c r="J31" s="193">
        <v>41556</v>
      </c>
      <c r="K31" s="194">
        <v>71.959999999999994</v>
      </c>
      <c r="L31" s="85">
        <v>0</v>
      </c>
      <c r="M31" s="393">
        <v>38155</v>
      </c>
      <c r="N31" s="394">
        <v>4.6500000000000004</v>
      </c>
      <c r="O31" s="85">
        <v>0</v>
      </c>
      <c r="P31" s="383">
        <v>38155</v>
      </c>
      <c r="Q31" s="402">
        <v>5.0999999999999996</v>
      </c>
      <c r="R31" s="85">
        <v>0</v>
      </c>
      <c r="S31" s="405">
        <v>38105</v>
      </c>
      <c r="T31" s="335">
        <v>29.05</v>
      </c>
      <c r="U31" s="85">
        <v>0</v>
      </c>
      <c r="V31" s="334">
        <v>38105</v>
      </c>
      <c r="W31" s="343">
        <v>3.73</v>
      </c>
      <c r="X31" s="224">
        <v>0</v>
      </c>
      <c r="Y31" s="349">
        <v>37881</v>
      </c>
      <c r="Z31" s="350">
        <v>29.95</v>
      </c>
      <c r="AA31" s="85">
        <v>0</v>
      </c>
      <c r="AB31" s="413">
        <v>37881</v>
      </c>
      <c r="AC31" s="227">
        <v>7.57</v>
      </c>
      <c r="AD31" s="85">
        <v>0</v>
      </c>
      <c r="AE31" s="206">
        <v>40911</v>
      </c>
      <c r="AF31" s="114">
        <v>91.3</v>
      </c>
      <c r="AG31" s="85">
        <v>0</v>
      </c>
      <c r="AH31" s="206">
        <v>40268</v>
      </c>
      <c r="AI31" s="114">
        <v>61.17</v>
      </c>
      <c r="AJ31" s="436">
        <v>0</v>
      </c>
      <c r="AK31" s="392">
        <v>41506</v>
      </c>
      <c r="AL31" s="437">
        <v>37.130000000000003</v>
      </c>
      <c r="AM31" s="322">
        <v>0</v>
      </c>
      <c r="AN31" s="239">
        <v>41401</v>
      </c>
      <c r="AO31" s="125">
        <v>65.400000000000006</v>
      </c>
      <c r="AP31" s="85">
        <v>0</v>
      </c>
      <c r="AT31" s="262">
        <v>41555</v>
      </c>
      <c r="AU31" s="454">
        <v>70.2</v>
      </c>
      <c r="AV31" s="85">
        <v>0</v>
      </c>
      <c r="AW31" s="442">
        <v>41506</v>
      </c>
      <c r="AX31" s="373">
        <v>35.32</v>
      </c>
      <c r="AY31" s="322">
        <v>0</v>
      </c>
    </row>
    <row r="32" spans="1:51" x14ac:dyDescent="0.3">
      <c r="A32" s="167">
        <v>41793</v>
      </c>
      <c r="B32" s="373">
        <v>36.979999999999997</v>
      </c>
      <c r="C32" s="99">
        <v>0</v>
      </c>
      <c r="D32" s="381">
        <v>42557</v>
      </c>
      <c r="E32" s="364">
        <v>9.76</v>
      </c>
      <c r="F32" s="85">
        <v>0</v>
      </c>
      <c r="G32" s="179">
        <v>43122</v>
      </c>
      <c r="H32" s="363">
        <v>7.11</v>
      </c>
      <c r="I32" s="85">
        <v>0</v>
      </c>
      <c r="J32" s="193">
        <v>41617</v>
      </c>
      <c r="K32" s="194">
        <v>72.14</v>
      </c>
      <c r="L32" s="85">
        <v>0</v>
      </c>
      <c r="M32" s="393">
        <v>38161</v>
      </c>
      <c r="N32" s="394">
        <v>4.63</v>
      </c>
      <c r="O32" s="85">
        <v>0</v>
      </c>
      <c r="P32" s="383">
        <v>38161</v>
      </c>
      <c r="Q32" s="402">
        <v>5.16</v>
      </c>
      <c r="R32" s="85">
        <v>0</v>
      </c>
      <c r="S32" s="405">
        <v>38117</v>
      </c>
      <c r="T32" s="335">
        <v>29.9</v>
      </c>
      <c r="U32" s="85">
        <v>0</v>
      </c>
      <c r="V32" s="334">
        <v>38117</v>
      </c>
      <c r="W32" s="343">
        <v>3.5</v>
      </c>
      <c r="X32" s="224">
        <v>0</v>
      </c>
      <c r="Y32" s="349">
        <v>37895</v>
      </c>
      <c r="Z32" s="350">
        <v>29.95</v>
      </c>
      <c r="AA32" s="85">
        <v>0</v>
      </c>
      <c r="AB32" s="413">
        <v>37895</v>
      </c>
      <c r="AC32" s="227">
        <v>7.5</v>
      </c>
      <c r="AD32" s="85">
        <v>0</v>
      </c>
      <c r="AE32" s="206">
        <v>40967</v>
      </c>
      <c r="AF32" s="114">
        <v>91.25</v>
      </c>
      <c r="AG32" s="85">
        <v>0</v>
      </c>
      <c r="AH32" s="206">
        <v>40269</v>
      </c>
      <c r="AI32" s="114">
        <v>61.17</v>
      </c>
      <c r="AJ32" s="436">
        <v>0</v>
      </c>
      <c r="AK32" s="392">
        <v>41555</v>
      </c>
      <c r="AL32" s="437">
        <v>37.18</v>
      </c>
      <c r="AM32" s="322">
        <v>0</v>
      </c>
      <c r="AN32" s="239">
        <v>41437</v>
      </c>
      <c r="AO32" s="125">
        <v>65.7</v>
      </c>
      <c r="AP32" s="85">
        <v>0</v>
      </c>
      <c r="AT32" s="262">
        <v>41556</v>
      </c>
      <c r="AU32" s="454">
        <v>70.17</v>
      </c>
      <c r="AV32" s="85">
        <v>0</v>
      </c>
      <c r="AW32" s="442">
        <v>41556</v>
      </c>
      <c r="AX32" s="373">
        <v>35.409999999999997</v>
      </c>
      <c r="AY32" s="322">
        <v>0</v>
      </c>
    </row>
    <row r="33" spans="1:51" x14ac:dyDescent="0.3">
      <c r="A33" s="167">
        <v>41830</v>
      </c>
      <c r="B33" s="374">
        <v>37.03</v>
      </c>
      <c r="C33" s="99">
        <v>0</v>
      </c>
      <c r="D33" s="381">
        <v>42591</v>
      </c>
      <c r="E33" s="364">
        <v>9.7100000000000009</v>
      </c>
      <c r="F33" s="85">
        <v>0</v>
      </c>
      <c r="G33" s="179">
        <v>43263</v>
      </c>
      <c r="H33" s="363">
        <v>6.49</v>
      </c>
      <c r="I33" s="85">
        <v>0</v>
      </c>
      <c r="J33" s="193">
        <v>41647</v>
      </c>
      <c r="K33" s="194">
        <v>72.12</v>
      </c>
      <c r="L33" s="85">
        <v>0</v>
      </c>
      <c r="M33" s="393">
        <v>38170</v>
      </c>
      <c r="N33" s="394">
        <v>4.5999999999999996</v>
      </c>
      <c r="O33" s="85">
        <v>0</v>
      </c>
      <c r="P33" s="383">
        <v>38170</v>
      </c>
      <c r="Q33" s="402">
        <v>5.12</v>
      </c>
      <c r="R33" s="85">
        <v>0</v>
      </c>
      <c r="S33" s="405">
        <v>38161</v>
      </c>
      <c r="T33" s="335">
        <v>28.84</v>
      </c>
      <c r="U33" s="85">
        <v>0</v>
      </c>
      <c r="V33" s="334">
        <v>38161</v>
      </c>
      <c r="W33" s="343">
        <v>2.74</v>
      </c>
      <c r="X33" s="224">
        <v>0</v>
      </c>
      <c r="Y33" s="349">
        <v>37900</v>
      </c>
      <c r="Z33" s="350">
        <v>29.97</v>
      </c>
      <c r="AA33" s="85">
        <v>0</v>
      </c>
      <c r="AB33" s="413">
        <v>37900</v>
      </c>
      <c r="AC33" s="227">
        <v>7.6</v>
      </c>
      <c r="AD33" s="85">
        <v>0</v>
      </c>
      <c r="AE33" s="206">
        <v>41017</v>
      </c>
      <c r="AF33" s="114">
        <v>91</v>
      </c>
      <c r="AG33" s="85">
        <v>0</v>
      </c>
      <c r="AH33" s="206">
        <v>40270</v>
      </c>
      <c r="AI33" s="114">
        <v>61.17</v>
      </c>
      <c r="AJ33" s="436">
        <v>0</v>
      </c>
      <c r="AK33" s="392">
        <v>41556</v>
      </c>
      <c r="AL33" s="437">
        <v>37.18</v>
      </c>
      <c r="AM33" s="322">
        <v>0</v>
      </c>
      <c r="AN33" s="252">
        <v>41471</v>
      </c>
      <c r="AO33" s="125">
        <v>65.430000000000007</v>
      </c>
      <c r="AP33" s="85">
        <v>0</v>
      </c>
      <c r="AT33" s="262">
        <v>41617</v>
      </c>
      <c r="AU33" s="454">
        <v>70.569999999999993</v>
      </c>
      <c r="AV33" s="85">
        <v>0</v>
      </c>
      <c r="AW33" s="442">
        <v>41617</v>
      </c>
      <c r="AX33" s="373">
        <v>35.57</v>
      </c>
      <c r="AY33" s="322">
        <v>0</v>
      </c>
    </row>
    <row r="34" spans="1:51" x14ac:dyDescent="0.3">
      <c r="A34" s="167">
        <v>41976</v>
      </c>
      <c r="B34" s="373">
        <v>36.979999999999997</v>
      </c>
      <c r="C34" s="99">
        <v>0</v>
      </c>
      <c r="D34" s="381">
        <v>42768</v>
      </c>
      <c r="E34" s="364">
        <v>9.7349999999999994</v>
      </c>
      <c r="F34" s="85">
        <v>0</v>
      </c>
      <c r="G34" s="179">
        <v>43297</v>
      </c>
      <c r="H34" s="363">
        <v>6.07</v>
      </c>
      <c r="I34" s="85">
        <v>0</v>
      </c>
      <c r="J34" s="193">
        <v>41683</v>
      </c>
      <c r="K34" s="194">
        <v>72.3</v>
      </c>
      <c r="L34" s="85">
        <v>0</v>
      </c>
      <c r="M34" s="393">
        <v>38197</v>
      </c>
      <c r="N34" s="394">
        <v>4.7</v>
      </c>
      <c r="O34" s="85">
        <v>0</v>
      </c>
      <c r="P34" s="383">
        <v>38197</v>
      </c>
      <c r="Q34" s="402">
        <v>5.05</v>
      </c>
      <c r="R34" s="85">
        <v>0</v>
      </c>
      <c r="S34" s="405">
        <v>38189</v>
      </c>
      <c r="T34" s="335">
        <v>29.07</v>
      </c>
      <c r="U34" s="85">
        <v>0</v>
      </c>
      <c r="V34" s="334">
        <v>38189</v>
      </c>
      <c r="W34" s="343">
        <v>2.6</v>
      </c>
      <c r="X34" s="224">
        <v>0</v>
      </c>
      <c r="Y34" s="349">
        <v>37937</v>
      </c>
      <c r="Z34" s="350">
        <v>29.72</v>
      </c>
      <c r="AA34" s="85">
        <v>0</v>
      </c>
      <c r="AB34" s="413">
        <v>37937</v>
      </c>
      <c r="AC34" s="227">
        <v>6.9</v>
      </c>
      <c r="AD34" s="85">
        <v>0</v>
      </c>
      <c r="AE34" s="206">
        <v>41072</v>
      </c>
      <c r="AF34" s="114">
        <v>91.15</v>
      </c>
      <c r="AG34" s="85">
        <v>0</v>
      </c>
      <c r="AH34" s="206">
        <v>40271</v>
      </c>
      <c r="AI34" s="114">
        <v>61.17</v>
      </c>
      <c r="AJ34" s="436">
        <v>0</v>
      </c>
      <c r="AK34" s="392">
        <v>41617</v>
      </c>
      <c r="AL34" s="437">
        <v>37.15</v>
      </c>
      <c r="AM34" s="322">
        <v>0</v>
      </c>
      <c r="AN34" s="252">
        <v>41506</v>
      </c>
      <c r="AO34" s="125">
        <v>65.42</v>
      </c>
      <c r="AP34" s="85">
        <v>0</v>
      </c>
      <c r="AT34" s="262">
        <v>41659</v>
      </c>
      <c r="AU34" s="454">
        <v>70.790000000000006</v>
      </c>
      <c r="AV34" s="85">
        <v>0</v>
      </c>
      <c r="AW34" s="442">
        <v>41647</v>
      </c>
      <c r="AX34" s="374">
        <v>35.72</v>
      </c>
      <c r="AY34" s="322">
        <v>0</v>
      </c>
    </row>
    <row r="35" spans="1:51" x14ac:dyDescent="0.3">
      <c r="A35" s="167">
        <v>42020</v>
      </c>
      <c r="B35" s="373">
        <v>38.76</v>
      </c>
      <c r="C35" s="99">
        <v>0</v>
      </c>
      <c r="D35" s="381">
        <v>42888</v>
      </c>
      <c r="E35" s="366">
        <v>9.7225000000000001</v>
      </c>
      <c r="F35" s="85">
        <v>0</v>
      </c>
      <c r="G35" s="179">
        <v>43559</v>
      </c>
      <c r="H35" s="363">
        <v>5.46</v>
      </c>
      <c r="I35" s="85">
        <v>0</v>
      </c>
      <c r="J35" s="193">
        <v>41764</v>
      </c>
      <c r="K35" s="194">
        <v>72.52</v>
      </c>
      <c r="L35" s="85">
        <v>0</v>
      </c>
      <c r="M35" s="393">
        <v>38203</v>
      </c>
      <c r="N35" s="394">
        <v>4.67</v>
      </c>
      <c r="O35" s="85">
        <v>0</v>
      </c>
      <c r="P35" s="383">
        <v>38203</v>
      </c>
      <c r="Q35" s="402">
        <v>5.04</v>
      </c>
      <c r="R35" s="85">
        <v>0</v>
      </c>
      <c r="S35" s="405">
        <v>38197</v>
      </c>
      <c r="T35" s="335">
        <v>29.12</v>
      </c>
      <c r="U35" s="85">
        <v>0</v>
      </c>
      <c r="V35" s="334">
        <v>38197</v>
      </c>
      <c r="W35" s="343">
        <v>2.5499999999999998</v>
      </c>
      <c r="X35" s="224">
        <v>0</v>
      </c>
      <c r="Y35" s="349">
        <v>37952</v>
      </c>
      <c r="Z35" s="350">
        <v>29.65</v>
      </c>
      <c r="AA35" s="85">
        <v>0</v>
      </c>
      <c r="AB35" s="413">
        <v>37952</v>
      </c>
      <c r="AC35" s="227">
        <v>6.18</v>
      </c>
      <c r="AD35" s="85">
        <v>0</v>
      </c>
      <c r="AE35" s="206">
        <v>41191</v>
      </c>
      <c r="AF35" s="114">
        <v>91.34</v>
      </c>
      <c r="AG35" s="85">
        <v>0</v>
      </c>
      <c r="AH35" s="206">
        <v>40272</v>
      </c>
      <c r="AI35" s="114">
        <v>61.17</v>
      </c>
      <c r="AJ35" s="436">
        <v>0</v>
      </c>
      <c r="AK35" s="392">
        <v>41647</v>
      </c>
      <c r="AL35" s="437">
        <v>37.200000000000003</v>
      </c>
      <c r="AM35" s="322">
        <v>0</v>
      </c>
      <c r="AN35" s="239">
        <v>41555</v>
      </c>
      <c r="AO35" s="125">
        <v>65.459999999999994</v>
      </c>
      <c r="AP35" s="85">
        <v>0</v>
      </c>
      <c r="AT35" s="262">
        <v>41683</v>
      </c>
      <c r="AU35" s="454">
        <v>71.010000000000005</v>
      </c>
      <c r="AV35" s="85">
        <v>0</v>
      </c>
      <c r="AW35" s="442">
        <v>41683</v>
      </c>
      <c r="AX35" s="373">
        <v>35.9</v>
      </c>
      <c r="AY35" s="322">
        <v>0</v>
      </c>
    </row>
    <row r="36" spans="1:51" x14ac:dyDescent="0.3">
      <c r="A36" s="167">
        <v>42099</v>
      </c>
      <c r="B36" s="373">
        <v>38.19</v>
      </c>
      <c r="C36" s="99">
        <v>0</v>
      </c>
      <c r="D36" s="382">
        <v>43177</v>
      </c>
      <c r="E36" s="367">
        <v>9.89</v>
      </c>
      <c r="F36" s="85">
        <v>1</v>
      </c>
      <c r="G36" s="179">
        <v>43588</v>
      </c>
      <c r="H36" s="363">
        <v>5.63</v>
      </c>
      <c r="I36" s="85">
        <v>0</v>
      </c>
      <c r="J36" s="193">
        <v>41793</v>
      </c>
      <c r="K36" s="194">
        <v>72.599999999999994</v>
      </c>
      <c r="L36" s="85">
        <v>0</v>
      </c>
      <c r="M36" s="393">
        <v>38209</v>
      </c>
      <c r="N36" s="394">
        <v>4.4000000000000004</v>
      </c>
      <c r="O36" s="85">
        <v>0</v>
      </c>
      <c r="P36" s="383">
        <v>38209</v>
      </c>
      <c r="Q36" s="402">
        <v>5</v>
      </c>
      <c r="R36" s="85">
        <v>0</v>
      </c>
      <c r="S36" s="405">
        <v>38203</v>
      </c>
      <c r="T36" s="335">
        <v>29.01</v>
      </c>
      <c r="U36" s="85">
        <v>0</v>
      </c>
      <c r="V36" s="334">
        <v>38203</v>
      </c>
      <c r="W36" s="343">
        <v>1.9</v>
      </c>
      <c r="X36" s="224">
        <v>0</v>
      </c>
      <c r="Y36" s="349">
        <v>37993</v>
      </c>
      <c r="Z36" s="350">
        <v>28.48</v>
      </c>
      <c r="AA36" s="85">
        <v>0</v>
      </c>
      <c r="AB36" s="413">
        <v>37993</v>
      </c>
      <c r="AC36" s="227">
        <v>6.98</v>
      </c>
      <c r="AD36" s="85">
        <v>0</v>
      </c>
      <c r="AE36" s="206">
        <v>41235</v>
      </c>
      <c r="AF36" s="114">
        <v>91.31</v>
      </c>
      <c r="AG36" s="85">
        <v>0</v>
      </c>
      <c r="AH36" s="206">
        <v>40273</v>
      </c>
      <c r="AI36" s="114">
        <v>61.17</v>
      </c>
      <c r="AJ36" s="436">
        <v>0</v>
      </c>
      <c r="AK36" s="392">
        <v>41683</v>
      </c>
      <c r="AL36" s="437">
        <v>37.24</v>
      </c>
      <c r="AM36" s="322">
        <v>0</v>
      </c>
      <c r="AN36" s="239">
        <v>41556</v>
      </c>
      <c r="AO36" s="125">
        <v>65.58</v>
      </c>
      <c r="AP36" s="85">
        <v>0</v>
      </c>
      <c r="AT36" s="262">
        <v>41731</v>
      </c>
      <c r="AU36" s="454">
        <v>71.19</v>
      </c>
      <c r="AV36" s="85">
        <v>0</v>
      </c>
      <c r="AW36" s="442">
        <v>41731</v>
      </c>
      <c r="AX36" s="373">
        <v>35.92</v>
      </c>
      <c r="AY36" s="322">
        <v>0</v>
      </c>
    </row>
    <row r="37" spans="1:51" x14ac:dyDescent="0.3">
      <c r="A37" s="167">
        <v>42221</v>
      </c>
      <c r="B37" s="373">
        <v>39.17</v>
      </c>
      <c r="C37" s="99">
        <v>0</v>
      </c>
      <c r="D37" s="381">
        <v>43263</v>
      </c>
      <c r="E37" s="366">
        <v>9.98</v>
      </c>
      <c r="F37" s="85">
        <v>0</v>
      </c>
      <c r="G37" s="199">
        <v>43711</v>
      </c>
      <c r="H37" s="376">
        <f xml:space="preserve"> 0.0257*(9^3) - 0.274*(9^2) - 0.0495*(9) + 9.249</f>
        <v>5.3447999999999967</v>
      </c>
      <c r="I37" s="85">
        <v>1</v>
      </c>
      <c r="J37" s="193">
        <v>41830</v>
      </c>
      <c r="K37" s="194">
        <v>72.81</v>
      </c>
      <c r="L37" s="85">
        <v>0</v>
      </c>
      <c r="M37" s="393">
        <v>38217</v>
      </c>
      <c r="N37" s="394">
        <v>4.68</v>
      </c>
      <c r="O37" s="85">
        <v>0</v>
      </c>
      <c r="P37" s="383">
        <v>38217</v>
      </c>
      <c r="Q37" s="402">
        <v>5.0999999999999996</v>
      </c>
      <c r="R37" s="85">
        <v>0</v>
      </c>
      <c r="S37" s="405">
        <v>38217</v>
      </c>
      <c r="T37" s="335">
        <v>29.1</v>
      </c>
      <c r="U37" s="85">
        <v>0</v>
      </c>
      <c r="V37" s="334">
        <v>38217</v>
      </c>
      <c r="W37" s="343">
        <v>2.0299999999999998</v>
      </c>
      <c r="X37" s="224">
        <v>0</v>
      </c>
      <c r="Y37" s="349">
        <v>38000</v>
      </c>
      <c r="Z37" s="350">
        <v>28.66</v>
      </c>
      <c r="AA37" s="85">
        <v>0</v>
      </c>
      <c r="AB37" s="413">
        <v>38000</v>
      </c>
      <c r="AC37" s="227">
        <v>6.78</v>
      </c>
      <c r="AD37" s="85">
        <v>0</v>
      </c>
      <c r="AE37" s="206">
        <v>41278</v>
      </c>
      <c r="AF37" s="114">
        <v>91.52</v>
      </c>
      <c r="AG37" s="85">
        <v>0</v>
      </c>
      <c r="AH37" s="206">
        <v>40274</v>
      </c>
      <c r="AI37" s="114">
        <v>61.18</v>
      </c>
      <c r="AJ37" s="436">
        <v>0</v>
      </c>
      <c r="AK37" s="392">
        <v>41731</v>
      </c>
      <c r="AL37" s="437">
        <v>37.450000000000003</v>
      </c>
      <c r="AM37" s="322">
        <v>0</v>
      </c>
      <c r="AN37" s="239">
        <v>41617</v>
      </c>
      <c r="AO37" s="125">
        <v>66.349999999999994</v>
      </c>
      <c r="AP37" s="85">
        <v>0</v>
      </c>
      <c r="AT37" s="262">
        <v>41647</v>
      </c>
      <c r="AU37" s="454">
        <v>70.790000000000006</v>
      </c>
      <c r="AV37" s="85">
        <v>0</v>
      </c>
      <c r="AW37" s="442">
        <v>41764</v>
      </c>
      <c r="AX37" s="373">
        <v>36.229999999999997</v>
      </c>
      <c r="AY37" s="322">
        <v>0</v>
      </c>
    </row>
    <row r="38" spans="1:51" x14ac:dyDescent="0.3">
      <c r="A38" s="167">
        <v>42353</v>
      </c>
      <c r="B38" s="373">
        <v>39.69</v>
      </c>
      <c r="C38" s="99">
        <v>0</v>
      </c>
      <c r="D38" s="382">
        <v>43409</v>
      </c>
      <c r="E38" s="367">
        <v>9.81</v>
      </c>
      <c r="F38" s="85">
        <v>1</v>
      </c>
      <c r="G38" s="240">
        <v>43936</v>
      </c>
      <c r="H38" s="377">
        <f xml:space="preserve"> 0.0257*(9.01^3) - 0.274*(9^2) - 0.0495*(9) + 9.249</f>
        <v>5.4073204156999966</v>
      </c>
      <c r="I38" s="85">
        <v>0</v>
      </c>
      <c r="J38" s="193">
        <v>41877</v>
      </c>
      <c r="K38" s="194">
        <v>72.84</v>
      </c>
      <c r="L38" s="85">
        <v>0</v>
      </c>
      <c r="M38" s="393">
        <v>38230</v>
      </c>
      <c r="N38" s="394">
        <v>4.63</v>
      </c>
      <c r="O38" s="85">
        <v>0</v>
      </c>
      <c r="P38" s="383">
        <v>38230</v>
      </c>
      <c r="Q38" s="402">
        <v>5.15</v>
      </c>
      <c r="R38" s="85">
        <v>0</v>
      </c>
      <c r="S38" s="405">
        <v>38231</v>
      </c>
      <c r="T38" s="335">
        <v>29.41</v>
      </c>
      <c r="U38" s="85">
        <v>0</v>
      </c>
      <c r="V38" s="334">
        <v>38231</v>
      </c>
      <c r="W38" s="343">
        <v>2.34</v>
      </c>
      <c r="X38" s="224">
        <v>0</v>
      </c>
      <c r="Y38" s="349">
        <v>38009</v>
      </c>
      <c r="Z38" s="350">
        <v>28.7</v>
      </c>
      <c r="AA38" s="85">
        <v>0</v>
      </c>
      <c r="AB38" s="413">
        <v>38009</v>
      </c>
      <c r="AC38" s="227">
        <v>6.9</v>
      </c>
      <c r="AD38" s="85">
        <v>0</v>
      </c>
      <c r="AE38" s="206">
        <v>41368</v>
      </c>
      <c r="AF38" s="114">
        <v>91.88</v>
      </c>
      <c r="AG38" s="85">
        <v>0</v>
      </c>
      <c r="AH38" s="206">
        <v>40275</v>
      </c>
      <c r="AI38" s="114">
        <v>61.18</v>
      </c>
      <c r="AJ38" s="436">
        <v>0</v>
      </c>
      <c r="AK38" s="392">
        <v>41683</v>
      </c>
      <c r="AL38" s="437">
        <v>37.24</v>
      </c>
      <c r="AM38" s="322">
        <v>0</v>
      </c>
      <c r="AN38" s="252">
        <v>41647</v>
      </c>
      <c r="AO38" s="125">
        <v>66.52</v>
      </c>
      <c r="AP38" s="85">
        <v>0</v>
      </c>
      <c r="AT38" s="262">
        <v>41683</v>
      </c>
      <c r="AU38" s="454">
        <v>71.010000000000005</v>
      </c>
      <c r="AV38" s="85">
        <v>0</v>
      </c>
      <c r="AW38" s="442">
        <v>41793</v>
      </c>
      <c r="AX38" s="373">
        <v>36.270000000000003</v>
      </c>
      <c r="AY38" s="322">
        <v>0</v>
      </c>
    </row>
    <row r="39" spans="1:51" x14ac:dyDescent="0.3">
      <c r="A39" s="167">
        <v>42387</v>
      </c>
      <c r="B39" s="373">
        <v>39.93</v>
      </c>
      <c r="C39" s="99">
        <v>0</v>
      </c>
      <c r="D39" s="381">
        <v>43559</v>
      </c>
      <c r="E39" s="366">
        <v>9.7287499999999998</v>
      </c>
      <c r="F39" s="85">
        <v>0</v>
      </c>
      <c r="G39" s="240">
        <v>44112</v>
      </c>
      <c r="H39" s="377">
        <f xml:space="preserve"> 0.0257*(9.03^3) - 0.274*(9^2) - 0.0495*(9) + 9.249</f>
        <v>5.5327782038999951</v>
      </c>
      <c r="I39" s="85">
        <v>0</v>
      </c>
      <c r="J39" s="193">
        <v>41906</v>
      </c>
      <c r="K39" s="194">
        <v>73.010000000000005</v>
      </c>
      <c r="L39" s="85">
        <v>0</v>
      </c>
      <c r="M39" s="393">
        <v>38286</v>
      </c>
      <c r="N39" s="394">
        <v>4.58</v>
      </c>
      <c r="O39" s="85">
        <v>0</v>
      </c>
      <c r="P39" s="383">
        <v>38286</v>
      </c>
      <c r="Q39" s="402">
        <v>5.25</v>
      </c>
      <c r="R39" s="85">
        <v>0</v>
      </c>
      <c r="S39" s="405">
        <v>38286</v>
      </c>
      <c r="T39" s="335">
        <v>29.02</v>
      </c>
      <c r="U39" s="85">
        <v>0</v>
      </c>
      <c r="V39" s="334">
        <v>38286</v>
      </c>
      <c r="W39" s="343">
        <v>2.38</v>
      </c>
      <c r="X39" s="224">
        <v>0</v>
      </c>
      <c r="Y39" s="349">
        <v>38049</v>
      </c>
      <c r="Z39" s="350">
        <v>29.54</v>
      </c>
      <c r="AA39" s="85">
        <v>0</v>
      </c>
      <c r="AB39" s="413">
        <v>38049</v>
      </c>
      <c r="AC39" s="227">
        <v>6.94</v>
      </c>
      <c r="AD39" s="85">
        <v>0</v>
      </c>
      <c r="AE39" s="206">
        <v>41401</v>
      </c>
      <c r="AF39" s="114">
        <v>91.95</v>
      </c>
      <c r="AG39" s="85">
        <v>0</v>
      </c>
      <c r="AH39" s="206">
        <v>40276</v>
      </c>
      <c r="AI39" s="114">
        <v>61.18</v>
      </c>
      <c r="AJ39" s="436">
        <v>0</v>
      </c>
      <c r="AK39" s="392">
        <v>41731</v>
      </c>
      <c r="AL39" s="437">
        <v>37.450000000000003</v>
      </c>
      <c r="AM39" s="322">
        <v>0</v>
      </c>
      <c r="AN39" s="239">
        <v>41683</v>
      </c>
      <c r="AO39" s="125">
        <v>66.75</v>
      </c>
      <c r="AP39" s="85">
        <v>0</v>
      </c>
      <c r="AT39" s="262">
        <v>41731</v>
      </c>
      <c r="AU39" s="454">
        <v>71.19</v>
      </c>
      <c r="AV39" s="85">
        <v>0</v>
      </c>
      <c r="AW39" s="442">
        <v>41830</v>
      </c>
      <c r="AX39" s="373">
        <v>36.409999999999997</v>
      </c>
      <c r="AY39" s="322">
        <v>0</v>
      </c>
    </row>
    <row r="40" spans="1:51" x14ac:dyDescent="0.3">
      <c r="A40" s="167">
        <v>42429</v>
      </c>
      <c r="B40" s="373">
        <v>40.42</v>
      </c>
      <c r="C40" s="99">
        <v>0</v>
      </c>
      <c r="D40" s="381">
        <v>43590</v>
      </c>
      <c r="E40" s="366">
        <v>9.8262499999999999</v>
      </c>
      <c r="F40" s="85">
        <v>0</v>
      </c>
      <c r="G40" s="199">
        <v>44203</v>
      </c>
      <c r="H40" s="376">
        <f xml:space="preserve"> 0.0257*(9.04^3) - 0.274*(9^2) - 0.0495*(9) + 9.249</f>
        <v>5.5957158847999908</v>
      </c>
      <c r="I40" s="85">
        <v>1</v>
      </c>
      <c r="J40" s="193">
        <v>41936</v>
      </c>
      <c r="K40" s="194">
        <v>73.069999999999993</v>
      </c>
      <c r="L40" s="85">
        <v>0</v>
      </c>
      <c r="M40" s="393">
        <v>38313</v>
      </c>
      <c r="N40" s="394">
        <v>4.1399999999999997</v>
      </c>
      <c r="O40" s="85">
        <v>0</v>
      </c>
      <c r="P40" s="383">
        <v>38313</v>
      </c>
      <c r="Q40" s="402">
        <v>5.09</v>
      </c>
      <c r="R40" s="85">
        <v>0</v>
      </c>
      <c r="S40" s="405">
        <v>38308</v>
      </c>
      <c r="T40" s="335">
        <v>29.14</v>
      </c>
      <c r="U40" s="85">
        <v>0</v>
      </c>
      <c r="V40" s="334">
        <v>38308</v>
      </c>
      <c r="W40" s="343">
        <v>2.1800000000000002</v>
      </c>
      <c r="X40" s="224">
        <v>0</v>
      </c>
      <c r="Y40" s="349">
        <v>38061</v>
      </c>
      <c r="Z40" s="350">
        <v>29.58</v>
      </c>
      <c r="AA40" s="85">
        <v>0</v>
      </c>
      <c r="AB40" s="413">
        <v>38061</v>
      </c>
      <c r="AC40" s="227">
        <v>6.98</v>
      </c>
      <c r="AD40" s="85">
        <v>0</v>
      </c>
      <c r="AE40" s="206">
        <v>41432</v>
      </c>
      <c r="AF40" s="114">
        <v>92.42</v>
      </c>
      <c r="AG40" s="85">
        <v>0</v>
      </c>
      <c r="AH40" s="206">
        <v>40277</v>
      </c>
      <c r="AI40" s="114">
        <v>61.18</v>
      </c>
      <c r="AJ40" s="436">
        <v>0</v>
      </c>
      <c r="AK40" s="392">
        <v>41764</v>
      </c>
      <c r="AL40" s="437">
        <v>37.54</v>
      </c>
      <c r="AM40" s="322">
        <v>0</v>
      </c>
      <c r="AN40" s="252">
        <v>41731</v>
      </c>
      <c r="AO40" s="125">
        <v>66.87</v>
      </c>
      <c r="AP40" s="85">
        <v>0</v>
      </c>
      <c r="AT40" s="262">
        <v>41764</v>
      </c>
      <c r="AU40" s="454">
        <v>71.39</v>
      </c>
      <c r="AV40" s="85">
        <v>0</v>
      </c>
      <c r="AW40" s="442">
        <v>41877</v>
      </c>
      <c r="AX40" s="373">
        <v>36.520000000000003</v>
      </c>
      <c r="AY40" s="322">
        <v>0</v>
      </c>
    </row>
    <row r="41" spans="1:51" x14ac:dyDescent="0.3">
      <c r="A41" s="167">
        <v>42471</v>
      </c>
      <c r="B41" s="373">
        <v>40.65</v>
      </c>
      <c r="C41" s="99">
        <v>0</v>
      </c>
      <c r="D41" s="381">
        <v>43559</v>
      </c>
      <c r="E41" s="364">
        <v>9.82</v>
      </c>
      <c r="F41" s="85">
        <v>0</v>
      </c>
      <c r="G41" s="199">
        <v>44546</v>
      </c>
      <c r="H41" s="376">
        <f xml:space="preserve"> 0.0257*(9.09^3) - 0.274*(9^2) - 0.0495*(9) + 9.249</f>
        <v>5.912498325299997</v>
      </c>
      <c r="I41" s="85">
        <v>1</v>
      </c>
      <c r="J41" s="193">
        <v>41976</v>
      </c>
      <c r="K41" s="194">
        <v>72.599999999999994</v>
      </c>
      <c r="L41" s="85">
        <v>0</v>
      </c>
      <c r="M41" s="393">
        <v>38378</v>
      </c>
      <c r="N41" s="394">
        <v>4.3</v>
      </c>
      <c r="O41" s="85">
        <v>0</v>
      </c>
      <c r="P41" s="383">
        <v>38378</v>
      </c>
      <c r="Q41" s="402">
        <v>5.39</v>
      </c>
      <c r="R41" s="85">
        <v>0</v>
      </c>
      <c r="S41" s="405">
        <v>38378</v>
      </c>
      <c r="T41" s="335">
        <v>29.27</v>
      </c>
      <c r="U41" s="85">
        <v>0</v>
      </c>
      <c r="V41" s="334">
        <v>38378</v>
      </c>
      <c r="W41" s="343">
        <v>2.5499999999999998</v>
      </c>
      <c r="X41" s="224">
        <v>0</v>
      </c>
      <c r="Y41" s="349">
        <v>38068</v>
      </c>
      <c r="Z41" s="350">
        <v>29.6</v>
      </c>
      <c r="AA41" s="85">
        <v>0</v>
      </c>
      <c r="AB41" s="413">
        <v>38068</v>
      </c>
      <c r="AC41" s="227">
        <v>6.97</v>
      </c>
      <c r="AD41" s="85">
        <v>0</v>
      </c>
      <c r="AE41" s="206">
        <v>41471</v>
      </c>
      <c r="AF41" s="114">
        <v>92.41</v>
      </c>
      <c r="AG41" s="85">
        <v>0</v>
      </c>
      <c r="AH41" s="206">
        <v>40278</v>
      </c>
      <c r="AI41" s="114">
        <v>61.18</v>
      </c>
      <c r="AJ41" s="436">
        <v>0</v>
      </c>
      <c r="AK41" s="392">
        <v>41793</v>
      </c>
      <c r="AL41" s="437">
        <v>37.909999999999997</v>
      </c>
      <c r="AM41" s="322">
        <v>0</v>
      </c>
      <c r="AN41" s="252">
        <v>41764</v>
      </c>
      <c r="AO41" s="125">
        <v>67.13</v>
      </c>
      <c r="AP41" s="85">
        <v>0</v>
      </c>
      <c r="AT41" s="263">
        <v>41793</v>
      </c>
      <c r="AU41" s="454">
        <v>71.52</v>
      </c>
      <c r="AV41" s="85">
        <v>0</v>
      </c>
      <c r="AW41" s="442">
        <v>41906</v>
      </c>
      <c r="AX41" s="373">
        <v>36.61</v>
      </c>
      <c r="AY41" s="322">
        <v>0</v>
      </c>
    </row>
    <row r="42" spans="1:51" x14ac:dyDescent="0.3">
      <c r="A42" s="167">
        <v>42591</v>
      </c>
      <c r="B42" s="373">
        <v>40.57</v>
      </c>
      <c r="C42" s="99">
        <v>0</v>
      </c>
      <c r="D42" s="381">
        <v>43588</v>
      </c>
      <c r="E42" s="366">
        <v>9.7916666666666661</v>
      </c>
      <c r="F42" s="85">
        <v>0</v>
      </c>
      <c r="G42" s="240">
        <v>44625</v>
      </c>
      <c r="H42" s="377">
        <f xml:space="preserve"> 0.0257*(9.099^3) - 0.274*(9^2) - 0.0495*(9) + 9.249</f>
        <v>5.9698907505843026</v>
      </c>
      <c r="I42" s="85">
        <v>0</v>
      </c>
      <c r="J42" s="193">
        <v>42009</v>
      </c>
      <c r="K42" s="194">
        <v>73.349999999999994</v>
      </c>
      <c r="L42" s="85">
        <v>0</v>
      </c>
      <c r="M42" s="393">
        <v>38404</v>
      </c>
      <c r="N42" s="394">
        <v>4.33</v>
      </c>
      <c r="O42" s="85">
        <v>0</v>
      </c>
      <c r="P42" s="383">
        <v>38404</v>
      </c>
      <c r="Q42" s="402">
        <v>5.42</v>
      </c>
      <c r="R42" s="85">
        <v>0</v>
      </c>
      <c r="S42" s="405">
        <v>38404</v>
      </c>
      <c r="T42" s="335">
        <v>29.32</v>
      </c>
      <c r="U42" s="85">
        <v>0</v>
      </c>
      <c r="V42" s="334">
        <v>38404</v>
      </c>
      <c r="W42" s="343">
        <v>2.6</v>
      </c>
      <c r="X42" s="224">
        <v>0</v>
      </c>
      <c r="Y42" s="349">
        <v>38078</v>
      </c>
      <c r="Z42" s="350">
        <v>29.7</v>
      </c>
      <c r="AA42" s="85">
        <v>0</v>
      </c>
      <c r="AB42" s="413">
        <v>38078</v>
      </c>
      <c r="AC42" s="227">
        <v>6.9</v>
      </c>
      <c r="AD42" s="85">
        <v>0</v>
      </c>
      <c r="AE42" s="206">
        <v>41506</v>
      </c>
      <c r="AF42" s="114">
        <v>92.5</v>
      </c>
      <c r="AG42" s="85">
        <v>0</v>
      </c>
      <c r="AH42" s="206">
        <v>40279</v>
      </c>
      <c r="AI42" s="114">
        <v>61.18</v>
      </c>
      <c r="AJ42" s="436">
        <v>0</v>
      </c>
      <c r="AK42" s="392">
        <v>41830</v>
      </c>
      <c r="AL42" s="437">
        <v>37.74</v>
      </c>
      <c r="AM42" s="322">
        <v>0</v>
      </c>
      <c r="AN42" s="239">
        <v>41793</v>
      </c>
      <c r="AO42" s="125">
        <v>67.319999999999993</v>
      </c>
      <c r="AP42" s="85">
        <v>0</v>
      </c>
      <c r="AT42" s="263">
        <v>41830</v>
      </c>
      <c r="AU42" s="454">
        <v>71.75</v>
      </c>
      <c r="AV42" s="85">
        <v>0</v>
      </c>
      <c r="AW42" s="442">
        <v>41936</v>
      </c>
      <c r="AX42" s="373">
        <v>36.700000000000003</v>
      </c>
      <c r="AY42" s="322">
        <v>0</v>
      </c>
    </row>
    <row r="43" spans="1:51" x14ac:dyDescent="0.3">
      <c r="A43" s="167">
        <v>42702</v>
      </c>
      <c r="B43" s="373">
        <v>41.1</v>
      </c>
      <c r="C43" s="99">
        <v>0</v>
      </c>
      <c r="D43" s="382">
        <v>43905</v>
      </c>
      <c r="E43" s="368">
        <v>9.77</v>
      </c>
      <c r="F43" s="85">
        <v>1</v>
      </c>
      <c r="G43" s="199">
        <v>44826</v>
      </c>
      <c r="H43" s="376">
        <f xml:space="preserve"> 0.0257*(9.11^3) - 0.274*(9^2) - 0.0495*(9) + 9.249</f>
        <v>6.0401913966999965</v>
      </c>
      <c r="I43" s="85">
        <v>1</v>
      </c>
      <c r="J43" s="193">
        <v>42157</v>
      </c>
      <c r="K43" s="194">
        <v>73.790000000000006</v>
      </c>
      <c r="L43" s="85">
        <v>0</v>
      </c>
      <c r="M43" s="393">
        <v>38439</v>
      </c>
      <c r="N43" s="394">
        <v>4.41</v>
      </c>
      <c r="O43" s="85">
        <v>0</v>
      </c>
      <c r="P43" s="383">
        <v>38439</v>
      </c>
      <c r="Q43" s="402">
        <v>5.48</v>
      </c>
      <c r="R43" s="85">
        <v>0</v>
      </c>
      <c r="S43" s="405">
        <v>38439</v>
      </c>
      <c r="T43" s="335">
        <v>29.88</v>
      </c>
      <c r="U43" s="85">
        <v>0</v>
      </c>
      <c r="V43" s="334">
        <v>38439</v>
      </c>
      <c r="W43" s="343">
        <v>2.69</v>
      </c>
      <c r="X43" s="224">
        <v>0</v>
      </c>
      <c r="Y43" s="349">
        <v>38090</v>
      </c>
      <c r="Z43" s="350">
        <v>29.8</v>
      </c>
      <c r="AA43" s="85">
        <v>0</v>
      </c>
      <c r="AB43" s="413">
        <v>38090</v>
      </c>
      <c r="AC43" s="227">
        <v>7.12</v>
      </c>
      <c r="AD43" s="85">
        <v>0</v>
      </c>
      <c r="AE43" s="206">
        <v>41537</v>
      </c>
      <c r="AF43" s="114">
        <v>92.81</v>
      </c>
      <c r="AG43" s="85">
        <v>0</v>
      </c>
      <c r="AH43" s="206">
        <v>40280</v>
      </c>
      <c r="AI43" s="114">
        <v>61.18</v>
      </c>
      <c r="AJ43" s="436">
        <v>0</v>
      </c>
      <c r="AK43" s="392">
        <v>41877</v>
      </c>
      <c r="AL43" s="437">
        <v>37.81</v>
      </c>
      <c r="AM43" s="322">
        <v>0</v>
      </c>
      <c r="AN43" s="252">
        <v>41830</v>
      </c>
      <c r="AO43" s="125">
        <v>67.47</v>
      </c>
      <c r="AP43" s="85">
        <v>0</v>
      </c>
      <c r="AT43" s="262">
        <v>41936</v>
      </c>
      <c r="AU43" s="454">
        <v>72.27</v>
      </c>
      <c r="AV43" s="85">
        <v>0</v>
      </c>
      <c r="AW43" s="442">
        <v>41976</v>
      </c>
      <c r="AX43" s="373">
        <v>36.270000000000003</v>
      </c>
      <c r="AY43" s="322">
        <v>0</v>
      </c>
    </row>
    <row r="44" spans="1:51" x14ac:dyDescent="0.3">
      <c r="A44" s="167">
        <v>42774</v>
      </c>
      <c r="B44" s="373">
        <v>41.59</v>
      </c>
      <c r="C44" s="99">
        <v>0</v>
      </c>
      <c r="D44" s="382">
        <v>44100</v>
      </c>
      <c r="E44" s="368">
        <v>9.82</v>
      </c>
      <c r="F44" s="85">
        <v>1</v>
      </c>
      <c r="G44" s="240">
        <v>44924</v>
      </c>
      <c r="H44" s="377">
        <f xml:space="preserve"> 0.0257*(9.103^3) - 0.274*(9^2) - 0.0495*(9) + 9.249</f>
        <v>5.9954349681838979</v>
      </c>
      <c r="I44" s="85">
        <v>0</v>
      </c>
      <c r="J44" s="193">
        <v>42220</v>
      </c>
      <c r="K44" s="194">
        <v>74.05</v>
      </c>
      <c r="L44" s="85">
        <v>0</v>
      </c>
      <c r="M44" s="393">
        <v>38446</v>
      </c>
      <c r="N44" s="394">
        <v>4.5599999999999996</v>
      </c>
      <c r="O44" s="85">
        <v>0</v>
      </c>
      <c r="P44" s="383">
        <v>38446</v>
      </c>
      <c r="Q44" s="402">
        <v>5.62</v>
      </c>
      <c r="R44" s="85">
        <v>0</v>
      </c>
      <c r="S44" s="405">
        <v>38446</v>
      </c>
      <c r="T44" s="335">
        <v>29.56</v>
      </c>
      <c r="U44" s="85">
        <v>0</v>
      </c>
      <c r="V44" s="334">
        <v>38446</v>
      </c>
      <c r="W44" s="343">
        <v>2.71</v>
      </c>
      <c r="X44" s="224">
        <v>0</v>
      </c>
      <c r="Y44" s="349">
        <v>38107</v>
      </c>
      <c r="Z44" s="350">
        <v>29.82</v>
      </c>
      <c r="AA44" s="85">
        <v>0</v>
      </c>
      <c r="AB44" s="413">
        <v>38107</v>
      </c>
      <c r="AC44" s="227">
        <v>6.97</v>
      </c>
      <c r="AD44" s="85">
        <v>0</v>
      </c>
      <c r="AE44" s="206">
        <v>41555</v>
      </c>
      <c r="AF44" s="114">
        <v>92.76</v>
      </c>
      <c r="AG44" s="85">
        <v>0</v>
      </c>
      <c r="AH44" s="206">
        <v>40281</v>
      </c>
      <c r="AI44" s="114">
        <v>61.18</v>
      </c>
      <c r="AJ44" s="436">
        <v>0</v>
      </c>
      <c r="AK44" s="392">
        <v>41906</v>
      </c>
      <c r="AL44" s="437">
        <v>37.950000000000003</v>
      </c>
      <c r="AM44" s="322">
        <v>0</v>
      </c>
      <c r="AN44" s="252">
        <v>41877</v>
      </c>
      <c r="AO44" s="125">
        <v>67.69</v>
      </c>
      <c r="AP44" s="85">
        <v>0</v>
      </c>
      <c r="AT44" s="262">
        <v>41976</v>
      </c>
      <c r="AU44" s="454">
        <v>72.58</v>
      </c>
      <c r="AV44" s="85">
        <v>0</v>
      </c>
      <c r="AW44" s="442">
        <v>42009</v>
      </c>
      <c r="AX44" s="373">
        <v>36.97</v>
      </c>
      <c r="AY44" s="322">
        <v>0</v>
      </c>
    </row>
    <row r="45" spans="1:51" x14ac:dyDescent="0.3">
      <c r="A45" s="167">
        <v>42865</v>
      </c>
      <c r="B45" s="373">
        <v>41.79</v>
      </c>
      <c r="C45" s="99">
        <v>0</v>
      </c>
      <c r="D45" s="381">
        <v>44205</v>
      </c>
      <c r="E45" s="369">
        <v>9.9120000000000008</v>
      </c>
      <c r="F45" s="85">
        <v>0</v>
      </c>
      <c r="G45" s="240">
        <v>45088</v>
      </c>
      <c r="H45" s="377">
        <f xml:space="preserve"> 0.0257*(9.2^3) - 0.274*(9^2) - 0.0495*(9) + 9.249</f>
        <v>6.6217815999999923</v>
      </c>
      <c r="I45" s="85">
        <v>0</v>
      </c>
      <c r="J45" s="193">
        <v>42255</v>
      </c>
      <c r="K45" s="194">
        <v>74.17</v>
      </c>
      <c r="L45" s="85">
        <v>0</v>
      </c>
      <c r="M45" s="393">
        <v>38453</v>
      </c>
      <c r="N45" s="394">
        <v>4.62</v>
      </c>
      <c r="O45" s="85">
        <v>0</v>
      </c>
      <c r="P45" s="383">
        <v>38453</v>
      </c>
      <c r="Q45" s="402">
        <v>5.63</v>
      </c>
      <c r="R45" s="85">
        <v>0</v>
      </c>
      <c r="S45" s="405">
        <v>38453</v>
      </c>
      <c r="T45" s="335">
        <v>29.62</v>
      </c>
      <c r="U45" s="85">
        <v>0</v>
      </c>
      <c r="V45" s="334">
        <v>38453</v>
      </c>
      <c r="W45" s="343">
        <v>2.66</v>
      </c>
      <c r="X45" s="224">
        <v>0</v>
      </c>
      <c r="Y45" s="349">
        <v>38124</v>
      </c>
      <c r="Z45" s="350">
        <v>29.8</v>
      </c>
      <c r="AA45" s="85">
        <v>0</v>
      </c>
      <c r="AB45" s="413">
        <v>38124</v>
      </c>
      <c r="AC45" s="227">
        <v>6.92</v>
      </c>
      <c r="AD45" s="85">
        <v>0</v>
      </c>
      <c r="AE45" s="206">
        <v>41604</v>
      </c>
      <c r="AF45" s="114">
        <v>93.1</v>
      </c>
      <c r="AG45" s="85">
        <v>0</v>
      </c>
      <c r="AH45" s="206">
        <v>40282</v>
      </c>
      <c r="AI45" s="114">
        <v>61.19</v>
      </c>
      <c r="AJ45" s="436">
        <v>0</v>
      </c>
      <c r="AK45" s="392">
        <v>41936</v>
      </c>
      <c r="AL45" s="437">
        <v>37.82</v>
      </c>
      <c r="AM45" s="322">
        <v>0</v>
      </c>
      <c r="AN45" s="239">
        <v>41906</v>
      </c>
      <c r="AO45" s="125">
        <v>67.900000000000006</v>
      </c>
      <c r="AP45" s="85">
        <v>0</v>
      </c>
      <c r="AT45" s="262">
        <v>42009</v>
      </c>
      <c r="AU45" s="454">
        <v>72.55</v>
      </c>
      <c r="AV45" s="85">
        <v>0</v>
      </c>
      <c r="AW45" s="442">
        <v>42107</v>
      </c>
      <c r="AX45" s="373">
        <v>37.14</v>
      </c>
      <c r="AY45" s="322">
        <v>0</v>
      </c>
    </row>
    <row r="46" spans="1:51" x14ac:dyDescent="0.3">
      <c r="A46" s="167">
        <v>42887</v>
      </c>
      <c r="B46" s="373">
        <v>41.93</v>
      </c>
      <c r="C46" s="99">
        <v>0</v>
      </c>
      <c r="D46" s="381">
        <v>44369</v>
      </c>
      <c r="E46" s="369">
        <v>9.8729999999999993</v>
      </c>
      <c r="F46" s="85">
        <v>0</v>
      </c>
      <c r="G46" s="199">
        <v>45238</v>
      </c>
      <c r="H46" s="376">
        <f xml:space="preserve"> 0.0257*(9.3^3) - 0.274*(9^2) - 0.0495*(9) + 9.249</f>
        <v>7.2814749000000036</v>
      </c>
      <c r="I46" s="85">
        <v>1</v>
      </c>
      <c r="J46" s="193">
        <v>42292</v>
      </c>
      <c r="K46" s="194">
        <v>74.28</v>
      </c>
      <c r="L46" s="85">
        <v>0</v>
      </c>
      <c r="M46" s="393">
        <v>38467</v>
      </c>
      <c r="N46" s="394">
        <v>4.7</v>
      </c>
      <c r="O46" s="85">
        <v>0</v>
      </c>
      <c r="P46" s="383">
        <v>38467</v>
      </c>
      <c r="Q46" s="402">
        <v>5.66</v>
      </c>
      <c r="R46" s="85">
        <v>0</v>
      </c>
      <c r="S46" s="405">
        <v>38461</v>
      </c>
      <c r="T46" s="335">
        <v>30.16</v>
      </c>
      <c r="U46" s="85">
        <v>0</v>
      </c>
      <c r="V46" s="334">
        <v>38461</v>
      </c>
      <c r="W46" s="343">
        <v>2.71</v>
      </c>
      <c r="X46" s="224">
        <v>0</v>
      </c>
      <c r="Y46" s="349">
        <v>38133</v>
      </c>
      <c r="Z46" s="350">
        <v>29.6</v>
      </c>
      <c r="AA46" s="85">
        <v>0</v>
      </c>
      <c r="AB46" s="413">
        <v>38133</v>
      </c>
      <c r="AC46" s="227">
        <v>6.82</v>
      </c>
      <c r="AD46" s="85">
        <v>0</v>
      </c>
      <c r="AE46" s="206">
        <v>41617</v>
      </c>
      <c r="AF46" s="114">
        <v>93.15</v>
      </c>
      <c r="AG46" s="85">
        <v>0</v>
      </c>
      <c r="AH46" s="206">
        <v>40283</v>
      </c>
      <c r="AI46" s="114">
        <v>61.19</v>
      </c>
      <c r="AJ46" s="436">
        <v>0</v>
      </c>
      <c r="AK46" s="392">
        <v>41976</v>
      </c>
      <c r="AL46" s="437">
        <v>37.770000000000003</v>
      </c>
      <c r="AM46" s="322">
        <v>0</v>
      </c>
      <c r="AN46" s="253">
        <v>41936</v>
      </c>
      <c r="AO46" s="254">
        <v>67.709999999999994</v>
      </c>
      <c r="AP46" s="85">
        <v>0</v>
      </c>
      <c r="AT46" s="263">
        <v>42157</v>
      </c>
      <c r="AU46" s="454">
        <v>73.5</v>
      </c>
      <c r="AV46" s="85">
        <v>0</v>
      </c>
      <c r="AW46" s="442">
        <v>42157</v>
      </c>
      <c r="AX46" s="373">
        <v>37.22</v>
      </c>
      <c r="AY46" s="322">
        <v>0</v>
      </c>
    </row>
    <row r="47" spans="1:51" x14ac:dyDescent="0.3">
      <c r="A47" s="167">
        <v>42955</v>
      </c>
      <c r="B47" s="373">
        <v>41.8</v>
      </c>
      <c r="C47" s="99">
        <v>0</v>
      </c>
      <c r="D47" s="381">
        <v>44534</v>
      </c>
      <c r="E47" s="369">
        <v>9.7200000000000006</v>
      </c>
      <c r="F47" s="85">
        <v>0</v>
      </c>
      <c r="G47" s="240">
        <v>45349</v>
      </c>
      <c r="H47" s="377">
        <f xml:space="preserve"> 0.0257*(9.25^3) - 0.274*(9^2) - 0.0495*(9) + 9.249</f>
        <v>6.9498453124999999</v>
      </c>
      <c r="I47" s="85">
        <v>0</v>
      </c>
      <c r="J47" s="193">
        <v>42353</v>
      </c>
      <c r="K47" s="194">
        <v>74.489999999999995</v>
      </c>
      <c r="L47" s="85">
        <v>0</v>
      </c>
      <c r="M47" s="393">
        <v>38474</v>
      </c>
      <c r="N47" s="394">
        <v>4.75</v>
      </c>
      <c r="O47" s="85">
        <v>0</v>
      </c>
      <c r="P47" s="383">
        <v>38474</v>
      </c>
      <c r="Q47" s="402">
        <v>5.65</v>
      </c>
      <c r="R47" s="85">
        <v>0</v>
      </c>
      <c r="S47" s="405">
        <v>38596</v>
      </c>
      <c r="T47" s="335">
        <v>30.44</v>
      </c>
      <c r="U47" s="85">
        <v>0</v>
      </c>
      <c r="V47" s="334">
        <v>38596</v>
      </c>
      <c r="W47" s="343">
        <v>2.5499999999999998</v>
      </c>
      <c r="X47" s="224">
        <v>0</v>
      </c>
      <c r="Y47" s="349">
        <v>38153</v>
      </c>
      <c r="Z47" s="350">
        <v>29.04</v>
      </c>
      <c r="AA47" s="85">
        <v>0</v>
      </c>
      <c r="AB47" s="413">
        <v>38153</v>
      </c>
      <c r="AC47" s="227">
        <v>6.57</v>
      </c>
      <c r="AD47" s="85">
        <v>0</v>
      </c>
      <c r="AE47" s="206">
        <v>41647</v>
      </c>
      <c r="AF47" s="114">
        <v>93.35</v>
      </c>
      <c r="AG47" s="85">
        <v>0</v>
      </c>
      <c r="AH47" s="206">
        <v>40284</v>
      </c>
      <c r="AI47" s="114">
        <v>61.19</v>
      </c>
      <c r="AJ47" s="436">
        <v>0</v>
      </c>
      <c r="AK47" s="392">
        <v>42009</v>
      </c>
      <c r="AL47" s="437">
        <v>37.65</v>
      </c>
      <c r="AM47" s="322">
        <v>0</v>
      </c>
      <c r="AN47" s="253">
        <v>41976</v>
      </c>
      <c r="AO47" s="254">
        <v>68.06</v>
      </c>
      <c r="AP47" s="85">
        <v>0</v>
      </c>
      <c r="AT47" s="262">
        <v>42220</v>
      </c>
      <c r="AU47" s="454">
        <v>73.819999999999993</v>
      </c>
      <c r="AV47" s="85">
        <v>0</v>
      </c>
      <c r="AW47" s="442">
        <v>42221</v>
      </c>
      <c r="AX47" s="373">
        <v>37.39</v>
      </c>
      <c r="AY47" s="322">
        <v>0</v>
      </c>
    </row>
    <row r="48" spans="1:51" x14ac:dyDescent="0.3">
      <c r="A48" s="168">
        <v>43048</v>
      </c>
      <c r="B48" s="375">
        <v>41.99</v>
      </c>
      <c r="C48" s="99">
        <v>0</v>
      </c>
      <c r="D48" s="381">
        <v>44637</v>
      </c>
      <c r="E48" s="370">
        <v>9.81</v>
      </c>
      <c r="F48" s="85">
        <v>0</v>
      </c>
      <c r="G48" s="199">
        <v>45581</v>
      </c>
      <c r="H48" s="376">
        <f xml:space="preserve"> 0.0257*(9.19^3) - 0.274*(9^2) - 0.0495*(9) + 9.249</f>
        <v>6.5565950662999954</v>
      </c>
      <c r="I48" s="85">
        <v>1</v>
      </c>
      <c r="J48" s="193">
        <v>42387</v>
      </c>
      <c r="K48" s="194">
        <v>74.599999999999994</v>
      </c>
      <c r="L48" s="85">
        <v>0</v>
      </c>
      <c r="M48" s="393">
        <v>38485</v>
      </c>
      <c r="N48" s="394">
        <v>4.8</v>
      </c>
      <c r="O48" s="85">
        <v>0</v>
      </c>
      <c r="P48" s="383">
        <v>38485</v>
      </c>
      <c r="Q48" s="402">
        <v>5.6</v>
      </c>
      <c r="R48" s="85">
        <v>0</v>
      </c>
      <c r="S48" s="405">
        <v>38653</v>
      </c>
      <c r="T48" s="335">
        <v>30.56</v>
      </c>
      <c r="U48" s="85">
        <v>0</v>
      </c>
      <c r="V48" s="334">
        <v>38653</v>
      </c>
      <c r="W48" s="343">
        <v>2.9</v>
      </c>
      <c r="X48" s="224">
        <v>0</v>
      </c>
      <c r="Y48" s="349">
        <v>38161</v>
      </c>
      <c r="Z48" s="350">
        <v>29.35</v>
      </c>
      <c r="AA48" s="85">
        <v>0</v>
      </c>
      <c r="AB48" s="413">
        <v>38161</v>
      </c>
      <c r="AC48" s="227">
        <v>6.62</v>
      </c>
      <c r="AD48" s="85">
        <v>0</v>
      </c>
      <c r="AE48" s="206">
        <v>41683</v>
      </c>
      <c r="AF48" s="114">
        <v>93.17</v>
      </c>
      <c r="AG48" s="85">
        <v>0</v>
      </c>
      <c r="AH48" s="206">
        <v>40287</v>
      </c>
      <c r="AI48" s="114">
        <v>59.72</v>
      </c>
      <c r="AJ48" s="436">
        <v>0</v>
      </c>
      <c r="AK48" s="392">
        <v>42107</v>
      </c>
      <c r="AL48" s="437">
        <v>38.28</v>
      </c>
      <c r="AM48" s="322">
        <v>0</v>
      </c>
      <c r="AN48" s="253">
        <v>42009</v>
      </c>
      <c r="AO48" s="254">
        <v>67.989999999999995</v>
      </c>
      <c r="AP48" s="85">
        <v>0</v>
      </c>
      <c r="AT48" s="263">
        <v>42353</v>
      </c>
      <c r="AU48" s="454">
        <v>74.400000000000006</v>
      </c>
      <c r="AV48" s="85">
        <v>0</v>
      </c>
      <c r="AW48" s="442">
        <v>42292</v>
      </c>
      <c r="AX48" s="373">
        <v>37.58</v>
      </c>
      <c r="AY48" s="322">
        <v>0</v>
      </c>
    </row>
    <row r="49" spans="1:51" x14ac:dyDescent="0.3">
      <c r="A49" s="170">
        <v>43160</v>
      </c>
      <c r="B49" s="376">
        <v>42.107111000000003</v>
      </c>
      <c r="C49" s="99">
        <v>1</v>
      </c>
      <c r="D49" s="382">
        <v>44834</v>
      </c>
      <c r="E49" s="371">
        <v>9.9</v>
      </c>
      <c r="F49" s="85">
        <v>1</v>
      </c>
      <c r="G49" s="199">
        <v>45731</v>
      </c>
      <c r="H49" s="376">
        <f xml:space="preserve"> 0.0257*(9.26^3) - 0.274*(9^2) - 0.0495*(9) + 9.249</f>
        <v>7.0158853431999946</v>
      </c>
      <c r="I49" s="85">
        <v>1</v>
      </c>
      <c r="J49" s="193">
        <v>42429</v>
      </c>
      <c r="K49" s="194">
        <v>74.87</v>
      </c>
      <c r="L49" s="85">
        <v>0</v>
      </c>
      <c r="M49" s="393">
        <v>38592</v>
      </c>
      <c r="N49" s="394">
        <v>5.15</v>
      </c>
      <c r="O49" s="85">
        <v>0</v>
      </c>
      <c r="P49" s="383">
        <v>38592</v>
      </c>
      <c r="Q49" s="402">
        <v>5.63</v>
      </c>
      <c r="R49" s="85">
        <v>0</v>
      </c>
      <c r="S49" s="405">
        <v>38687</v>
      </c>
      <c r="T49" s="335">
        <v>30.62</v>
      </c>
      <c r="U49" s="85">
        <v>0</v>
      </c>
      <c r="V49" s="334">
        <v>38687</v>
      </c>
      <c r="W49" s="343">
        <v>2.71</v>
      </c>
      <c r="X49" s="224">
        <v>0</v>
      </c>
      <c r="Y49" s="349">
        <v>38169</v>
      </c>
      <c r="Z49" s="350">
        <v>29.73</v>
      </c>
      <c r="AA49" s="85">
        <v>0</v>
      </c>
      <c r="AB49" s="413">
        <v>38169</v>
      </c>
      <c r="AC49" s="227">
        <v>6.89</v>
      </c>
      <c r="AD49" s="85">
        <v>0</v>
      </c>
      <c r="AE49" s="206">
        <v>41731</v>
      </c>
      <c r="AF49" s="114">
        <v>93.8</v>
      </c>
      <c r="AG49" s="85">
        <v>0</v>
      </c>
      <c r="AH49" s="206">
        <v>40501</v>
      </c>
      <c r="AI49" s="114">
        <v>58.35</v>
      </c>
      <c r="AJ49" s="436">
        <v>0</v>
      </c>
      <c r="AK49" s="392">
        <v>42157</v>
      </c>
      <c r="AL49" s="437">
        <v>38</v>
      </c>
      <c r="AM49" s="322">
        <v>0</v>
      </c>
      <c r="AN49" s="253">
        <v>42157</v>
      </c>
      <c r="AO49" s="254">
        <v>68.64</v>
      </c>
      <c r="AP49" s="85">
        <v>0</v>
      </c>
      <c r="AT49" s="263">
        <v>42429</v>
      </c>
      <c r="AU49" s="454">
        <v>75.14</v>
      </c>
      <c r="AV49" s="85">
        <v>0</v>
      </c>
      <c r="AW49" s="442">
        <v>42353</v>
      </c>
      <c r="AX49" s="373">
        <v>37.71</v>
      </c>
      <c r="AY49" s="322">
        <v>0</v>
      </c>
    </row>
    <row r="50" spans="1:51" x14ac:dyDescent="0.3">
      <c r="A50" s="172">
        <v>43320</v>
      </c>
      <c r="B50" s="377">
        <v>42.377042368985137</v>
      </c>
      <c r="C50" s="99">
        <v>0</v>
      </c>
      <c r="D50" s="381">
        <v>45028</v>
      </c>
      <c r="E50" s="370">
        <v>10.3</v>
      </c>
      <c r="F50" s="85">
        <v>0</v>
      </c>
      <c r="G50" s="240">
        <v>45930</v>
      </c>
      <c r="H50" s="377">
        <f xml:space="preserve"> 0.0257*(9.33^3) - 0.274*(9^2) - 0.0495*(9) + 9.249</f>
        <v>7.4821722909000004</v>
      </c>
      <c r="I50" s="85">
        <v>0</v>
      </c>
      <c r="J50" s="193">
        <v>42471</v>
      </c>
      <c r="K50" s="194">
        <v>74.87</v>
      </c>
      <c r="L50" s="85">
        <v>0</v>
      </c>
      <c r="M50" s="393">
        <v>38629</v>
      </c>
      <c r="N50" s="394">
        <v>4.8</v>
      </c>
      <c r="O50" s="85">
        <v>0</v>
      </c>
      <c r="P50" s="383">
        <v>38629</v>
      </c>
      <c r="Q50" s="402">
        <v>5.32</v>
      </c>
      <c r="R50" s="85">
        <v>0</v>
      </c>
      <c r="S50" s="405">
        <v>39471</v>
      </c>
      <c r="T50" s="335">
        <v>37.130000000000003</v>
      </c>
      <c r="U50" s="85">
        <v>0</v>
      </c>
      <c r="V50" s="334">
        <v>39471</v>
      </c>
      <c r="W50" s="343">
        <v>3.89</v>
      </c>
      <c r="X50" s="224">
        <v>0</v>
      </c>
      <c r="Y50" s="349">
        <v>38183</v>
      </c>
      <c r="Z50" s="350">
        <v>29.83</v>
      </c>
      <c r="AA50" s="85">
        <v>0</v>
      </c>
      <c r="AB50" s="413">
        <v>38183</v>
      </c>
      <c r="AC50" s="227">
        <v>6.97</v>
      </c>
      <c r="AD50" s="85">
        <v>0</v>
      </c>
      <c r="AE50" s="206">
        <v>41764</v>
      </c>
      <c r="AF50" s="114">
        <v>94.03</v>
      </c>
      <c r="AG50" s="85">
        <v>0</v>
      </c>
      <c r="AH50" s="206">
        <v>40502</v>
      </c>
      <c r="AI50" s="114">
        <v>58.36</v>
      </c>
      <c r="AJ50" s="436">
        <v>0</v>
      </c>
      <c r="AK50" s="392">
        <v>42220</v>
      </c>
      <c r="AL50" s="438">
        <v>38.24</v>
      </c>
      <c r="AM50" s="322">
        <v>0</v>
      </c>
      <c r="AN50" s="253">
        <v>42220</v>
      </c>
      <c r="AO50" s="254">
        <v>68.91</v>
      </c>
      <c r="AP50" s="85">
        <v>0</v>
      </c>
      <c r="AT50" s="264">
        <v>42591</v>
      </c>
      <c r="AU50" s="455">
        <v>75.44</v>
      </c>
      <c r="AV50" s="85">
        <v>0</v>
      </c>
      <c r="AW50" s="442">
        <v>42387</v>
      </c>
      <c r="AX50" s="373">
        <v>37.97</v>
      </c>
      <c r="AY50" s="322">
        <v>0</v>
      </c>
    </row>
    <row r="51" spans="1:51" x14ac:dyDescent="0.3">
      <c r="A51" s="172">
        <v>43427</v>
      </c>
      <c r="B51" s="377">
        <v>42.652899315549547</v>
      </c>
      <c r="C51" s="99">
        <v>0</v>
      </c>
      <c r="D51" s="382">
        <v>45222</v>
      </c>
      <c r="E51" s="371">
        <v>10.5</v>
      </c>
      <c r="F51" s="85">
        <v>1</v>
      </c>
      <c r="G51" s="473" t="s">
        <v>62</v>
      </c>
      <c r="H51" s="473">
        <f>COUNT(H3:H50)</f>
        <v>48</v>
      </c>
      <c r="I51" s="474">
        <f>SUM(I3:I50)</f>
        <v>9</v>
      </c>
      <c r="J51" s="193">
        <v>42557</v>
      </c>
      <c r="K51" s="194">
        <v>75.150000000000006</v>
      </c>
      <c r="L51" s="85">
        <v>0</v>
      </c>
      <c r="M51" s="393">
        <v>38653</v>
      </c>
      <c r="N51" s="394">
        <v>5.22</v>
      </c>
      <c r="O51" s="85">
        <v>0</v>
      </c>
      <c r="P51" s="383">
        <v>38653</v>
      </c>
      <c r="Q51" s="402">
        <v>5.7</v>
      </c>
      <c r="R51" s="85">
        <v>0</v>
      </c>
      <c r="S51" s="405">
        <v>39507</v>
      </c>
      <c r="T51" s="335">
        <v>36.36</v>
      </c>
      <c r="U51" s="85">
        <v>0</v>
      </c>
      <c r="V51" s="334">
        <v>39507</v>
      </c>
      <c r="W51" s="343">
        <v>3.36</v>
      </c>
      <c r="X51" s="224">
        <v>0</v>
      </c>
      <c r="Y51" s="349">
        <v>38197</v>
      </c>
      <c r="Z51" s="350">
        <v>29.66</v>
      </c>
      <c r="AA51" s="85">
        <v>0</v>
      </c>
      <c r="AB51" s="413">
        <v>38197</v>
      </c>
      <c r="AC51" s="227">
        <v>6.9</v>
      </c>
      <c r="AD51" s="85">
        <v>0</v>
      </c>
      <c r="AE51" s="206">
        <v>41793</v>
      </c>
      <c r="AF51" s="114">
        <v>94.15</v>
      </c>
      <c r="AG51" s="85">
        <v>0</v>
      </c>
      <c r="AH51" s="206">
        <v>40503</v>
      </c>
      <c r="AI51" s="114">
        <v>58.7</v>
      </c>
      <c r="AJ51" s="436">
        <v>0</v>
      </c>
      <c r="AK51" s="392">
        <v>42255</v>
      </c>
      <c r="AL51" s="438">
        <v>38.369999999999997</v>
      </c>
      <c r="AM51" s="322">
        <v>0</v>
      </c>
      <c r="AN51" s="253">
        <v>42292</v>
      </c>
      <c r="AO51" s="254">
        <v>69.08</v>
      </c>
      <c r="AP51" s="85">
        <v>0</v>
      </c>
      <c r="AT51" s="241">
        <v>42685</v>
      </c>
      <c r="AU51" s="225">
        <v>75.790000000000006</v>
      </c>
      <c r="AV51" s="85">
        <v>1</v>
      </c>
      <c r="AW51" s="442">
        <v>42429</v>
      </c>
      <c r="AX51" s="373">
        <v>38.04</v>
      </c>
      <c r="AY51" s="322">
        <v>0</v>
      </c>
    </row>
    <row r="52" spans="1:51" x14ac:dyDescent="0.3">
      <c r="A52" s="170">
        <v>43508</v>
      </c>
      <c r="B52" s="376">
        <v>42.934777413824854</v>
      </c>
      <c r="C52" s="99">
        <v>1</v>
      </c>
      <c r="D52" s="382">
        <v>45302</v>
      </c>
      <c r="E52" s="371">
        <v>10.81</v>
      </c>
      <c r="F52" s="85">
        <v>1</v>
      </c>
      <c r="I52" s="81"/>
      <c r="J52" s="193">
        <v>42541</v>
      </c>
      <c r="K52" s="194">
        <v>75.56</v>
      </c>
      <c r="L52" s="85">
        <v>0</v>
      </c>
      <c r="M52" s="393">
        <v>38665</v>
      </c>
      <c r="N52" s="394">
        <v>5.68</v>
      </c>
      <c r="O52" s="85">
        <v>0</v>
      </c>
      <c r="P52" s="383">
        <v>38665</v>
      </c>
      <c r="Q52" s="402">
        <v>5.48</v>
      </c>
      <c r="R52" s="85">
        <v>0</v>
      </c>
      <c r="S52" s="405">
        <v>39538</v>
      </c>
      <c r="T52" s="335">
        <v>36.46</v>
      </c>
      <c r="U52" s="85">
        <v>0</v>
      </c>
      <c r="V52" s="334">
        <v>39538</v>
      </c>
      <c r="W52" s="343">
        <v>3.27</v>
      </c>
      <c r="X52" s="224">
        <v>0</v>
      </c>
      <c r="Y52" s="349">
        <v>38203</v>
      </c>
      <c r="Z52" s="350">
        <v>29.76</v>
      </c>
      <c r="AA52" s="85">
        <v>0</v>
      </c>
      <c r="AB52" s="413">
        <v>38203</v>
      </c>
      <c r="AC52" s="227">
        <v>6.92</v>
      </c>
      <c r="AD52" s="85">
        <v>0</v>
      </c>
      <c r="AE52" s="206">
        <v>41830</v>
      </c>
      <c r="AF52" s="114">
        <v>94.24</v>
      </c>
      <c r="AG52" s="85">
        <v>0</v>
      </c>
      <c r="AH52" s="206">
        <v>40504</v>
      </c>
      <c r="AI52" s="114">
        <v>58.37</v>
      </c>
      <c r="AJ52" s="436">
        <v>0</v>
      </c>
      <c r="AK52" s="392">
        <v>42292</v>
      </c>
      <c r="AL52" s="438">
        <v>38.340000000000003</v>
      </c>
      <c r="AM52" s="322">
        <v>0</v>
      </c>
      <c r="AN52" s="253">
        <v>42353</v>
      </c>
      <c r="AO52" s="255">
        <v>69.430000000000007</v>
      </c>
      <c r="AP52" s="85">
        <v>0</v>
      </c>
      <c r="AT52" s="241">
        <v>42748</v>
      </c>
      <c r="AU52" s="225">
        <v>75.91</v>
      </c>
      <c r="AV52" s="85">
        <v>1</v>
      </c>
      <c r="AW52" s="442">
        <v>42471</v>
      </c>
      <c r="AX52" s="373">
        <v>38.130000000000003</v>
      </c>
      <c r="AY52" s="322">
        <v>0</v>
      </c>
    </row>
    <row r="53" spans="1:51" x14ac:dyDescent="0.3">
      <c r="A53" s="172">
        <v>43657</v>
      </c>
      <c r="B53" s="377">
        <v>43.222774174900081</v>
      </c>
      <c r="C53" s="99">
        <v>0</v>
      </c>
      <c r="D53" s="381">
        <v>45418</v>
      </c>
      <c r="E53" s="370">
        <v>10.7</v>
      </c>
      <c r="F53" s="85">
        <v>0</v>
      </c>
      <c r="I53" s="81"/>
      <c r="J53" s="193">
        <v>42591</v>
      </c>
      <c r="K53" s="194">
        <v>75.760000000000005</v>
      </c>
      <c r="L53" s="85">
        <v>0</v>
      </c>
      <c r="M53" s="393">
        <v>38687</v>
      </c>
      <c r="N53" s="394">
        <v>4.6399999999999997</v>
      </c>
      <c r="O53" s="85">
        <v>0</v>
      </c>
      <c r="P53" s="383">
        <v>38687</v>
      </c>
      <c r="Q53" s="402">
        <v>5.23</v>
      </c>
      <c r="R53" s="85">
        <v>0</v>
      </c>
      <c r="S53" s="405">
        <v>39612</v>
      </c>
      <c r="T53" s="335">
        <v>37.11</v>
      </c>
      <c r="U53" s="85">
        <v>0</v>
      </c>
      <c r="V53" s="334">
        <v>39612</v>
      </c>
      <c r="W53" s="343">
        <v>2.9</v>
      </c>
      <c r="X53" s="224">
        <v>0</v>
      </c>
      <c r="Y53" s="349">
        <v>38209</v>
      </c>
      <c r="Z53" s="350">
        <v>29.39</v>
      </c>
      <c r="AA53" s="85">
        <v>0</v>
      </c>
      <c r="AB53" s="413">
        <v>38209</v>
      </c>
      <c r="AC53" s="227">
        <v>6.6</v>
      </c>
      <c r="AD53" s="85">
        <v>0</v>
      </c>
      <c r="AE53" s="206">
        <v>41877</v>
      </c>
      <c r="AF53" s="114">
        <v>94.42</v>
      </c>
      <c r="AG53" s="85">
        <v>0</v>
      </c>
      <c r="AH53" s="206">
        <v>40505</v>
      </c>
      <c r="AI53" s="114">
        <v>58.79</v>
      </c>
      <c r="AJ53" s="436">
        <v>0</v>
      </c>
      <c r="AK53" s="392">
        <v>42306</v>
      </c>
      <c r="AL53" s="438">
        <v>38.58</v>
      </c>
      <c r="AM53" s="322">
        <v>0</v>
      </c>
      <c r="AN53" s="253">
        <v>42387</v>
      </c>
      <c r="AO53" s="254">
        <v>70.59</v>
      </c>
      <c r="AP53" s="85">
        <v>0</v>
      </c>
      <c r="AT53" s="265">
        <v>42781</v>
      </c>
      <c r="AU53" s="456">
        <v>76.34</v>
      </c>
      <c r="AV53" s="85">
        <v>0</v>
      </c>
      <c r="AW53" s="442">
        <v>42591</v>
      </c>
      <c r="AX53" s="373">
        <v>38.340000000000003</v>
      </c>
      <c r="AY53" s="322">
        <v>0</v>
      </c>
    </row>
    <row r="54" spans="1:51" x14ac:dyDescent="0.3">
      <c r="A54" s="172">
        <v>43806</v>
      </c>
      <c r="B54" s="377">
        <v>43.516989046821706</v>
      </c>
      <c r="C54" s="99">
        <v>0</v>
      </c>
      <c r="D54" s="381">
        <v>45623</v>
      </c>
      <c r="E54" s="370">
        <v>11.8</v>
      </c>
      <c r="F54" s="85">
        <v>0</v>
      </c>
      <c r="I54" s="81"/>
      <c r="J54" s="193">
        <v>42852</v>
      </c>
      <c r="K54" s="194">
        <v>76.209999999999994</v>
      </c>
      <c r="L54" s="85">
        <v>0</v>
      </c>
      <c r="M54" s="393">
        <v>38754</v>
      </c>
      <c r="N54" s="394">
        <v>4.46</v>
      </c>
      <c r="O54" s="85">
        <v>0</v>
      </c>
      <c r="P54" s="383">
        <v>38754</v>
      </c>
      <c r="Q54" s="402">
        <v>5.6</v>
      </c>
      <c r="R54" s="85">
        <v>0</v>
      </c>
      <c r="S54" s="405">
        <v>39643</v>
      </c>
      <c r="T54" s="335">
        <v>37.549999999999997</v>
      </c>
      <c r="U54" s="85">
        <v>0</v>
      </c>
      <c r="V54" s="334">
        <v>39643</v>
      </c>
      <c r="W54" s="343">
        <v>3.24</v>
      </c>
      <c r="X54" s="224">
        <v>0</v>
      </c>
      <c r="Y54" s="349">
        <v>38217</v>
      </c>
      <c r="Z54" s="350">
        <v>29.8</v>
      </c>
      <c r="AA54" s="85">
        <v>0</v>
      </c>
      <c r="AB54" s="413">
        <v>38217</v>
      </c>
      <c r="AC54" s="227">
        <v>6.9</v>
      </c>
      <c r="AD54" s="85">
        <v>0</v>
      </c>
      <c r="AE54" s="206">
        <v>41906</v>
      </c>
      <c r="AF54" s="114">
        <v>94.73</v>
      </c>
      <c r="AG54" s="85">
        <v>0</v>
      </c>
      <c r="AH54" s="206">
        <v>40506</v>
      </c>
      <c r="AI54" s="114">
        <v>58.34</v>
      </c>
      <c r="AJ54" s="436">
        <v>0</v>
      </c>
      <c r="AK54" s="392">
        <v>42353</v>
      </c>
      <c r="AL54" s="438">
        <v>38.54</v>
      </c>
      <c r="AM54" s="322">
        <v>0</v>
      </c>
      <c r="AN54" s="253">
        <v>42429</v>
      </c>
      <c r="AO54" s="254">
        <v>69.819999999999993</v>
      </c>
      <c r="AP54" s="85">
        <v>0</v>
      </c>
      <c r="AT54" s="266">
        <v>42865</v>
      </c>
      <c r="AU54" s="455">
        <v>75.77</v>
      </c>
      <c r="AV54" s="85">
        <v>0</v>
      </c>
      <c r="AW54" s="442">
        <v>42702</v>
      </c>
      <c r="AX54" s="373">
        <v>38.729999999999997</v>
      </c>
      <c r="AY54" s="322">
        <v>0</v>
      </c>
    </row>
    <row r="55" spans="1:51" x14ac:dyDescent="0.3">
      <c r="A55" s="170">
        <v>43842</v>
      </c>
      <c r="B55" s="376">
        <v>43.817523414593644</v>
      </c>
      <c r="C55" s="99">
        <v>1</v>
      </c>
      <c r="D55" s="381">
        <v>45775</v>
      </c>
      <c r="E55" s="370">
        <v>12.3</v>
      </c>
      <c r="F55" s="85">
        <v>0</v>
      </c>
      <c r="I55" s="81"/>
      <c r="J55" s="193">
        <v>42888</v>
      </c>
      <c r="K55" s="194">
        <v>76.290000000000006</v>
      </c>
      <c r="L55" s="85">
        <v>0</v>
      </c>
      <c r="M55" s="393">
        <v>38779</v>
      </c>
      <c r="N55" s="394">
        <v>4.37</v>
      </c>
      <c r="O55" s="85">
        <v>0</v>
      </c>
      <c r="P55" s="383">
        <v>38779</v>
      </c>
      <c r="Q55" s="402">
        <v>5.57</v>
      </c>
      <c r="R55" s="85">
        <v>0</v>
      </c>
      <c r="S55" s="405">
        <v>39805</v>
      </c>
      <c r="T55" s="335">
        <v>37.729999999999997</v>
      </c>
      <c r="U55" s="85">
        <v>0</v>
      </c>
      <c r="V55" s="334">
        <v>39805</v>
      </c>
      <c r="W55" s="343">
        <v>3.57</v>
      </c>
      <c r="X55" s="224">
        <v>0</v>
      </c>
      <c r="Y55" s="349">
        <v>38226</v>
      </c>
      <c r="Z55" s="350">
        <v>29.73</v>
      </c>
      <c r="AA55" s="85">
        <v>0</v>
      </c>
      <c r="AB55" s="413">
        <v>38226</v>
      </c>
      <c r="AC55" s="227">
        <v>6.82</v>
      </c>
      <c r="AD55" s="85">
        <v>0</v>
      </c>
      <c r="AE55" s="206">
        <v>41976</v>
      </c>
      <c r="AF55" s="114">
        <v>95.01</v>
      </c>
      <c r="AG55" s="85">
        <v>0</v>
      </c>
      <c r="AH55" s="206">
        <v>40507</v>
      </c>
      <c r="AI55" s="114">
        <v>58.58</v>
      </c>
      <c r="AJ55" s="436">
        <v>0</v>
      </c>
      <c r="AK55" s="392">
        <v>42387</v>
      </c>
      <c r="AL55" s="438">
        <v>38.81</v>
      </c>
      <c r="AM55" s="322">
        <v>0</v>
      </c>
      <c r="AN55" s="253">
        <v>42471</v>
      </c>
      <c r="AO55" s="254">
        <v>69.930000000000007</v>
      </c>
      <c r="AP55" s="85">
        <v>0</v>
      </c>
      <c r="AT55" s="268">
        <v>43049</v>
      </c>
      <c r="AU55" s="371">
        <v>76.34</v>
      </c>
      <c r="AV55" s="85">
        <v>1</v>
      </c>
      <c r="AW55" s="442">
        <v>42774</v>
      </c>
      <c r="AX55" s="373">
        <v>38.979999999999997</v>
      </c>
      <c r="AY55" s="322">
        <v>0</v>
      </c>
    </row>
    <row r="56" spans="1:51" x14ac:dyDescent="0.3">
      <c r="A56" s="172">
        <v>43962</v>
      </c>
      <c r="B56" s="377">
        <v>44.124480600177257</v>
      </c>
      <c r="C56" s="99">
        <v>0</v>
      </c>
      <c r="D56" s="382">
        <v>45941</v>
      </c>
      <c r="E56" s="371">
        <v>12.55</v>
      </c>
      <c r="F56" s="85">
        <v>1</v>
      </c>
      <c r="I56" s="81"/>
      <c r="J56" s="193">
        <v>42902</v>
      </c>
      <c r="K56" s="194">
        <v>76.47</v>
      </c>
      <c r="L56" s="85">
        <v>0</v>
      </c>
      <c r="M56" s="393">
        <v>38817</v>
      </c>
      <c r="N56" s="394">
        <v>4.59</v>
      </c>
      <c r="O56" s="85">
        <v>0</v>
      </c>
      <c r="P56" s="383">
        <v>38817</v>
      </c>
      <c r="Q56" s="402">
        <v>5.62</v>
      </c>
      <c r="R56" s="85">
        <v>0</v>
      </c>
      <c r="S56" s="405">
        <v>39847</v>
      </c>
      <c r="T56" s="335">
        <v>37.32</v>
      </c>
      <c r="U56" s="85">
        <v>0</v>
      </c>
      <c r="V56" s="334">
        <v>39847</v>
      </c>
      <c r="W56" s="343">
        <v>3.08</v>
      </c>
      <c r="X56" s="224">
        <v>0</v>
      </c>
      <c r="Y56" s="349">
        <v>38230</v>
      </c>
      <c r="Z56" s="350">
        <v>30.11</v>
      </c>
      <c r="AA56" s="85">
        <v>0</v>
      </c>
      <c r="AB56" s="413">
        <v>38230</v>
      </c>
      <c r="AC56" s="227">
        <v>6.97</v>
      </c>
      <c r="AD56" s="85">
        <v>0</v>
      </c>
      <c r="AE56" s="206">
        <v>42009</v>
      </c>
      <c r="AF56" s="114">
        <v>95.42</v>
      </c>
      <c r="AG56" s="85">
        <v>0</v>
      </c>
      <c r="AH56" s="206">
        <v>40508</v>
      </c>
      <c r="AI56" s="114">
        <v>58.22</v>
      </c>
      <c r="AJ56" s="436">
        <v>0</v>
      </c>
      <c r="AK56" s="392">
        <v>42429</v>
      </c>
      <c r="AL56" s="437">
        <f>(AL55+AL57)/2</f>
        <v>38.89</v>
      </c>
      <c r="AM56" s="322">
        <v>0</v>
      </c>
      <c r="AN56" s="253">
        <v>42557</v>
      </c>
      <c r="AO56" s="254">
        <v>70.88</v>
      </c>
      <c r="AP56" s="85">
        <v>0</v>
      </c>
      <c r="AT56" s="239">
        <v>43199</v>
      </c>
      <c r="AU56" s="370">
        <v>76.87</v>
      </c>
      <c r="AV56" s="85">
        <v>0</v>
      </c>
      <c r="AW56" s="442">
        <v>42865</v>
      </c>
      <c r="AX56" s="373">
        <v>39.130000000000003</v>
      </c>
      <c r="AY56" s="322">
        <v>0</v>
      </c>
    </row>
    <row r="57" spans="1:51" x14ac:dyDescent="0.3">
      <c r="A57" s="170">
        <v>44111</v>
      </c>
      <c r="B57" s="376">
        <v>44.437965862491325</v>
      </c>
      <c r="C57" s="99">
        <v>1</v>
      </c>
      <c r="D57" s="473" t="s">
        <v>62</v>
      </c>
      <c r="E57" s="473">
        <f>COUNT(E3:E56)</f>
        <v>54</v>
      </c>
      <c r="F57" s="474">
        <f>SUM(F3:F56)</f>
        <v>11</v>
      </c>
      <c r="I57" s="81"/>
      <c r="J57" s="193">
        <v>42955</v>
      </c>
      <c r="K57" s="194">
        <v>76.569999999999993</v>
      </c>
      <c r="L57" s="85">
        <v>0</v>
      </c>
      <c r="M57" s="393">
        <v>38825</v>
      </c>
      <c r="N57" s="394">
        <v>4.53</v>
      </c>
      <c r="O57" s="85">
        <v>0</v>
      </c>
      <c r="P57" s="383">
        <v>38825</v>
      </c>
      <c r="Q57" s="402">
        <v>5.64</v>
      </c>
      <c r="R57" s="85">
        <v>0</v>
      </c>
      <c r="S57" s="405">
        <v>39881</v>
      </c>
      <c r="T57" s="335">
        <v>37.020000000000003</v>
      </c>
      <c r="U57" s="85">
        <v>0</v>
      </c>
      <c r="V57" s="334">
        <v>39881</v>
      </c>
      <c r="W57" s="343">
        <v>3.21</v>
      </c>
      <c r="X57" s="224">
        <v>0</v>
      </c>
      <c r="Y57" s="349">
        <v>38237</v>
      </c>
      <c r="Z57" s="350">
        <v>30.05</v>
      </c>
      <c r="AA57" s="85">
        <v>0</v>
      </c>
      <c r="AB57" s="413">
        <v>38237</v>
      </c>
      <c r="AC57" s="227">
        <v>6.95</v>
      </c>
      <c r="AD57" s="85">
        <v>0</v>
      </c>
      <c r="AE57" s="206">
        <v>42035</v>
      </c>
      <c r="AF57" s="114">
        <v>95.58</v>
      </c>
      <c r="AG57" s="85">
        <v>0</v>
      </c>
      <c r="AH57" s="206">
        <v>40509</v>
      </c>
      <c r="AI57" s="114">
        <v>58</v>
      </c>
      <c r="AJ57" s="436">
        <v>0</v>
      </c>
      <c r="AK57" s="392">
        <v>42471</v>
      </c>
      <c r="AL57" s="438">
        <v>38.97</v>
      </c>
      <c r="AM57" s="322">
        <v>0</v>
      </c>
      <c r="AN57" s="253">
        <v>42591</v>
      </c>
      <c r="AO57" s="254">
        <v>70.510000000000005</v>
      </c>
      <c r="AP57" s="85">
        <v>0</v>
      </c>
      <c r="AT57" s="239">
        <v>43324</v>
      </c>
      <c r="AU57" s="370">
        <v>78.099999999999994</v>
      </c>
      <c r="AV57" s="85">
        <v>0</v>
      </c>
      <c r="AW57" s="442">
        <v>42887</v>
      </c>
      <c r="AX57" s="373">
        <v>39.21</v>
      </c>
      <c r="AY57" s="322">
        <v>0</v>
      </c>
    </row>
    <row r="58" spans="1:51" x14ac:dyDescent="0.3">
      <c r="A58" s="172">
        <v>44177</v>
      </c>
      <c r="B58" s="377">
        <v>44.758086397412093</v>
      </c>
      <c r="C58" s="99">
        <v>0</v>
      </c>
      <c r="F58" s="81"/>
      <c r="I58" s="81"/>
      <c r="J58" s="193">
        <v>43048</v>
      </c>
      <c r="K58" s="194">
        <v>76.849999999999994</v>
      </c>
      <c r="L58" s="85">
        <v>0</v>
      </c>
      <c r="M58" s="393">
        <v>38833</v>
      </c>
      <c r="N58" s="394">
        <v>4.42</v>
      </c>
      <c r="O58" s="85">
        <v>0</v>
      </c>
      <c r="P58" s="383">
        <v>38833</v>
      </c>
      <c r="Q58" s="402">
        <v>5.42</v>
      </c>
      <c r="R58" s="85">
        <v>0</v>
      </c>
      <c r="S58" s="406">
        <v>40184</v>
      </c>
      <c r="T58" s="131">
        <v>37.630000000000003</v>
      </c>
      <c r="U58" s="85">
        <v>0</v>
      </c>
      <c r="V58" s="334">
        <v>39939</v>
      </c>
      <c r="W58" s="343">
        <v>2.7</v>
      </c>
      <c r="X58" s="224">
        <v>0</v>
      </c>
      <c r="Y58" s="349">
        <v>38246</v>
      </c>
      <c r="Z58" s="350">
        <v>30.47</v>
      </c>
      <c r="AA58" s="85">
        <v>0</v>
      </c>
      <c r="AB58" s="413">
        <v>38246</v>
      </c>
      <c r="AC58" s="227">
        <v>6.92</v>
      </c>
      <c r="AD58" s="85">
        <v>0</v>
      </c>
      <c r="AE58" s="206">
        <v>42063</v>
      </c>
      <c r="AF58" s="114">
        <v>95.68</v>
      </c>
      <c r="AG58" s="85">
        <v>0</v>
      </c>
      <c r="AH58" s="206">
        <v>40510</v>
      </c>
      <c r="AI58" s="114">
        <v>58</v>
      </c>
      <c r="AJ58" s="436">
        <v>0</v>
      </c>
      <c r="AK58" s="392">
        <v>42557</v>
      </c>
      <c r="AL58" s="438">
        <v>39.340000000000003</v>
      </c>
      <c r="AM58" s="322">
        <v>0</v>
      </c>
      <c r="AN58" s="253">
        <v>42663</v>
      </c>
      <c r="AO58" s="254">
        <v>70.73</v>
      </c>
      <c r="AP58" s="85">
        <v>0</v>
      </c>
      <c r="AT58" s="268">
        <v>43407</v>
      </c>
      <c r="AU58" s="371">
        <v>77.45</v>
      </c>
      <c r="AV58" s="85">
        <v>1</v>
      </c>
      <c r="AW58" s="442">
        <v>42955</v>
      </c>
      <c r="AX58" s="373">
        <v>39.17</v>
      </c>
      <c r="AY58" s="322">
        <v>0</v>
      </c>
    </row>
    <row r="59" spans="1:51" x14ac:dyDescent="0.3">
      <c r="A59" s="170">
        <v>44207</v>
      </c>
      <c r="B59" s="376">
        <v>45.084951337773219</v>
      </c>
      <c r="C59" s="99">
        <v>1</v>
      </c>
      <c r="F59" s="81"/>
      <c r="I59" s="81"/>
      <c r="J59" s="193">
        <v>43123</v>
      </c>
      <c r="K59" s="194">
        <v>77.11</v>
      </c>
      <c r="L59" s="85">
        <v>0</v>
      </c>
      <c r="M59" s="393">
        <v>38844</v>
      </c>
      <c r="N59" s="394">
        <v>4.42</v>
      </c>
      <c r="O59" s="85">
        <v>0</v>
      </c>
      <c r="P59" s="383">
        <v>38844</v>
      </c>
      <c r="Q59" s="402">
        <v>5.3</v>
      </c>
      <c r="R59" s="85">
        <v>0</v>
      </c>
      <c r="S59" s="407">
        <v>40313</v>
      </c>
      <c r="T59" s="124">
        <v>36.869999999999997</v>
      </c>
      <c r="U59" s="85">
        <v>1</v>
      </c>
      <c r="V59" s="337">
        <v>40227</v>
      </c>
      <c r="W59" s="344">
        <v>2.89</v>
      </c>
      <c r="X59" s="225">
        <v>1</v>
      </c>
      <c r="Y59" s="349">
        <v>38251</v>
      </c>
      <c r="Z59" s="350">
        <v>30.43</v>
      </c>
      <c r="AA59" s="85">
        <v>0</v>
      </c>
      <c r="AB59" s="413">
        <v>38251</v>
      </c>
      <c r="AC59" s="227">
        <v>6.87</v>
      </c>
      <c r="AD59" s="85">
        <v>0</v>
      </c>
      <c r="AE59" s="206">
        <v>42087</v>
      </c>
      <c r="AF59" s="114">
        <v>95.86</v>
      </c>
      <c r="AG59" s="85">
        <v>0</v>
      </c>
      <c r="AH59" s="206">
        <v>40511</v>
      </c>
      <c r="AI59" s="114">
        <v>57.98</v>
      </c>
      <c r="AJ59" s="436">
        <v>0</v>
      </c>
      <c r="AK59" s="392">
        <v>42591</v>
      </c>
      <c r="AL59" s="374">
        <v>39.22</v>
      </c>
      <c r="AM59" s="322">
        <v>0</v>
      </c>
      <c r="AN59" s="256">
        <v>42774</v>
      </c>
      <c r="AO59" s="254">
        <v>71.53</v>
      </c>
      <c r="AP59" s="85">
        <v>0</v>
      </c>
      <c r="AT59" s="267">
        <v>43559</v>
      </c>
      <c r="AU59" s="457">
        <v>79.36</v>
      </c>
      <c r="AV59" s="85">
        <v>0</v>
      </c>
      <c r="AW59" s="458">
        <v>43048</v>
      </c>
      <c r="AX59" s="375">
        <v>39.61</v>
      </c>
      <c r="AY59" s="322">
        <v>0</v>
      </c>
    </row>
    <row r="60" spans="1:51" x14ac:dyDescent="0.3">
      <c r="A60" s="172">
        <v>44293</v>
      </c>
      <c r="B60" s="377">
        <v>45.418671753365807</v>
      </c>
      <c r="C60" s="99">
        <v>0</v>
      </c>
      <c r="F60" s="81"/>
      <c r="I60" s="81"/>
      <c r="J60" s="193">
        <v>43559</v>
      </c>
      <c r="K60" s="194">
        <v>79.42</v>
      </c>
      <c r="L60" s="85">
        <v>0</v>
      </c>
      <c r="M60" s="393">
        <v>38849</v>
      </c>
      <c r="N60" s="394">
        <v>4.3099999999999996</v>
      </c>
      <c r="O60" s="85">
        <v>0</v>
      </c>
      <c r="P60" s="383">
        <v>38849</v>
      </c>
      <c r="Q60" s="402">
        <v>5.22</v>
      </c>
      <c r="R60" s="85">
        <v>0</v>
      </c>
      <c r="S60" s="406">
        <v>40494</v>
      </c>
      <c r="T60" s="340">
        <v>36.21</v>
      </c>
      <c r="U60" s="85">
        <v>0</v>
      </c>
      <c r="V60" s="337">
        <v>40372</v>
      </c>
      <c r="W60" s="344">
        <v>2.93</v>
      </c>
      <c r="X60" s="225">
        <v>1</v>
      </c>
      <c r="Y60" s="349">
        <v>38286</v>
      </c>
      <c r="Z60" s="350">
        <v>31.7</v>
      </c>
      <c r="AA60" s="85">
        <v>0</v>
      </c>
      <c r="AB60" s="413">
        <v>38286</v>
      </c>
      <c r="AC60" s="227">
        <v>6.94</v>
      </c>
      <c r="AD60" s="85">
        <v>0</v>
      </c>
      <c r="AE60" s="206">
        <v>42157</v>
      </c>
      <c r="AF60" s="114">
        <v>96</v>
      </c>
      <c r="AG60" s="85">
        <v>0</v>
      </c>
      <c r="AH60" s="206">
        <v>40512</v>
      </c>
      <c r="AI60" s="114">
        <v>58.1</v>
      </c>
      <c r="AJ60" s="436">
        <v>0</v>
      </c>
      <c r="AK60" s="392">
        <v>42774</v>
      </c>
      <c r="AL60" s="374">
        <v>39.979999999999997</v>
      </c>
      <c r="AM60" s="322">
        <v>0</v>
      </c>
      <c r="AN60" s="253">
        <v>42852</v>
      </c>
      <c r="AO60" s="254">
        <v>72.5</v>
      </c>
      <c r="AP60" s="85">
        <v>0</v>
      </c>
      <c r="AT60" s="268">
        <v>43729</v>
      </c>
      <c r="AU60" s="371">
        <v>79.91</v>
      </c>
      <c r="AV60" s="85">
        <v>1</v>
      </c>
      <c r="AW60" s="417">
        <v>43170</v>
      </c>
      <c r="AX60" s="225">
        <v>40.119999999999997</v>
      </c>
      <c r="AY60" s="322">
        <v>1</v>
      </c>
    </row>
    <row r="61" spans="1:51" x14ac:dyDescent="0.3">
      <c r="A61" s="172">
        <v>44411</v>
      </c>
      <c r="B61" s="377">
        <v>45.759360650938405</v>
      </c>
      <c r="C61" s="99">
        <v>0</v>
      </c>
      <c r="D61" s="165"/>
      <c r="F61" s="81"/>
      <c r="I61" s="81"/>
      <c r="J61" s="193">
        <v>43697</v>
      </c>
      <c r="K61" s="194">
        <v>79.98</v>
      </c>
      <c r="L61" s="85">
        <v>0</v>
      </c>
      <c r="M61" s="393">
        <v>38860</v>
      </c>
      <c r="N61" s="394">
        <v>4.46</v>
      </c>
      <c r="O61" s="85">
        <v>0</v>
      </c>
      <c r="P61" s="383">
        <v>38860</v>
      </c>
      <c r="Q61" s="402">
        <v>5.2</v>
      </c>
      <c r="R61" s="85">
        <v>0</v>
      </c>
      <c r="S61" s="407">
        <v>40506</v>
      </c>
      <c r="T61" s="124">
        <v>37.25</v>
      </c>
      <c r="U61" s="85">
        <v>1</v>
      </c>
      <c r="V61" s="336">
        <v>40540</v>
      </c>
      <c r="W61" s="346">
        <v>2.96</v>
      </c>
      <c r="X61" s="225">
        <v>0</v>
      </c>
      <c r="Y61" s="349">
        <v>38308</v>
      </c>
      <c r="Z61" s="350">
        <v>31.84</v>
      </c>
      <c r="AA61" s="85">
        <v>0</v>
      </c>
      <c r="AB61" s="413">
        <v>38308</v>
      </c>
      <c r="AC61" s="227">
        <v>6.91</v>
      </c>
      <c r="AD61" s="85">
        <v>0</v>
      </c>
      <c r="AE61" s="206">
        <v>42220</v>
      </c>
      <c r="AF61" s="114">
        <v>96.2</v>
      </c>
      <c r="AG61" s="85">
        <v>0</v>
      </c>
      <c r="AH61" s="206">
        <v>40513</v>
      </c>
      <c r="AI61" s="114">
        <v>57.67</v>
      </c>
      <c r="AJ61" s="436">
        <v>0</v>
      </c>
      <c r="AK61" s="392">
        <v>42865</v>
      </c>
      <c r="AL61" s="374">
        <v>39.82</v>
      </c>
      <c r="AM61" s="322">
        <v>0</v>
      </c>
      <c r="AN61" s="253">
        <v>42865</v>
      </c>
      <c r="AO61" s="254">
        <v>72.209999999999994</v>
      </c>
      <c r="AP61" s="85">
        <v>0</v>
      </c>
      <c r="AT61" s="239">
        <v>43871</v>
      </c>
      <c r="AU61" s="370">
        <v>79.56</v>
      </c>
      <c r="AV61" s="85">
        <v>0</v>
      </c>
      <c r="AW61" s="417">
        <v>43360</v>
      </c>
      <c r="AX61" s="225">
        <v>41.59</v>
      </c>
      <c r="AY61" s="322">
        <v>1</v>
      </c>
    </row>
    <row r="62" spans="1:51" x14ac:dyDescent="0.3">
      <c r="A62" s="170">
        <v>44486</v>
      </c>
      <c r="B62" s="376">
        <v>46.107132974197</v>
      </c>
      <c r="C62" s="99">
        <v>1</v>
      </c>
      <c r="D62" s="165"/>
      <c r="F62" s="81"/>
      <c r="I62" s="81"/>
      <c r="J62" s="193">
        <v>43759</v>
      </c>
      <c r="K62" s="194">
        <v>81.53</v>
      </c>
      <c r="L62" s="85">
        <v>0</v>
      </c>
      <c r="M62" s="393">
        <v>38929</v>
      </c>
      <c r="N62" s="394">
        <v>4.41</v>
      </c>
      <c r="O62" s="85">
        <v>0</v>
      </c>
      <c r="P62" s="383">
        <v>38929</v>
      </c>
      <c r="Q62" s="402">
        <v>5.27</v>
      </c>
      <c r="R62" s="85">
        <v>0</v>
      </c>
      <c r="S62" s="406">
        <v>40660</v>
      </c>
      <c r="T62" s="340">
        <v>36.71</v>
      </c>
      <c r="U62" s="85">
        <v>0</v>
      </c>
      <c r="V62" s="336">
        <v>40640</v>
      </c>
      <c r="W62" s="346">
        <v>3.13</v>
      </c>
      <c r="X62" s="225">
        <v>0</v>
      </c>
      <c r="Y62" s="349">
        <v>38313</v>
      </c>
      <c r="Z62" s="350">
        <v>31.64</v>
      </c>
      <c r="AA62" s="85">
        <v>0</v>
      </c>
      <c r="AB62" s="413">
        <v>38313</v>
      </c>
      <c r="AC62" s="227">
        <v>7.22</v>
      </c>
      <c r="AD62" s="85">
        <v>0</v>
      </c>
      <c r="AE62" s="206">
        <v>42255</v>
      </c>
      <c r="AF62" s="114">
        <v>96.39</v>
      </c>
      <c r="AG62" s="85">
        <v>0</v>
      </c>
      <c r="AH62" s="206">
        <v>40527</v>
      </c>
      <c r="AI62" s="114">
        <v>58.96</v>
      </c>
      <c r="AJ62" s="436">
        <v>0</v>
      </c>
      <c r="AK62" s="392">
        <v>42887</v>
      </c>
      <c r="AL62" s="374">
        <v>39.9</v>
      </c>
      <c r="AM62" s="322">
        <v>0</v>
      </c>
      <c r="AN62" s="253">
        <v>42887</v>
      </c>
      <c r="AO62" s="254">
        <v>72.319999999999993</v>
      </c>
      <c r="AP62" s="85">
        <v>0</v>
      </c>
      <c r="AT62" s="268">
        <v>44017</v>
      </c>
      <c r="AU62" s="371">
        <v>80.78</v>
      </c>
      <c r="AV62" s="85">
        <v>1</v>
      </c>
      <c r="AW62" s="387">
        <v>43608</v>
      </c>
      <c r="AX62" s="441">
        <v>42.68</v>
      </c>
      <c r="AY62" s="322">
        <v>0</v>
      </c>
    </row>
    <row r="63" spans="1:51" x14ac:dyDescent="0.3">
      <c r="A63" s="172">
        <v>44507</v>
      </c>
      <c r="B63" s="377">
        <v>46.462105603804993</v>
      </c>
      <c r="C63" s="99">
        <v>0</v>
      </c>
      <c r="D63" s="165"/>
      <c r="F63" s="81"/>
      <c r="I63" s="81"/>
      <c r="J63" s="193">
        <v>44440</v>
      </c>
      <c r="K63" s="194">
        <v>82.9</v>
      </c>
      <c r="L63" s="85">
        <v>0</v>
      </c>
      <c r="M63" s="393">
        <v>38960</v>
      </c>
      <c r="N63" s="394">
        <v>4.5</v>
      </c>
      <c r="O63" s="85">
        <v>0</v>
      </c>
      <c r="P63" s="383">
        <v>38960</v>
      </c>
      <c r="Q63" s="402">
        <v>5.21</v>
      </c>
      <c r="R63" s="85">
        <v>0</v>
      </c>
      <c r="S63" s="407">
        <v>40857</v>
      </c>
      <c r="T63" s="124">
        <v>36.909999999999997</v>
      </c>
      <c r="U63" s="85">
        <v>1</v>
      </c>
      <c r="V63" s="337">
        <v>40810</v>
      </c>
      <c r="W63" s="344">
        <v>2.94</v>
      </c>
      <c r="X63" s="225">
        <v>1</v>
      </c>
      <c r="Y63" s="349">
        <v>38342</v>
      </c>
      <c r="Z63" s="350">
        <v>31.72</v>
      </c>
      <c r="AA63" s="85">
        <v>0</v>
      </c>
      <c r="AB63" s="413">
        <v>38342</v>
      </c>
      <c r="AC63" s="227">
        <v>6.84</v>
      </c>
      <c r="AD63" s="85">
        <v>0</v>
      </c>
      <c r="AE63" s="206">
        <v>42292</v>
      </c>
      <c r="AF63" s="114">
        <v>96.68</v>
      </c>
      <c r="AG63" s="85">
        <v>0</v>
      </c>
      <c r="AH63" s="206">
        <v>40528</v>
      </c>
      <c r="AI63" s="114">
        <v>58.98</v>
      </c>
      <c r="AJ63" s="436">
        <v>0</v>
      </c>
      <c r="AK63" s="392">
        <v>42955</v>
      </c>
      <c r="AL63" s="374">
        <v>39.71</v>
      </c>
      <c r="AM63" s="322">
        <v>0</v>
      </c>
      <c r="AN63" s="253">
        <v>42955</v>
      </c>
      <c r="AO63" s="254">
        <v>72.7</v>
      </c>
      <c r="AP63" s="85">
        <v>0</v>
      </c>
      <c r="AT63" s="239">
        <v>44206</v>
      </c>
      <c r="AU63" s="370">
        <v>81.56</v>
      </c>
      <c r="AV63" s="85">
        <v>0</v>
      </c>
      <c r="AW63" s="387">
        <v>43791</v>
      </c>
      <c r="AX63" s="441">
        <v>42.16</v>
      </c>
      <c r="AY63" s="322">
        <v>0</v>
      </c>
    </row>
    <row r="64" spans="1:51" x14ac:dyDescent="0.3">
      <c r="A64" s="170">
        <v>44539</v>
      </c>
      <c r="B64" s="376">
        <v>46.824397357383262</v>
      </c>
      <c r="C64" s="99">
        <v>1</v>
      </c>
      <c r="D64" s="165"/>
      <c r="F64" s="81"/>
      <c r="I64" s="81"/>
      <c r="J64" s="193">
        <v>44599</v>
      </c>
      <c r="K64" s="194">
        <v>83.83</v>
      </c>
      <c r="L64" s="85">
        <v>0</v>
      </c>
      <c r="M64" s="393">
        <v>39085</v>
      </c>
      <c r="N64" s="394">
        <v>4.4400000000000004</v>
      </c>
      <c r="O64" s="85">
        <v>0</v>
      </c>
      <c r="P64" s="383">
        <v>39085</v>
      </c>
      <c r="Q64" s="402">
        <v>5.55</v>
      </c>
      <c r="R64" s="85">
        <v>0</v>
      </c>
      <c r="S64" s="406">
        <v>40934</v>
      </c>
      <c r="T64" s="131">
        <v>36.729999999999997</v>
      </c>
      <c r="U64" s="85">
        <v>0</v>
      </c>
      <c r="V64" s="337">
        <v>40899</v>
      </c>
      <c r="W64" s="344">
        <v>3.24</v>
      </c>
      <c r="X64" s="225">
        <v>1</v>
      </c>
      <c r="Y64" s="349">
        <v>38364</v>
      </c>
      <c r="Z64" s="350">
        <v>31.9</v>
      </c>
      <c r="AA64" s="85">
        <v>0</v>
      </c>
      <c r="AB64" s="413">
        <v>38364</v>
      </c>
      <c r="AC64" s="227">
        <v>6.9</v>
      </c>
      <c r="AD64" s="85">
        <v>0</v>
      </c>
      <c r="AE64" s="206">
        <v>42353</v>
      </c>
      <c r="AF64" s="114">
        <v>97.1</v>
      </c>
      <c r="AG64" s="85">
        <v>0</v>
      </c>
      <c r="AH64" s="206">
        <v>40529</v>
      </c>
      <c r="AI64" s="114">
        <v>58.94</v>
      </c>
      <c r="AJ64" s="436">
        <v>0</v>
      </c>
      <c r="AK64" s="392">
        <v>43011</v>
      </c>
      <c r="AL64" s="374">
        <v>39.57</v>
      </c>
      <c r="AM64" s="322">
        <v>0</v>
      </c>
      <c r="AN64" s="253">
        <v>43048</v>
      </c>
      <c r="AO64" s="254">
        <v>73.37</v>
      </c>
      <c r="AP64" s="85">
        <v>0</v>
      </c>
      <c r="AT64" s="268">
        <v>44460</v>
      </c>
      <c r="AU64" s="371">
        <v>80.790000000000006</v>
      </c>
      <c r="AV64" s="85">
        <v>1</v>
      </c>
      <c r="AW64" s="387">
        <v>43928</v>
      </c>
      <c r="AX64" s="441">
        <v>42.81</v>
      </c>
      <c r="AY64" s="322">
        <v>0</v>
      </c>
    </row>
    <row r="65" spans="1:51" x14ac:dyDescent="0.3">
      <c r="A65" s="172">
        <v>44600</v>
      </c>
      <c r="B65" s="378">
        <v>47.17</v>
      </c>
      <c r="C65" s="99">
        <v>0</v>
      </c>
      <c r="D65" s="165"/>
      <c r="F65" s="81"/>
      <c r="I65" s="81"/>
      <c r="J65" s="130">
        <v>44846</v>
      </c>
      <c r="K65" s="102">
        <v>82.078147199999989</v>
      </c>
      <c r="L65" s="85">
        <v>1</v>
      </c>
      <c r="M65" s="393">
        <v>39140</v>
      </c>
      <c r="N65" s="394">
        <v>4.57</v>
      </c>
      <c r="O65" s="85">
        <v>0</v>
      </c>
      <c r="P65" s="383">
        <v>39140</v>
      </c>
      <c r="Q65" s="402">
        <v>5.55</v>
      </c>
      <c r="R65" s="85">
        <v>0</v>
      </c>
      <c r="S65" s="406">
        <v>41025</v>
      </c>
      <c r="T65" s="131">
        <v>37.83</v>
      </c>
      <c r="U65" s="85">
        <v>0</v>
      </c>
      <c r="V65" s="336">
        <v>40934</v>
      </c>
      <c r="W65" s="345">
        <v>3.11</v>
      </c>
      <c r="X65" s="226">
        <v>0</v>
      </c>
      <c r="Y65" s="349">
        <v>38378</v>
      </c>
      <c r="Z65" s="350">
        <v>32.5</v>
      </c>
      <c r="AA65" s="85">
        <v>0</v>
      </c>
      <c r="AB65" s="413">
        <v>38378</v>
      </c>
      <c r="AC65" s="227">
        <v>6.91</v>
      </c>
      <c r="AD65" s="85">
        <v>0</v>
      </c>
      <c r="AE65" s="206">
        <v>42387</v>
      </c>
      <c r="AF65" s="114">
        <v>97.4</v>
      </c>
      <c r="AG65" s="85">
        <v>0</v>
      </c>
      <c r="AH65" s="206">
        <v>40530</v>
      </c>
      <c r="AI65" s="114">
        <v>58.94</v>
      </c>
      <c r="AJ65" s="436">
        <v>0</v>
      </c>
      <c r="AK65" s="430">
        <v>43123</v>
      </c>
      <c r="AL65" s="439">
        <v>39.409999999999997</v>
      </c>
      <c r="AM65" s="322">
        <v>0</v>
      </c>
      <c r="AN65" s="253">
        <v>43123</v>
      </c>
      <c r="AO65" s="254">
        <v>73.819999999999993</v>
      </c>
      <c r="AP65" s="85">
        <v>0</v>
      </c>
      <c r="AT65" s="239">
        <v>44606</v>
      </c>
      <c r="AU65" s="370">
        <v>82.75</v>
      </c>
      <c r="AV65" s="85">
        <v>0</v>
      </c>
      <c r="AW65" s="417">
        <v>44085</v>
      </c>
      <c r="AX65" s="225">
        <v>42.95</v>
      </c>
      <c r="AY65" s="322">
        <v>1</v>
      </c>
    </row>
    <row r="66" spans="1:51" x14ac:dyDescent="0.3">
      <c r="A66" s="171">
        <v>44697</v>
      </c>
      <c r="B66" s="376">
        <v>47.152342456998404</v>
      </c>
      <c r="C66" s="99">
        <v>1</v>
      </c>
      <c r="D66" s="165"/>
      <c r="F66" s="81"/>
      <c r="I66" s="81"/>
      <c r="J66" s="206">
        <v>44900</v>
      </c>
      <c r="K66" s="325">
        <v>80.88698789999998</v>
      </c>
      <c r="L66" s="85">
        <v>0</v>
      </c>
      <c r="M66" s="393">
        <v>39184</v>
      </c>
      <c r="N66" s="394">
        <v>4.82</v>
      </c>
      <c r="O66" s="85">
        <v>0</v>
      </c>
      <c r="P66" s="383">
        <v>39184</v>
      </c>
      <c r="Q66" s="402">
        <v>5.67</v>
      </c>
      <c r="R66" s="85">
        <v>0</v>
      </c>
      <c r="S66" s="406">
        <v>41059</v>
      </c>
      <c r="T66" s="131">
        <v>38.799999999999997</v>
      </c>
      <c r="U66" s="85">
        <v>0</v>
      </c>
      <c r="V66" s="336">
        <v>41025</v>
      </c>
      <c r="W66" s="345">
        <v>3.05</v>
      </c>
      <c r="X66" s="226">
        <v>0</v>
      </c>
      <c r="Y66" s="349">
        <v>38391</v>
      </c>
      <c r="Z66" s="350">
        <v>32.6</v>
      </c>
      <c r="AA66" s="85">
        <v>0</v>
      </c>
      <c r="AB66" s="413">
        <v>38391</v>
      </c>
      <c r="AC66" s="227">
        <v>6.88</v>
      </c>
      <c r="AD66" s="85">
        <v>0</v>
      </c>
      <c r="AE66" s="206">
        <v>42429</v>
      </c>
      <c r="AF66" s="114">
        <v>97.6</v>
      </c>
      <c r="AG66" s="85">
        <v>0</v>
      </c>
      <c r="AH66" s="206">
        <v>40531</v>
      </c>
      <c r="AI66" s="114">
        <v>58.93</v>
      </c>
      <c r="AJ66" s="436">
        <v>0</v>
      </c>
      <c r="AK66" s="431">
        <v>43323</v>
      </c>
      <c r="AL66" s="225">
        <v>39.5</v>
      </c>
      <c r="AM66" s="322">
        <v>1</v>
      </c>
      <c r="AN66" s="253">
        <v>43263</v>
      </c>
      <c r="AO66" s="254">
        <v>74.75</v>
      </c>
      <c r="AP66" s="85">
        <v>0</v>
      </c>
      <c r="AT66" s="239">
        <v>44809</v>
      </c>
      <c r="AU66" s="370">
        <v>83.41</v>
      </c>
      <c r="AV66" s="85">
        <v>0</v>
      </c>
      <c r="AW66" s="387">
        <v>44213</v>
      </c>
      <c r="AX66" s="441">
        <v>43.21</v>
      </c>
      <c r="AY66" s="322">
        <v>0</v>
      </c>
    </row>
    <row r="67" spans="1:51" x14ac:dyDescent="0.3">
      <c r="A67" s="173">
        <v>44821</v>
      </c>
      <c r="B67" s="377">
        <v>47.451890647646238</v>
      </c>
      <c r="C67" s="99">
        <v>0</v>
      </c>
      <c r="D67" s="165"/>
      <c r="F67" s="81"/>
      <c r="I67" s="81"/>
      <c r="J67" s="130">
        <v>45008</v>
      </c>
      <c r="K67" s="102">
        <v>79.794049599999994</v>
      </c>
      <c r="L67" s="85">
        <v>1</v>
      </c>
      <c r="M67" s="393">
        <v>39213</v>
      </c>
      <c r="N67" s="394">
        <v>4.6100000000000003</v>
      </c>
      <c r="O67" s="85">
        <v>0</v>
      </c>
      <c r="P67" s="383">
        <v>39213</v>
      </c>
      <c r="Q67" s="402">
        <v>5.41</v>
      </c>
      <c r="R67" s="85">
        <v>0</v>
      </c>
      <c r="S67" s="406">
        <v>41072</v>
      </c>
      <c r="T67" s="131">
        <v>39.04</v>
      </c>
      <c r="U67" s="85">
        <v>0</v>
      </c>
      <c r="V67" s="336">
        <v>41059</v>
      </c>
      <c r="W67" s="345">
        <v>2.84</v>
      </c>
      <c r="X67" s="226">
        <v>0</v>
      </c>
      <c r="Y67" s="349">
        <v>38404</v>
      </c>
      <c r="Z67" s="350">
        <v>32.619999999999997</v>
      </c>
      <c r="AA67" s="85">
        <v>0</v>
      </c>
      <c r="AB67" s="413">
        <v>38404</v>
      </c>
      <c r="AC67" s="227">
        <v>7</v>
      </c>
      <c r="AD67" s="85">
        <v>0</v>
      </c>
      <c r="AE67" s="206">
        <v>42471</v>
      </c>
      <c r="AF67" s="114">
        <v>97.71</v>
      </c>
      <c r="AG67" s="85">
        <v>0</v>
      </c>
      <c r="AH67" s="206">
        <v>40532</v>
      </c>
      <c r="AI67" s="114">
        <v>58.93</v>
      </c>
      <c r="AJ67" s="436">
        <v>0</v>
      </c>
      <c r="AK67" s="431">
        <v>43419</v>
      </c>
      <c r="AL67" s="225">
        <v>39.700000000000003</v>
      </c>
      <c r="AM67" s="322">
        <v>1</v>
      </c>
      <c r="AN67" s="239">
        <v>43348</v>
      </c>
      <c r="AO67" s="254">
        <v>75.08</v>
      </c>
      <c r="AP67" s="85">
        <v>0</v>
      </c>
      <c r="AT67" s="268">
        <v>44929</v>
      </c>
      <c r="AU67" s="371">
        <v>84.7</v>
      </c>
      <c r="AV67" s="85">
        <v>1</v>
      </c>
      <c r="AW67" s="417">
        <v>44481</v>
      </c>
      <c r="AX67" s="225">
        <v>43.44</v>
      </c>
      <c r="AY67" s="322">
        <v>1</v>
      </c>
    </row>
    <row r="68" spans="1:51" x14ac:dyDescent="0.3">
      <c r="A68" s="173">
        <v>45038</v>
      </c>
      <c r="B68" s="377">
        <v>47.756301290436348</v>
      </c>
      <c r="C68" s="99">
        <v>0</v>
      </c>
      <c r="D68" s="165"/>
      <c r="F68" s="81"/>
      <c r="I68" s="81"/>
      <c r="J68" s="130">
        <v>45210</v>
      </c>
      <c r="K68" s="102">
        <v>78.793515299999996</v>
      </c>
      <c r="L68" s="85">
        <v>1</v>
      </c>
      <c r="M68" s="393">
        <v>39231</v>
      </c>
      <c r="N68" s="394">
        <v>4.7699999999999996</v>
      </c>
      <c r="O68" s="85">
        <v>0</v>
      </c>
      <c r="P68" s="383">
        <v>39231</v>
      </c>
      <c r="Q68" s="402">
        <v>5.36</v>
      </c>
      <c r="R68" s="85">
        <v>0</v>
      </c>
      <c r="S68" s="406">
        <v>41171</v>
      </c>
      <c r="T68" s="131">
        <v>40.35</v>
      </c>
      <c r="U68" s="85">
        <v>0</v>
      </c>
      <c r="V68" s="336">
        <v>41072</v>
      </c>
      <c r="W68" s="345">
        <v>2.8</v>
      </c>
      <c r="X68" s="226">
        <v>0</v>
      </c>
      <c r="Y68" s="349">
        <v>38453</v>
      </c>
      <c r="Z68" s="350">
        <v>33.42</v>
      </c>
      <c r="AA68" s="85">
        <v>0</v>
      </c>
      <c r="AB68" s="413">
        <v>38427</v>
      </c>
      <c r="AC68" s="227">
        <v>6.91</v>
      </c>
      <c r="AD68" s="85">
        <v>0</v>
      </c>
      <c r="AE68" s="206">
        <v>42494</v>
      </c>
      <c r="AF68" s="114">
        <v>97.82</v>
      </c>
      <c r="AG68" s="85">
        <v>0</v>
      </c>
      <c r="AH68" s="206">
        <v>40533</v>
      </c>
      <c r="AI68" s="114">
        <v>58.92</v>
      </c>
      <c r="AJ68" s="436">
        <v>0</v>
      </c>
      <c r="AK68" s="432">
        <v>43558</v>
      </c>
      <c r="AL68" s="440">
        <v>40.090000000000003</v>
      </c>
      <c r="AM68" s="322">
        <v>0</v>
      </c>
      <c r="AN68" s="239">
        <v>43263</v>
      </c>
      <c r="AO68" s="254">
        <v>74.75</v>
      </c>
      <c r="AP68" s="85">
        <v>0</v>
      </c>
      <c r="AT68" s="268">
        <v>45155</v>
      </c>
      <c r="AU68" s="371">
        <v>85.98</v>
      </c>
      <c r="AV68" s="85">
        <v>1</v>
      </c>
      <c r="AW68" s="445">
        <v>44600</v>
      </c>
      <c r="AX68" s="450">
        <v>43.57</v>
      </c>
      <c r="AY68" s="322">
        <v>0</v>
      </c>
    </row>
    <row r="69" spans="1:51" x14ac:dyDescent="0.3">
      <c r="A69" s="171">
        <v>45241</v>
      </c>
      <c r="B69" s="376">
        <v>48.06563814222951</v>
      </c>
      <c r="C69" s="99">
        <v>1</v>
      </c>
      <c r="D69" s="165"/>
      <c r="F69" s="81"/>
      <c r="I69" s="81"/>
      <c r="J69" s="206">
        <v>45302</v>
      </c>
      <c r="K69" s="325">
        <v>77.88</v>
      </c>
      <c r="L69" s="85">
        <v>0</v>
      </c>
      <c r="M69" s="393">
        <v>39253</v>
      </c>
      <c r="N69" s="394">
        <v>4.7</v>
      </c>
      <c r="O69" s="85">
        <v>0</v>
      </c>
      <c r="P69" s="383">
        <v>39253</v>
      </c>
      <c r="Q69" s="402">
        <v>5.0999999999999996</v>
      </c>
      <c r="R69" s="85">
        <v>0</v>
      </c>
      <c r="S69" s="406">
        <v>41228</v>
      </c>
      <c r="T69" s="131">
        <v>45.58</v>
      </c>
      <c r="U69" s="85">
        <v>0</v>
      </c>
      <c r="V69" s="336">
        <v>41171</v>
      </c>
      <c r="W69" s="345">
        <v>2.63</v>
      </c>
      <c r="X69" s="226">
        <v>0</v>
      </c>
      <c r="Y69" s="349">
        <v>38461</v>
      </c>
      <c r="Z69" s="350">
        <v>33.270000000000003</v>
      </c>
      <c r="AA69" s="85">
        <v>0</v>
      </c>
      <c r="AB69" s="413">
        <v>38442</v>
      </c>
      <c r="AC69" s="227">
        <v>7.01</v>
      </c>
      <c r="AD69" s="85">
        <v>0</v>
      </c>
      <c r="AE69" s="206">
        <v>42591</v>
      </c>
      <c r="AF69" s="114">
        <v>98.1</v>
      </c>
      <c r="AG69" s="85">
        <v>0</v>
      </c>
      <c r="AH69" s="206">
        <v>40534</v>
      </c>
      <c r="AI69" s="114">
        <v>58.92</v>
      </c>
      <c r="AJ69" s="436">
        <v>0</v>
      </c>
      <c r="AK69" s="430">
        <v>43697</v>
      </c>
      <c r="AL69" s="439">
        <v>40.4</v>
      </c>
      <c r="AM69" s="322">
        <v>0</v>
      </c>
      <c r="AN69" s="256">
        <v>43348</v>
      </c>
      <c r="AO69" s="254">
        <v>75.08</v>
      </c>
      <c r="AP69" s="85">
        <v>0</v>
      </c>
      <c r="AT69" s="239">
        <v>45356</v>
      </c>
      <c r="AU69" s="370">
        <v>86.11</v>
      </c>
      <c r="AV69" s="85">
        <v>0</v>
      </c>
      <c r="AW69" s="445">
        <v>44785</v>
      </c>
      <c r="AX69" s="373">
        <v>44.04</v>
      </c>
      <c r="AY69" s="322">
        <v>0</v>
      </c>
    </row>
    <row r="70" spans="1:51" x14ac:dyDescent="0.3">
      <c r="A70" s="173">
        <v>45327</v>
      </c>
      <c r="B70" s="377">
        <v>48.379965742895884</v>
      </c>
      <c r="C70" s="99">
        <v>0</v>
      </c>
      <c r="D70" s="165"/>
      <c r="F70" s="81"/>
      <c r="I70" s="81"/>
      <c r="J70" s="130">
        <v>45544</v>
      </c>
      <c r="K70" s="102">
        <v>77.048514699999984</v>
      </c>
      <c r="L70" s="85">
        <v>1</v>
      </c>
      <c r="M70" s="393">
        <v>39346</v>
      </c>
      <c r="N70" s="394">
        <v>4.54</v>
      </c>
      <c r="O70" s="85">
        <v>0</v>
      </c>
      <c r="P70" s="383">
        <v>39346</v>
      </c>
      <c r="Q70" s="402">
        <v>4.9000000000000004</v>
      </c>
      <c r="R70" s="85">
        <v>0</v>
      </c>
      <c r="S70" s="406">
        <v>41235</v>
      </c>
      <c r="T70" s="131">
        <v>40.44</v>
      </c>
      <c r="U70" s="85">
        <v>0</v>
      </c>
      <c r="V70" s="336">
        <v>41235</v>
      </c>
      <c r="W70" s="345">
        <v>2.78</v>
      </c>
      <c r="X70" s="226">
        <v>0</v>
      </c>
      <c r="Y70" s="349">
        <v>38467</v>
      </c>
      <c r="Z70" s="350">
        <v>33.32</v>
      </c>
      <c r="AA70" s="85">
        <v>0</v>
      </c>
      <c r="AB70" s="413">
        <v>38453</v>
      </c>
      <c r="AC70" s="227">
        <v>7.03</v>
      </c>
      <c r="AD70" s="85">
        <v>0</v>
      </c>
      <c r="AE70" s="206">
        <v>42686</v>
      </c>
      <c r="AF70" s="114">
        <v>98.6</v>
      </c>
      <c r="AG70" s="85">
        <v>0</v>
      </c>
      <c r="AH70" s="206">
        <v>40535</v>
      </c>
      <c r="AI70" s="114">
        <v>58.98</v>
      </c>
      <c r="AJ70" s="436">
        <v>0</v>
      </c>
      <c r="AK70" s="392">
        <v>43921</v>
      </c>
      <c r="AL70" s="226">
        <v>41.01</v>
      </c>
      <c r="AM70" s="322">
        <v>0</v>
      </c>
      <c r="AN70" s="239">
        <v>43559</v>
      </c>
      <c r="AO70" s="125">
        <v>76.040000000000006</v>
      </c>
      <c r="AP70" s="85">
        <v>0</v>
      </c>
      <c r="AT70" s="239">
        <v>45599</v>
      </c>
      <c r="AU70" s="370">
        <v>87.75</v>
      </c>
      <c r="AV70" s="85">
        <v>0</v>
      </c>
      <c r="AW70" s="459">
        <v>44844</v>
      </c>
      <c r="AX70" s="375">
        <v>44.86</v>
      </c>
      <c r="AY70" s="322">
        <v>0</v>
      </c>
    </row>
    <row r="71" spans="1:51" x14ac:dyDescent="0.3">
      <c r="A71" s="173">
        <v>45557</v>
      </c>
      <c r="B71" s="377">
        <v>48.699349415314984</v>
      </c>
      <c r="C71" s="99">
        <v>0</v>
      </c>
      <c r="D71" s="165"/>
      <c r="F71" s="81"/>
      <c r="I71" s="81"/>
      <c r="J71" s="130">
        <v>45647</v>
      </c>
      <c r="K71" s="102">
        <v>76.294430399999996</v>
      </c>
      <c r="L71" s="85">
        <v>1</v>
      </c>
      <c r="M71" s="393">
        <v>39377</v>
      </c>
      <c r="N71" s="394">
        <v>5.16</v>
      </c>
      <c r="O71" s="85">
        <v>0</v>
      </c>
      <c r="P71" s="383">
        <v>39377</v>
      </c>
      <c r="Q71" s="402">
        <v>5.67</v>
      </c>
      <c r="R71" s="85">
        <v>0</v>
      </c>
      <c r="S71" s="406">
        <v>41278</v>
      </c>
      <c r="T71" s="131">
        <v>40.61</v>
      </c>
      <c r="U71" s="85">
        <v>0</v>
      </c>
      <c r="V71" s="336">
        <v>41278</v>
      </c>
      <c r="W71" s="345">
        <v>3.16</v>
      </c>
      <c r="X71" s="226">
        <v>0</v>
      </c>
      <c r="Y71" s="349">
        <v>38474</v>
      </c>
      <c r="Z71" s="350">
        <v>33.47</v>
      </c>
      <c r="AA71" s="85">
        <v>0</v>
      </c>
      <c r="AB71" s="413">
        <v>38461</v>
      </c>
      <c r="AC71" s="227">
        <v>6.55</v>
      </c>
      <c r="AD71" s="85">
        <v>0</v>
      </c>
      <c r="AE71" s="206">
        <v>42784</v>
      </c>
      <c r="AF71" s="114">
        <v>98.93</v>
      </c>
      <c r="AG71" s="85">
        <v>0</v>
      </c>
      <c r="AH71" s="206">
        <v>40536</v>
      </c>
      <c r="AI71" s="114">
        <v>58.95</v>
      </c>
      <c r="AJ71" s="436">
        <v>0</v>
      </c>
      <c r="AK71" s="392">
        <v>43964</v>
      </c>
      <c r="AL71" s="226">
        <v>41</v>
      </c>
      <c r="AM71" s="322">
        <v>0</v>
      </c>
      <c r="AN71" s="239">
        <v>43697</v>
      </c>
      <c r="AO71" s="254">
        <v>76.95</v>
      </c>
      <c r="AP71" s="85">
        <v>0</v>
      </c>
      <c r="AT71" s="268">
        <v>45626</v>
      </c>
      <c r="AU71" s="371">
        <v>88.1</v>
      </c>
      <c r="AV71" s="85">
        <v>1</v>
      </c>
      <c r="AW71" s="417">
        <v>45068</v>
      </c>
      <c r="AX71" s="225">
        <v>43.67</v>
      </c>
      <c r="AY71" s="322">
        <v>1</v>
      </c>
    </row>
    <row r="72" spans="1:51" x14ac:dyDescent="0.3">
      <c r="A72" s="171">
        <v>45753</v>
      </c>
      <c r="B72" s="376">
        <v>49.023855265375715</v>
      </c>
      <c r="C72" s="99">
        <v>1</v>
      </c>
      <c r="D72" s="165"/>
      <c r="F72" s="81"/>
      <c r="I72" s="81"/>
      <c r="J72" s="206">
        <v>45787</v>
      </c>
      <c r="K72" s="325">
        <v>75.613442099999986</v>
      </c>
      <c r="L72" s="85">
        <v>0</v>
      </c>
      <c r="M72" s="393">
        <v>39492</v>
      </c>
      <c r="N72" s="394">
        <v>4.6900000000000004</v>
      </c>
      <c r="O72" s="85">
        <v>0</v>
      </c>
      <c r="P72" s="383">
        <v>39471</v>
      </c>
      <c r="Q72" s="402">
        <v>6.46</v>
      </c>
      <c r="R72" s="85">
        <v>0</v>
      </c>
      <c r="S72" s="406">
        <v>41401</v>
      </c>
      <c r="T72" s="131">
        <v>40.700000000000003</v>
      </c>
      <c r="U72" s="85">
        <v>0</v>
      </c>
      <c r="V72" s="336">
        <v>41401</v>
      </c>
      <c r="W72" s="345">
        <v>3.13</v>
      </c>
      <c r="X72" s="226">
        <v>0</v>
      </c>
      <c r="Y72" s="349">
        <v>38485</v>
      </c>
      <c r="Z72" s="350">
        <v>32.61</v>
      </c>
      <c r="AA72" s="85">
        <v>0</v>
      </c>
      <c r="AB72" s="413">
        <v>38467</v>
      </c>
      <c r="AC72" s="227">
        <v>6.95</v>
      </c>
      <c r="AD72" s="85">
        <v>0</v>
      </c>
      <c r="AE72" s="206">
        <v>42852</v>
      </c>
      <c r="AF72" s="114">
        <v>99.56</v>
      </c>
      <c r="AG72" s="85">
        <v>0</v>
      </c>
      <c r="AH72" s="206">
        <v>40537</v>
      </c>
      <c r="AI72" s="114">
        <v>58.94</v>
      </c>
      <c r="AJ72" s="436">
        <v>0</v>
      </c>
      <c r="AK72" s="392">
        <v>44008</v>
      </c>
      <c r="AL72" s="226">
        <v>41.47</v>
      </c>
      <c r="AM72" s="322">
        <v>0</v>
      </c>
      <c r="AN72" s="241">
        <v>43810</v>
      </c>
      <c r="AO72" s="96">
        <v>77.12</v>
      </c>
      <c r="AP72" s="85">
        <v>1</v>
      </c>
      <c r="AT72" s="268" t="s">
        <v>30</v>
      </c>
      <c r="AU72" s="371">
        <v>88.45</v>
      </c>
      <c r="AV72" s="85">
        <v>1</v>
      </c>
      <c r="AW72" s="387">
        <v>45205</v>
      </c>
      <c r="AX72" s="441">
        <v>44.92</v>
      </c>
      <c r="AY72" s="322">
        <v>0</v>
      </c>
    </row>
    <row r="73" spans="1:51" x14ac:dyDescent="0.3">
      <c r="A73" s="173">
        <v>45972</v>
      </c>
      <c r="B73" s="363">
        <v>49.13</v>
      </c>
      <c r="C73" s="99">
        <v>0</v>
      </c>
      <c r="D73" s="165"/>
      <c r="F73" s="81"/>
      <c r="I73" s="81"/>
      <c r="J73" s="130">
        <v>45894</v>
      </c>
      <c r="K73" s="102">
        <v>75.001532799999993</v>
      </c>
      <c r="L73" s="85">
        <v>1</v>
      </c>
      <c r="M73" s="393">
        <v>39538</v>
      </c>
      <c r="N73" s="394">
        <v>4.8099999999999996</v>
      </c>
      <c r="O73" s="85">
        <v>0</v>
      </c>
      <c r="P73" s="383">
        <v>39538</v>
      </c>
      <c r="Q73" s="402">
        <v>5.51</v>
      </c>
      <c r="R73" s="85">
        <v>0</v>
      </c>
      <c r="S73" s="406">
        <v>41436</v>
      </c>
      <c r="T73" s="131">
        <v>40.78</v>
      </c>
      <c r="U73" s="85">
        <v>0</v>
      </c>
      <c r="V73" s="336">
        <v>41436</v>
      </c>
      <c r="W73" s="345">
        <v>3</v>
      </c>
      <c r="X73" s="226">
        <v>0</v>
      </c>
      <c r="Y73" s="349">
        <v>38524</v>
      </c>
      <c r="Z73" s="350">
        <v>33.9</v>
      </c>
      <c r="AA73" s="85">
        <v>0</v>
      </c>
      <c r="AB73" s="413">
        <v>38474</v>
      </c>
      <c r="AC73" s="227">
        <v>6.79</v>
      </c>
      <c r="AD73" s="85">
        <v>0</v>
      </c>
      <c r="AE73" s="206">
        <v>42888</v>
      </c>
      <c r="AF73" s="114">
        <v>99.69</v>
      </c>
      <c r="AG73" s="85">
        <v>0</v>
      </c>
      <c r="AH73" s="206">
        <v>40538</v>
      </c>
      <c r="AI73" s="114">
        <v>58.93</v>
      </c>
      <c r="AJ73" s="436">
        <v>0</v>
      </c>
      <c r="AK73" s="416">
        <v>44211</v>
      </c>
      <c r="AL73" s="225">
        <v>41.87</v>
      </c>
      <c r="AM73" s="322">
        <v>1</v>
      </c>
      <c r="AN73" s="241">
        <v>43897</v>
      </c>
      <c r="AO73" s="96">
        <v>77.25</v>
      </c>
      <c r="AP73" s="85">
        <v>1</v>
      </c>
      <c r="AT73" s="239">
        <v>45916</v>
      </c>
      <c r="AU73" s="370">
        <v>89.76</v>
      </c>
      <c r="AV73" s="85">
        <v>0</v>
      </c>
      <c r="AW73" s="417">
        <v>45293</v>
      </c>
      <c r="AX73" s="225">
        <v>44.97</v>
      </c>
      <c r="AY73" s="322">
        <v>1</v>
      </c>
    </row>
    <row r="74" spans="1:51" x14ac:dyDescent="0.3">
      <c r="A74" s="473" t="s">
        <v>62</v>
      </c>
      <c r="B74" s="473">
        <f>COUNT(B3:B73)</f>
        <v>71</v>
      </c>
      <c r="C74" s="474">
        <f>SUM(C3:C73)</f>
        <v>10</v>
      </c>
      <c r="D74" s="165"/>
      <c r="F74" s="81"/>
      <c r="I74" s="81"/>
      <c r="J74" s="206">
        <v>45971</v>
      </c>
      <c r="K74" s="325">
        <v>74.4549375</v>
      </c>
      <c r="L74" s="85">
        <v>0</v>
      </c>
      <c r="M74" s="393">
        <v>39612</v>
      </c>
      <c r="N74" s="394">
        <v>5.79</v>
      </c>
      <c r="O74" s="85">
        <v>0</v>
      </c>
      <c r="P74" s="383">
        <v>39612</v>
      </c>
      <c r="Q74" s="402">
        <v>6.28</v>
      </c>
      <c r="R74" s="85">
        <v>0</v>
      </c>
      <c r="S74" s="406">
        <v>41471</v>
      </c>
      <c r="T74" s="131">
        <v>40.89</v>
      </c>
      <c r="U74" s="85">
        <v>0</v>
      </c>
      <c r="V74" s="336">
        <v>41471</v>
      </c>
      <c r="W74" s="345">
        <v>2.8</v>
      </c>
      <c r="X74" s="226">
        <v>0</v>
      </c>
      <c r="Y74" s="349">
        <v>38538</v>
      </c>
      <c r="Z74" s="350">
        <v>34.15</v>
      </c>
      <c r="AA74" s="85">
        <v>0</v>
      </c>
      <c r="AB74" s="413">
        <v>38485</v>
      </c>
      <c r="AC74" s="227">
        <v>6.16</v>
      </c>
      <c r="AD74" s="85">
        <v>0</v>
      </c>
      <c r="AE74" s="206">
        <v>42955</v>
      </c>
      <c r="AF74" s="114">
        <v>99.99</v>
      </c>
      <c r="AG74" s="85">
        <v>0</v>
      </c>
      <c r="AH74" s="206">
        <v>40539</v>
      </c>
      <c r="AI74" s="114">
        <v>58.93</v>
      </c>
      <c r="AJ74" s="436">
        <v>0</v>
      </c>
      <c r="AK74" s="433">
        <v>44325</v>
      </c>
      <c r="AL74" s="441">
        <v>41.45</v>
      </c>
      <c r="AM74" s="322">
        <v>0</v>
      </c>
      <c r="AN74" s="359">
        <v>44022</v>
      </c>
      <c r="AO74" s="98">
        <v>78.56</v>
      </c>
      <c r="AP74" s="85">
        <v>0</v>
      </c>
      <c r="AT74" s="473" t="s">
        <v>62</v>
      </c>
      <c r="AU74" s="473">
        <f>COUNT(AU3:AU73)</f>
        <v>71</v>
      </c>
      <c r="AV74" s="474">
        <f>SUM(AV3:AV73)</f>
        <v>11</v>
      </c>
      <c r="AW74" s="173">
        <v>45575</v>
      </c>
      <c r="AX74" s="363">
        <v>45</v>
      </c>
      <c r="AY74" s="322">
        <v>0</v>
      </c>
    </row>
    <row r="75" spans="1:51" x14ac:dyDescent="0.3">
      <c r="B75" s="164"/>
      <c r="C75" s="182"/>
      <c r="D75" s="165"/>
      <c r="F75" s="81"/>
      <c r="I75" s="81"/>
      <c r="J75" s="473" t="s">
        <v>62</v>
      </c>
      <c r="K75" s="473">
        <f>COUNT(K3:K74)</f>
        <v>72</v>
      </c>
      <c r="L75" s="474">
        <f>SUM(L3:L74)</f>
        <v>6</v>
      </c>
      <c r="M75" s="393">
        <v>39643</v>
      </c>
      <c r="N75" s="394">
        <v>4.72</v>
      </c>
      <c r="O75" s="85">
        <v>0</v>
      </c>
      <c r="P75" s="383">
        <v>39643</v>
      </c>
      <c r="Q75" s="402">
        <v>5.26</v>
      </c>
      <c r="R75" s="85">
        <v>0</v>
      </c>
      <c r="S75" s="406">
        <v>41506</v>
      </c>
      <c r="T75" s="131">
        <v>40.78</v>
      </c>
      <c r="U75" s="85">
        <v>0</v>
      </c>
      <c r="V75" s="336">
        <v>41506</v>
      </c>
      <c r="W75" s="345">
        <v>2.87</v>
      </c>
      <c r="X75" s="226">
        <v>0</v>
      </c>
      <c r="Y75" s="349">
        <v>38583</v>
      </c>
      <c r="Z75" s="350">
        <v>34</v>
      </c>
      <c r="AA75" s="85">
        <v>0</v>
      </c>
      <c r="AB75" s="413">
        <v>38740</v>
      </c>
      <c r="AC75" s="227">
        <v>6.86</v>
      </c>
      <c r="AD75" s="85">
        <v>0</v>
      </c>
      <c r="AE75" s="228">
        <v>42557</v>
      </c>
      <c r="AF75" s="114">
        <v>98.61</v>
      </c>
      <c r="AG75" s="85">
        <v>0</v>
      </c>
      <c r="AH75" s="206">
        <v>40540</v>
      </c>
      <c r="AI75" s="114">
        <v>58.93</v>
      </c>
      <c r="AJ75" s="436">
        <v>0</v>
      </c>
      <c r="AK75" s="416">
        <v>44411</v>
      </c>
      <c r="AL75" s="225">
        <v>42.1</v>
      </c>
      <c r="AM75" s="322">
        <v>1</v>
      </c>
      <c r="AN75" s="359">
        <v>44155</v>
      </c>
      <c r="AO75" s="98">
        <v>78.900000000000006</v>
      </c>
      <c r="AP75" s="85">
        <v>0</v>
      </c>
      <c r="AU75" s="164"/>
      <c r="AW75" s="199">
        <v>45689</v>
      </c>
      <c r="AX75" s="371">
        <v>45.22</v>
      </c>
      <c r="AY75" s="322">
        <v>1</v>
      </c>
    </row>
    <row r="76" spans="1:51" x14ac:dyDescent="0.3">
      <c r="B76" s="164"/>
      <c r="C76" s="182"/>
      <c r="D76" s="165"/>
      <c r="F76" s="81"/>
      <c r="I76" s="81"/>
      <c r="J76" s="128"/>
      <c r="K76" s="195"/>
      <c r="L76" s="81"/>
      <c r="M76" s="393">
        <v>39714</v>
      </c>
      <c r="N76" s="394">
        <v>4.7300000000000004</v>
      </c>
      <c r="O76" s="85">
        <v>0</v>
      </c>
      <c r="P76" s="383">
        <v>39714</v>
      </c>
      <c r="Q76" s="402">
        <v>4.83</v>
      </c>
      <c r="R76" s="85">
        <v>0</v>
      </c>
      <c r="S76" s="406">
        <v>41556</v>
      </c>
      <c r="T76" s="131">
        <v>40.9</v>
      </c>
      <c r="U76" s="85">
        <v>0</v>
      </c>
      <c r="V76" s="336">
        <v>41556</v>
      </c>
      <c r="W76" s="345">
        <v>2.92</v>
      </c>
      <c r="X76" s="226">
        <v>0</v>
      </c>
      <c r="Y76" s="349">
        <v>38596</v>
      </c>
      <c r="Z76" s="350">
        <v>33.53</v>
      </c>
      <c r="AA76" s="85">
        <v>0</v>
      </c>
      <c r="AB76" s="413">
        <v>38754</v>
      </c>
      <c r="AC76" s="227">
        <v>6.87</v>
      </c>
      <c r="AD76" s="85">
        <v>0</v>
      </c>
      <c r="AE76" s="228">
        <v>42663</v>
      </c>
      <c r="AF76" s="114">
        <v>98.43</v>
      </c>
      <c r="AG76" s="85">
        <v>0</v>
      </c>
      <c r="AH76" s="206">
        <v>40541</v>
      </c>
      <c r="AI76" s="114">
        <v>58.92</v>
      </c>
      <c r="AJ76" s="436">
        <v>0</v>
      </c>
      <c r="AK76" s="392">
        <v>44440</v>
      </c>
      <c r="AL76" s="226">
        <v>42.14</v>
      </c>
      <c r="AM76" s="322">
        <v>0</v>
      </c>
      <c r="AN76" s="241">
        <v>44235</v>
      </c>
      <c r="AO76" s="96">
        <v>79.150000000000006</v>
      </c>
      <c r="AP76" s="85">
        <v>1</v>
      </c>
      <c r="AU76" s="164"/>
      <c r="AW76" s="199">
        <v>45892</v>
      </c>
      <c r="AX76" s="225">
        <v>45.74</v>
      </c>
      <c r="AY76" s="322">
        <v>1</v>
      </c>
    </row>
    <row r="77" spans="1:51" x14ac:dyDescent="0.3">
      <c r="A77" s="307"/>
      <c r="B77" s="164"/>
      <c r="F77" s="81"/>
      <c r="I77" s="81"/>
      <c r="L77" s="81"/>
      <c r="M77" s="393">
        <v>39847</v>
      </c>
      <c r="N77" s="394">
        <v>4.6399999999999997</v>
      </c>
      <c r="O77" s="85">
        <v>0</v>
      </c>
      <c r="P77" s="383">
        <v>39847</v>
      </c>
      <c r="Q77" s="402">
        <v>5.3</v>
      </c>
      <c r="R77" s="85">
        <v>0</v>
      </c>
      <c r="S77" s="406">
        <v>41617</v>
      </c>
      <c r="T77" s="131">
        <v>41.04</v>
      </c>
      <c r="U77" s="85">
        <v>0</v>
      </c>
      <c r="V77" s="336">
        <v>41617</v>
      </c>
      <c r="W77" s="345">
        <v>2.62</v>
      </c>
      <c r="X77" s="226">
        <v>0</v>
      </c>
      <c r="Y77" s="349">
        <v>38629</v>
      </c>
      <c r="Z77" s="350">
        <v>35.35</v>
      </c>
      <c r="AA77" s="85">
        <v>0</v>
      </c>
      <c r="AB77" s="391">
        <v>40227</v>
      </c>
      <c r="AC77" s="96">
        <v>6.94</v>
      </c>
      <c r="AD77" s="85">
        <v>1</v>
      </c>
      <c r="AE77" s="228">
        <v>42774</v>
      </c>
      <c r="AF77" s="114">
        <v>98.93</v>
      </c>
      <c r="AG77" s="85">
        <v>0</v>
      </c>
      <c r="AH77" s="206">
        <v>40542</v>
      </c>
      <c r="AI77" s="114">
        <v>58.88</v>
      </c>
      <c r="AJ77" s="436">
        <v>0</v>
      </c>
      <c r="AK77" s="416">
        <v>44662</v>
      </c>
      <c r="AL77" s="225">
        <v>42.25</v>
      </c>
      <c r="AM77" s="322">
        <v>1</v>
      </c>
      <c r="AN77" s="359">
        <v>44361</v>
      </c>
      <c r="AO77" s="98">
        <v>80.11</v>
      </c>
      <c r="AP77" s="85">
        <v>0</v>
      </c>
      <c r="AU77" s="164"/>
      <c r="AW77" s="173">
        <v>45972</v>
      </c>
      <c r="AX77" s="363">
        <v>45.94</v>
      </c>
      <c r="AY77" s="322">
        <v>0</v>
      </c>
    </row>
    <row r="78" spans="1:51" x14ac:dyDescent="0.3">
      <c r="A78" s="308"/>
      <c r="B78" s="164"/>
      <c r="D78" s="165"/>
      <c r="F78" s="81"/>
      <c r="I78" s="81"/>
      <c r="L78" s="81"/>
      <c r="M78" s="393">
        <v>39881</v>
      </c>
      <c r="N78" s="394">
        <v>4.72</v>
      </c>
      <c r="O78" s="85">
        <v>0</v>
      </c>
      <c r="P78" s="383">
        <v>39881</v>
      </c>
      <c r="Q78" s="402">
        <v>5.44</v>
      </c>
      <c r="R78" s="85">
        <v>0</v>
      </c>
      <c r="S78" s="406">
        <v>41647</v>
      </c>
      <c r="T78" s="131">
        <v>41.1</v>
      </c>
      <c r="U78" s="85">
        <v>0</v>
      </c>
      <c r="V78" s="336">
        <v>41647</v>
      </c>
      <c r="W78" s="345">
        <v>2.7</v>
      </c>
      <c r="X78" s="226">
        <v>0</v>
      </c>
      <c r="Y78" s="349">
        <v>38653</v>
      </c>
      <c r="Z78" s="350">
        <v>35.17</v>
      </c>
      <c r="AA78" s="85">
        <v>0</v>
      </c>
      <c r="AB78" s="392">
        <v>40372</v>
      </c>
      <c r="AC78" s="98">
        <v>7.3</v>
      </c>
      <c r="AD78" s="85">
        <v>0</v>
      </c>
      <c r="AE78" s="228">
        <v>43048</v>
      </c>
      <c r="AF78" s="114">
        <v>100.45</v>
      </c>
      <c r="AG78" s="85">
        <v>0</v>
      </c>
      <c r="AH78" s="206">
        <v>40543</v>
      </c>
      <c r="AI78" s="114">
        <v>58.85</v>
      </c>
      <c r="AJ78" s="436">
        <v>0</v>
      </c>
      <c r="AK78" s="433">
        <v>44766</v>
      </c>
      <c r="AL78" s="441">
        <v>42.39</v>
      </c>
      <c r="AM78" s="322">
        <v>0</v>
      </c>
      <c r="AN78" s="256">
        <v>44440</v>
      </c>
      <c r="AO78" s="254">
        <v>80.97</v>
      </c>
      <c r="AP78" s="85">
        <v>0</v>
      </c>
      <c r="AU78" s="164"/>
      <c r="AW78" s="473" t="s">
        <v>62</v>
      </c>
      <c r="AX78" s="473">
        <f>COUNT(AX3:AX77)</f>
        <v>75</v>
      </c>
      <c r="AY78" s="474">
        <f>SUM(AY3:AY77)</f>
        <v>8</v>
      </c>
    </row>
    <row r="79" spans="1:51" x14ac:dyDescent="0.3">
      <c r="A79" s="308"/>
      <c r="B79" s="164"/>
      <c r="D79" s="165"/>
      <c r="F79" s="81"/>
      <c r="I79" s="81"/>
      <c r="L79" s="81"/>
      <c r="M79" s="393">
        <v>39939</v>
      </c>
      <c r="N79" s="394">
        <v>5.03</v>
      </c>
      <c r="O79" s="85">
        <v>0</v>
      </c>
      <c r="P79" s="383">
        <v>39939</v>
      </c>
      <c r="Q79" s="402">
        <v>5.41</v>
      </c>
      <c r="R79" s="85">
        <v>0</v>
      </c>
      <c r="S79" s="406">
        <v>41683</v>
      </c>
      <c r="T79" s="131">
        <v>41.19</v>
      </c>
      <c r="U79" s="85">
        <v>0</v>
      </c>
      <c r="V79" s="336">
        <v>41683</v>
      </c>
      <c r="W79" s="345">
        <v>3.06</v>
      </c>
      <c r="X79" s="226">
        <v>0</v>
      </c>
      <c r="Y79" s="349">
        <v>38665</v>
      </c>
      <c r="Z79" s="350">
        <v>35.67</v>
      </c>
      <c r="AA79" s="85">
        <v>0</v>
      </c>
      <c r="AB79" s="391">
        <v>40540</v>
      </c>
      <c r="AC79" s="96">
        <v>7.49</v>
      </c>
      <c r="AD79" s="85">
        <v>1</v>
      </c>
      <c r="AE79" s="228">
        <v>43069</v>
      </c>
      <c r="AF79" s="114">
        <v>101.03</v>
      </c>
      <c r="AG79" s="85">
        <v>0</v>
      </c>
      <c r="AH79" s="206">
        <v>40544</v>
      </c>
      <c r="AI79" s="114">
        <v>58.9</v>
      </c>
      <c r="AJ79" s="436">
        <v>0</v>
      </c>
      <c r="AK79" s="416">
        <v>44837</v>
      </c>
      <c r="AL79" s="225">
        <v>41.21</v>
      </c>
      <c r="AM79" s="322">
        <v>1</v>
      </c>
      <c r="AN79" s="241">
        <v>44671</v>
      </c>
      <c r="AO79" s="96">
        <v>80.47</v>
      </c>
      <c r="AP79" s="85">
        <v>1</v>
      </c>
      <c r="AU79" s="164"/>
    </row>
    <row r="80" spans="1:51" x14ac:dyDescent="0.3">
      <c r="A80" s="308"/>
      <c r="B80" s="164"/>
      <c r="D80" s="165"/>
      <c r="F80" s="81"/>
      <c r="I80" s="81"/>
      <c r="L80" s="81"/>
      <c r="M80" s="393">
        <v>40011</v>
      </c>
      <c r="N80" s="394">
        <v>4.9000000000000004</v>
      </c>
      <c r="O80" s="85">
        <v>0</v>
      </c>
      <c r="P80" s="383">
        <v>40011</v>
      </c>
      <c r="Q80" s="402">
        <v>5.1100000000000003</v>
      </c>
      <c r="R80" s="85">
        <v>0</v>
      </c>
      <c r="S80" s="406">
        <v>41731</v>
      </c>
      <c r="T80" s="131">
        <v>41.1</v>
      </c>
      <c r="U80" s="85">
        <v>0</v>
      </c>
      <c r="V80" s="336">
        <v>41731</v>
      </c>
      <c r="W80" s="345">
        <v>3.31</v>
      </c>
      <c r="X80" s="226">
        <v>0</v>
      </c>
      <c r="Y80" s="349">
        <v>38687</v>
      </c>
      <c r="Z80" s="350">
        <v>35.58</v>
      </c>
      <c r="AA80" s="85">
        <v>0</v>
      </c>
      <c r="AB80" s="414">
        <v>40575</v>
      </c>
      <c r="AC80" s="99">
        <v>7.6</v>
      </c>
      <c r="AD80" s="85">
        <v>0</v>
      </c>
      <c r="AE80" s="228">
        <v>43123</v>
      </c>
      <c r="AF80" s="114">
        <v>100.79</v>
      </c>
      <c r="AG80" s="85">
        <v>0</v>
      </c>
      <c r="AH80" s="206">
        <v>40545</v>
      </c>
      <c r="AI80" s="114">
        <v>57.5</v>
      </c>
      <c r="AJ80" s="436">
        <v>0</v>
      </c>
      <c r="AK80" s="433">
        <v>44960</v>
      </c>
      <c r="AL80" s="441">
        <v>42.12</v>
      </c>
      <c r="AM80" s="322">
        <v>0</v>
      </c>
      <c r="AN80" s="241">
        <v>44784</v>
      </c>
      <c r="AO80" s="96">
        <v>81.11</v>
      </c>
      <c r="AP80" s="85">
        <v>1</v>
      </c>
      <c r="AU80" s="164"/>
    </row>
    <row r="81" spans="1:47" x14ac:dyDescent="0.3">
      <c r="A81" s="308"/>
      <c r="B81" s="164"/>
      <c r="D81" s="165"/>
      <c r="F81" s="81"/>
      <c r="I81" s="81"/>
      <c r="L81" s="81"/>
      <c r="M81" s="393">
        <v>40049</v>
      </c>
      <c r="N81" s="394">
        <v>4.8600000000000003</v>
      </c>
      <c r="O81" s="85">
        <v>0</v>
      </c>
      <c r="P81" s="383">
        <v>40049</v>
      </c>
      <c r="Q81" s="402">
        <v>5</v>
      </c>
      <c r="R81" s="85">
        <v>0</v>
      </c>
      <c r="S81" s="406">
        <v>41764</v>
      </c>
      <c r="T81" s="131">
        <v>41.44</v>
      </c>
      <c r="U81" s="85">
        <v>0</v>
      </c>
      <c r="V81" s="336">
        <v>41764</v>
      </c>
      <c r="W81" s="345">
        <v>2.96</v>
      </c>
      <c r="X81" s="226">
        <v>0</v>
      </c>
      <c r="Y81" s="349">
        <v>38740</v>
      </c>
      <c r="Z81" s="350">
        <v>36</v>
      </c>
      <c r="AA81" s="85">
        <v>0</v>
      </c>
      <c r="AB81" s="414">
        <v>40679</v>
      </c>
      <c r="AC81" s="99">
        <v>7.65</v>
      </c>
      <c r="AD81" s="85">
        <v>0</v>
      </c>
      <c r="AE81" s="228">
        <v>43263</v>
      </c>
      <c r="AF81" s="114">
        <v>101.74</v>
      </c>
      <c r="AG81" s="85">
        <v>0</v>
      </c>
      <c r="AH81" s="206">
        <v>40546</v>
      </c>
      <c r="AI81" s="114">
        <v>57.95</v>
      </c>
      <c r="AJ81" s="436">
        <v>0</v>
      </c>
      <c r="AK81" s="433">
        <v>45210</v>
      </c>
      <c r="AL81" s="441">
        <v>42.33</v>
      </c>
      <c r="AM81" s="322">
        <v>0</v>
      </c>
      <c r="AN81" s="359">
        <v>44894</v>
      </c>
      <c r="AO81" s="98">
        <v>82.1</v>
      </c>
      <c r="AP81" s="85">
        <v>0</v>
      </c>
      <c r="AU81" s="164"/>
    </row>
    <row r="82" spans="1:47" x14ac:dyDescent="0.3">
      <c r="B82" s="164"/>
      <c r="D82" s="165"/>
      <c r="F82" s="81"/>
      <c r="I82" s="81"/>
      <c r="L82" s="81"/>
      <c r="M82" s="393">
        <v>40190</v>
      </c>
      <c r="N82" s="394">
        <v>4.59</v>
      </c>
      <c r="O82" s="85">
        <v>0</v>
      </c>
      <c r="P82" s="383">
        <v>40190</v>
      </c>
      <c r="Q82" s="402">
        <v>4.59</v>
      </c>
      <c r="R82" s="85">
        <v>0</v>
      </c>
      <c r="S82" s="406">
        <v>41793</v>
      </c>
      <c r="T82" s="131">
        <v>41.56</v>
      </c>
      <c r="U82" s="85">
        <v>0</v>
      </c>
      <c r="V82" s="336">
        <v>41793</v>
      </c>
      <c r="W82" s="345">
        <v>2.94</v>
      </c>
      <c r="X82" s="226">
        <v>0</v>
      </c>
      <c r="Y82" s="349">
        <v>38754</v>
      </c>
      <c r="Z82" s="350">
        <v>34.93</v>
      </c>
      <c r="AA82" s="85">
        <v>0</v>
      </c>
      <c r="AB82" s="414">
        <v>40745</v>
      </c>
      <c r="AC82" s="99">
        <v>7.69</v>
      </c>
      <c r="AD82" s="85">
        <v>0</v>
      </c>
      <c r="AE82" s="228">
        <v>43297</v>
      </c>
      <c r="AF82" s="114">
        <v>101.85</v>
      </c>
      <c r="AG82" s="85">
        <v>0</v>
      </c>
      <c r="AH82" s="206">
        <v>40547</v>
      </c>
      <c r="AI82" s="114">
        <v>56.5</v>
      </c>
      <c r="AJ82" s="436">
        <v>0</v>
      </c>
      <c r="AK82" s="416">
        <v>45343</v>
      </c>
      <c r="AL82" s="225">
        <v>42.78</v>
      </c>
      <c r="AM82" s="322">
        <v>1</v>
      </c>
      <c r="AN82" s="359">
        <v>45060</v>
      </c>
      <c r="AO82" s="98">
        <v>82.31</v>
      </c>
      <c r="AP82" s="85">
        <v>0</v>
      </c>
      <c r="AU82" s="164"/>
    </row>
    <row r="83" spans="1:47" x14ac:dyDescent="0.3">
      <c r="B83" s="164"/>
      <c r="D83" s="165"/>
      <c r="F83" s="81"/>
      <c r="I83" s="81"/>
      <c r="L83" s="81"/>
      <c r="M83" s="395">
        <v>40190</v>
      </c>
      <c r="N83" s="98">
        <v>4.59</v>
      </c>
      <c r="O83" s="85">
        <v>0</v>
      </c>
      <c r="P83" s="384">
        <v>40190</v>
      </c>
      <c r="Q83" s="403">
        <v>4.59</v>
      </c>
      <c r="R83" s="85">
        <v>0</v>
      </c>
      <c r="S83" s="406">
        <v>41877</v>
      </c>
      <c r="T83" s="131">
        <v>41.96</v>
      </c>
      <c r="U83" s="85">
        <v>0</v>
      </c>
      <c r="V83" s="336">
        <v>41877</v>
      </c>
      <c r="W83" s="345">
        <v>2.77</v>
      </c>
      <c r="X83" s="226">
        <v>0</v>
      </c>
      <c r="Y83" s="349">
        <v>38779</v>
      </c>
      <c r="Z83" s="350">
        <v>35.94</v>
      </c>
      <c r="AA83" s="85">
        <v>0</v>
      </c>
      <c r="AB83" s="414">
        <v>40777</v>
      </c>
      <c r="AC83" s="99">
        <v>7.65</v>
      </c>
      <c r="AD83" s="85">
        <v>0</v>
      </c>
      <c r="AE83" s="228">
        <v>43348</v>
      </c>
      <c r="AF83" s="114">
        <v>102.19</v>
      </c>
      <c r="AG83" s="85">
        <v>0</v>
      </c>
      <c r="AH83" s="206">
        <v>40548</v>
      </c>
      <c r="AI83" s="114">
        <v>55.9</v>
      </c>
      <c r="AJ83" s="436">
        <v>0</v>
      </c>
      <c r="AK83" s="434">
        <v>45449</v>
      </c>
      <c r="AL83" s="226">
        <v>42.87</v>
      </c>
      <c r="AM83" s="322">
        <v>0</v>
      </c>
      <c r="AN83" s="241">
        <v>45187</v>
      </c>
      <c r="AO83" s="96">
        <v>82.55</v>
      </c>
      <c r="AP83" s="85">
        <v>1</v>
      </c>
      <c r="AU83" s="164"/>
    </row>
    <row r="84" spans="1:47" x14ac:dyDescent="0.3">
      <c r="B84" s="164"/>
      <c r="D84" s="165"/>
      <c r="F84" s="81"/>
      <c r="I84" s="81"/>
      <c r="L84" s="81"/>
      <c r="M84" s="395">
        <v>40238</v>
      </c>
      <c r="N84" s="98">
        <v>6.4</v>
      </c>
      <c r="O84" s="85">
        <v>0</v>
      </c>
      <c r="P84" s="384">
        <v>40238</v>
      </c>
      <c r="Q84" s="403">
        <v>6.96</v>
      </c>
      <c r="R84" s="85">
        <v>0</v>
      </c>
      <c r="S84" s="406">
        <v>41936</v>
      </c>
      <c r="T84" s="131">
        <v>42.11</v>
      </c>
      <c r="U84" s="85">
        <v>0</v>
      </c>
      <c r="V84" s="336">
        <v>41936</v>
      </c>
      <c r="W84" s="345">
        <v>2.5299999999999998</v>
      </c>
      <c r="X84" s="226">
        <v>0</v>
      </c>
      <c r="Y84" s="349">
        <v>38817</v>
      </c>
      <c r="Z84" s="351">
        <f>(Z83+Z85)/2</f>
        <v>35.575000000000003</v>
      </c>
      <c r="AA84" s="85">
        <v>0</v>
      </c>
      <c r="AB84" s="414">
        <v>40800</v>
      </c>
      <c r="AC84" s="99">
        <v>7.68</v>
      </c>
      <c r="AD84" s="85">
        <v>0</v>
      </c>
      <c r="AE84" s="228">
        <v>43558</v>
      </c>
      <c r="AF84" s="114">
        <v>103.08</v>
      </c>
      <c r="AG84" s="85">
        <v>0</v>
      </c>
      <c r="AH84" s="206">
        <v>40549</v>
      </c>
      <c r="AI84" s="114">
        <v>55.95</v>
      </c>
      <c r="AJ84" s="436">
        <v>0</v>
      </c>
      <c r="AK84" s="416">
        <v>45558</v>
      </c>
      <c r="AL84" s="225">
        <v>43.7</v>
      </c>
      <c r="AM84" s="322">
        <v>1</v>
      </c>
      <c r="AN84" s="359">
        <v>45461</v>
      </c>
      <c r="AO84" s="98">
        <v>83.78</v>
      </c>
      <c r="AP84" s="85">
        <v>0</v>
      </c>
      <c r="AU84" s="164"/>
    </row>
    <row r="85" spans="1:47" x14ac:dyDescent="0.3">
      <c r="B85" s="164"/>
      <c r="F85" s="81"/>
      <c r="I85" s="81"/>
      <c r="L85" s="81"/>
      <c r="M85" s="395">
        <v>40287</v>
      </c>
      <c r="N85" s="98">
        <v>5.76</v>
      </c>
      <c r="O85" s="85">
        <v>0</v>
      </c>
      <c r="P85" s="384">
        <v>40287</v>
      </c>
      <c r="Q85" s="403">
        <v>5.54</v>
      </c>
      <c r="R85" s="85">
        <v>0</v>
      </c>
      <c r="S85" s="406">
        <v>42009</v>
      </c>
      <c r="T85" s="131">
        <v>42.1</v>
      </c>
      <c r="U85" s="85">
        <v>0</v>
      </c>
      <c r="V85" s="336">
        <v>42009</v>
      </c>
      <c r="W85" s="345">
        <v>3</v>
      </c>
      <c r="X85" s="226">
        <v>0</v>
      </c>
      <c r="Y85" s="349">
        <v>38825</v>
      </c>
      <c r="Z85" s="350">
        <v>35.21</v>
      </c>
      <c r="AA85" s="85">
        <v>0</v>
      </c>
      <c r="AB85" s="414">
        <v>40814</v>
      </c>
      <c r="AC85" s="99">
        <v>7.7</v>
      </c>
      <c r="AD85" s="85">
        <v>0</v>
      </c>
      <c r="AE85" s="206">
        <v>43697</v>
      </c>
      <c r="AF85" s="114">
        <v>103.9</v>
      </c>
      <c r="AG85" s="85">
        <v>0</v>
      </c>
      <c r="AH85" s="206">
        <v>40745</v>
      </c>
      <c r="AI85" s="114">
        <v>57.99</v>
      </c>
      <c r="AJ85" s="436">
        <v>0</v>
      </c>
      <c r="AK85" s="416">
        <v>45818</v>
      </c>
      <c r="AL85" s="225">
        <v>43.54</v>
      </c>
      <c r="AM85" s="322">
        <v>1</v>
      </c>
      <c r="AN85" s="232">
        <v>45575</v>
      </c>
      <c r="AO85" s="254">
        <v>84.4</v>
      </c>
      <c r="AP85" s="85">
        <v>0</v>
      </c>
      <c r="AU85" s="164"/>
    </row>
    <row r="86" spans="1:47" x14ac:dyDescent="0.3">
      <c r="B86" s="164"/>
      <c r="F86" s="81"/>
      <c r="I86" s="81"/>
      <c r="L86" s="81"/>
      <c r="M86" s="395">
        <v>40331</v>
      </c>
      <c r="N86" s="98">
        <v>5.71</v>
      </c>
      <c r="O86" s="85">
        <v>0</v>
      </c>
      <c r="P86" s="384">
        <v>40331</v>
      </c>
      <c r="Q86" s="403">
        <v>5.61</v>
      </c>
      <c r="R86" s="85">
        <v>0</v>
      </c>
      <c r="S86" s="406">
        <v>42109</v>
      </c>
      <c r="T86" s="131">
        <v>42.37</v>
      </c>
      <c r="U86" s="85">
        <v>0</v>
      </c>
      <c r="V86" s="336">
        <v>42109</v>
      </c>
      <c r="W86" s="345">
        <v>2.65</v>
      </c>
      <c r="X86" s="226">
        <v>0</v>
      </c>
      <c r="Y86" s="349">
        <v>38833</v>
      </c>
      <c r="Z86" s="350">
        <v>35.119999999999997</v>
      </c>
      <c r="AA86" s="85">
        <v>0</v>
      </c>
      <c r="AB86" s="414">
        <v>40834</v>
      </c>
      <c r="AC86" s="99">
        <v>7.7</v>
      </c>
      <c r="AD86" s="85">
        <v>0</v>
      </c>
      <c r="AE86" s="206">
        <v>43759</v>
      </c>
      <c r="AF86" s="114">
        <v>105.76</v>
      </c>
      <c r="AG86" s="85">
        <v>0</v>
      </c>
      <c r="AH86" s="206">
        <v>40777</v>
      </c>
      <c r="AI86" s="114">
        <v>55.8</v>
      </c>
      <c r="AJ86" s="436">
        <v>0</v>
      </c>
      <c r="AK86" s="434">
        <v>45972</v>
      </c>
      <c r="AL86" s="226">
        <v>43.72</v>
      </c>
      <c r="AM86" s="322">
        <v>0</v>
      </c>
      <c r="AN86" s="241">
        <v>45759</v>
      </c>
      <c r="AO86" s="96">
        <v>85.31</v>
      </c>
      <c r="AP86" s="85">
        <v>1</v>
      </c>
      <c r="AU86" s="164"/>
    </row>
    <row r="87" spans="1:47" x14ac:dyDescent="0.3">
      <c r="B87" s="164"/>
      <c r="F87" s="81"/>
      <c r="I87" s="81"/>
      <c r="L87" s="81"/>
      <c r="M87" s="395">
        <v>40393</v>
      </c>
      <c r="N87" s="98">
        <v>5.65</v>
      </c>
      <c r="O87" s="85">
        <v>0</v>
      </c>
      <c r="P87" s="384">
        <v>40393</v>
      </c>
      <c r="Q87" s="403">
        <v>5.3</v>
      </c>
      <c r="R87" s="85">
        <v>0</v>
      </c>
      <c r="S87" s="406">
        <v>42220</v>
      </c>
      <c r="T87" s="131">
        <v>42.51</v>
      </c>
      <c r="U87" s="85">
        <v>0</v>
      </c>
      <c r="V87" s="336">
        <v>42220</v>
      </c>
      <c r="W87" s="345">
        <v>3.3</v>
      </c>
      <c r="X87" s="226">
        <v>0</v>
      </c>
      <c r="Y87" s="349">
        <v>38844</v>
      </c>
      <c r="Z87" s="350">
        <v>35.979999999999997</v>
      </c>
      <c r="AA87" s="85">
        <v>0</v>
      </c>
      <c r="AB87" s="414">
        <v>40911</v>
      </c>
      <c r="AC87" s="99">
        <v>6.75</v>
      </c>
      <c r="AD87" s="85">
        <v>0</v>
      </c>
      <c r="AE87" s="206">
        <v>43914</v>
      </c>
      <c r="AF87" s="114">
        <v>105.38</v>
      </c>
      <c r="AG87" s="85">
        <v>0</v>
      </c>
      <c r="AH87" s="206">
        <v>40814</v>
      </c>
      <c r="AI87" s="114">
        <v>56.4</v>
      </c>
      <c r="AJ87" s="436">
        <v>0</v>
      </c>
      <c r="AK87" s="473" t="s">
        <v>62</v>
      </c>
      <c r="AL87" s="473">
        <f>COUNT(AL3:AL86)</f>
        <v>84</v>
      </c>
      <c r="AM87" s="474">
        <f>SUM(AM3:AM86)</f>
        <v>9</v>
      </c>
      <c r="AN87" s="359">
        <v>45941</v>
      </c>
      <c r="AO87" s="98">
        <v>86.08</v>
      </c>
      <c r="AP87" s="85">
        <v>0</v>
      </c>
      <c r="AU87" s="164"/>
    </row>
    <row r="88" spans="1:47" x14ac:dyDescent="0.3">
      <c r="B88" s="164"/>
      <c r="F88" s="81"/>
      <c r="I88" s="81"/>
      <c r="L88" s="81"/>
      <c r="M88" s="395">
        <v>40498</v>
      </c>
      <c r="N88" s="98">
        <v>5.18</v>
      </c>
      <c r="O88" s="85">
        <v>0</v>
      </c>
      <c r="P88" s="384">
        <v>40498</v>
      </c>
      <c r="Q88" s="403">
        <v>4.66</v>
      </c>
      <c r="R88" s="85">
        <v>0</v>
      </c>
      <c r="S88" s="406">
        <v>42306</v>
      </c>
      <c r="T88" s="131">
        <v>42.79</v>
      </c>
      <c r="U88" s="85">
        <v>0</v>
      </c>
      <c r="V88" s="336">
        <v>42306</v>
      </c>
      <c r="W88" s="345">
        <v>2.72</v>
      </c>
      <c r="X88" s="226">
        <v>0</v>
      </c>
      <c r="Y88" s="349">
        <v>38849</v>
      </c>
      <c r="Z88" s="350">
        <v>35.44</v>
      </c>
      <c r="AA88" s="85">
        <v>0</v>
      </c>
      <c r="AB88" s="414">
        <v>40934</v>
      </c>
      <c r="AC88" s="99">
        <v>6.94</v>
      </c>
      <c r="AD88" s="85">
        <v>0</v>
      </c>
      <c r="AE88" s="241">
        <v>43963</v>
      </c>
      <c r="AF88" s="96">
        <v>106.46</v>
      </c>
      <c r="AG88" s="85">
        <v>1</v>
      </c>
      <c r="AH88" s="206">
        <v>40834</v>
      </c>
      <c r="AI88" s="114">
        <v>55.25</v>
      </c>
      <c r="AJ88" s="436">
        <v>0</v>
      </c>
      <c r="AK88" s="164"/>
      <c r="AN88" s="473" t="s">
        <v>62</v>
      </c>
      <c r="AO88" s="473">
        <f>COUNT(AO3:AO87)</f>
        <v>85</v>
      </c>
      <c r="AP88" s="474">
        <f>SUM(AP3:AP87)</f>
        <v>7</v>
      </c>
      <c r="AU88" s="164"/>
    </row>
    <row r="89" spans="1:47" x14ac:dyDescent="0.3">
      <c r="B89" s="164"/>
      <c r="F89" s="81"/>
      <c r="I89" s="81"/>
      <c r="L89" s="81"/>
      <c r="M89" s="395">
        <v>40777</v>
      </c>
      <c r="N89" s="98">
        <v>4.7699999999999996</v>
      </c>
      <c r="O89" s="85">
        <v>0</v>
      </c>
      <c r="P89" s="384">
        <v>40777</v>
      </c>
      <c r="Q89" s="403">
        <v>4.8499999999999996</v>
      </c>
      <c r="R89" s="85">
        <v>0</v>
      </c>
      <c r="S89" s="406">
        <v>42353</v>
      </c>
      <c r="T89" s="338">
        <f>(T88+T90)/2</f>
        <v>42.844999999999999</v>
      </c>
      <c r="U89" s="85">
        <v>0</v>
      </c>
      <c r="V89" s="336">
        <v>42353</v>
      </c>
      <c r="W89" s="345">
        <v>3.26</v>
      </c>
      <c r="X89" s="226">
        <v>0</v>
      </c>
      <c r="Y89" s="349">
        <v>38860</v>
      </c>
      <c r="Z89" s="350">
        <v>35.81</v>
      </c>
      <c r="AA89" s="85">
        <v>0</v>
      </c>
      <c r="AB89" s="414">
        <v>40963</v>
      </c>
      <c r="AC89" s="99">
        <v>7.34</v>
      </c>
      <c r="AD89" s="85">
        <v>0</v>
      </c>
      <c r="AE89" s="359">
        <v>44012</v>
      </c>
      <c r="AF89" s="98">
        <v>106.77</v>
      </c>
      <c r="AG89" s="85">
        <v>0</v>
      </c>
      <c r="AH89" s="206">
        <v>40864</v>
      </c>
      <c r="AI89" s="114">
        <v>50.9</v>
      </c>
      <c r="AJ89" s="436">
        <v>0</v>
      </c>
      <c r="AK89" s="164"/>
      <c r="AU89" s="164"/>
    </row>
    <row r="90" spans="1:47" x14ac:dyDescent="0.3">
      <c r="B90" s="164"/>
      <c r="F90" s="81"/>
      <c r="I90" s="81"/>
      <c r="L90" s="81"/>
      <c r="M90" s="395">
        <v>40814</v>
      </c>
      <c r="N90" s="98">
        <v>4.6100000000000003</v>
      </c>
      <c r="O90" s="85">
        <v>0</v>
      </c>
      <c r="P90" s="384">
        <v>40814</v>
      </c>
      <c r="Q90" s="403">
        <v>4.6500000000000004</v>
      </c>
      <c r="R90" s="85">
        <v>0</v>
      </c>
      <c r="S90" s="406">
        <v>42387</v>
      </c>
      <c r="T90" s="131">
        <v>42.9</v>
      </c>
      <c r="U90" s="85">
        <v>0</v>
      </c>
      <c r="V90" s="336">
        <v>42387</v>
      </c>
      <c r="W90" s="345">
        <v>3.36</v>
      </c>
      <c r="X90" s="226">
        <v>0</v>
      </c>
      <c r="Y90" s="349">
        <v>38909</v>
      </c>
      <c r="Z90" s="350">
        <v>35.42</v>
      </c>
      <c r="AA90" s="85">
        <v>0</v>
      </c>
      <c r="AB90" s="414">
        <v>41059</v>
      </c>
      <c r="AC90" s="99">
        <v>6.85</v>
      </c>
      <c r="AD90" s="85">
        <v>0</v>
      </c>
      <c r="AE90" s="241">
        <v>44160</v>
      </c>
      <c r="AF90" s="96">
        <v>107.11</v>
      </c>
      <c r="AG90" s="85">
        <v>1</v>
      </c>
      <c r="AH90" s="206">
        <v>40889</v>
      </c>
      <c r="AI90" s="114">
        <v>49.7</v>
      </c>
      <c r="AJ90" s="436">
        <v>0</v>
      </c>
      <c r="AK90" s="164"/>
      <c r="AU90" s="164"/>
    </row>
    <row r="91" spans="1:47" x14ac:dyDescent="0.3">
      <c r="B91" s="164"/>
      <c r="F91" s="81"/>
      <c r="I91" s="81"/>
      <c r="L91" s="81"/>
      <c r="M91" s="395">
        <v>40834</v>
      </c>
      <c r="N91" s="98">
        <v>4.6500000000000004</v>
      </c>
      <c r="O91" s="85">
        <v>0</v>
      </c>
      <c r="P91" s="384">
        <v>40834</v>
      </c>
      <c r="Q91" s="403">
        <v>4.76</v>
      </c>
      <c r="R91" s="85">
        <v>0</v>
      </c>
      <c r="S91" s="406">
        <v>42429</v>
      </c>
      <c r="T91" s="131">
        <v>42.98</v>
      </c>
      <c r="U91" s="85">
        <v>0</v>
      </c>
      <c r="V91" s="336">
        <v>42429</v>
      </c>
      <c r="W91" s="345">
        <v>3.36</v>
      </c>
      <c r="X91" s="226">
        <v>0</v>
      </c>
      <c r="Y91" s="349">
        <v>38929</v>
      </c>
      <c r="Z91" s="350">
        <v>36.18</v>
      </c>
      <c r="AA91" s="85">
        <v>0</v>
      </c>
      <c r="AB91" s="414">
        <v>41368</v>
      </c>
      <c r="AC91" s="99">
        <v>7.17</v>
      </c>
      <c r="AD91" s="85">
        <v>0</v>
      </c>
      <c r="AE91" s="239">
        <v>44489</v>
      </c>
      <c r="AF91" s="125">
        <v>107.32</v>
      </c>
      <c r="AG91" s="85">
        <v>0</v>
      </c>
      <c r="AH91" s="206">
        <v>40911</v>
      </c>
      <c r="AI91" s="114">
        <v>52.6</v>
      </c>
      <c r="AJ91" s="436">
        <v>0</v>
      </c>
      <c r="AK91" s="164"/>
      <c r="AU91" s="164"/>
    </row>
    <row r="92" spans="1:47" x14ac:dyDescent="0.3">
      <c r="B92" s="164"/>
      <c r="F92" s="81"/>
      <c r="I92" s="81"/>
      <c r="L92" s="81"/>
      <c r="M92" s="395">
        <v>40911</v>
      </c>
      <c r="N92" s="98">
        <v>4.5999999999999996</v>
      </c>
      <c r="O92" s="85">
        <v>0</v>
      </c>
      <c r="P92" s="384">
        <v>40911</v>
      </c>
      <c r="Q92" s="403">
        <v>4.7</v>
      </c>
      <c r="R92" s="85">
        <v>0</v>
      </c>
      <c r="S92" s="406">
        <v>42471</v>
      </c>
      <c r="T92" s="131">
        <v>43.27</v>
      </c>
      <c r="U92" s="85">
        <v>0</v>
      </c>
      <c r="V92" s="336">
        <v>42471</v>
      </c>
      <c r="W92" s="345">
        <v>3.55</v>
      </c>
      <c r="X92" s="226">
        <v>0</v>
      </c>
      <c r="Y92" s="349">
        <v>38960</v>
      </c>
      <c r="Z92" s="350">
        <v>35.92</v>
      </c>
      <c r="AA92" s="85">
        <v>0</v>
      </c>
      <c r="AB92" s="414">
        <v>41401</v>
      </c>
      <c r="AC92" s="99">
        <v>7.26</v>
      </c>
      <c r="AD92" s="85">
        <v>0</v>
      </c>
      <c r="AE92" s="206">
        <v>44525</v>
      </c>
      <c r="AF92" s="114">
        <v>109.36</v>
      </c>
      <c r="AG92" s="85">
        <v>0</v>
      </c>
      <c r="AH92" s="206">
        <v>40967</v>
      </c>
      <c r="AI92" s="114">
        <v>54.3</v>
      </c>
      <c r="AJ92" s="436">
        <v>0</v>
      </c>
      <c r="AK92" s="164"/>
      <c r="AU92" s="164"/>
    </row>
    <row r="93" spans="1:47" x14ac:dyDescent="0.3">
      <c r="B93" s="164"/>
      <c r="F93" s="81"/>
      <c r="I93" s="81"/>
      <c r="L93" s="81"/>
      <c r="M93" s="395">
        <v>40967</v>
      </c>
      <c r="N93" s="98">
        <v>4.95</v>
      </c>
      <c r="O93" s="85">
        <v>0</v>
      </c>
      <c r="P93" s="384">
        <v>40967</v>
      </c>
      <c r="Q93" s="403">
        <v>5.2</v>
      </c>
      <c r="R93" s="85">
        <v>0</v>
      </c>
      <c r="S93" s="406">
        <v>42611</v>
      </c>
      <c r="T93" s="131">
        <v>43.65</v>
      </c>
      <c r="U93" s="85">
        <v>0</v>
      </c>
      <c r="V93" s="336">
        <v>42611</v>
      </c>
      <c r="W93" s="345">
        <v>3.04</v>
      </c>
      <c r="X93" s="226">
        <v>0</v>
      </c>
      <c r="Y93" s="349">
        <v>38974</v>
      </c>
      <c r="Z93" s="350">
        <v>36.35</v>
      </c>
      <c r="AA93" s="85">
        <v>0</v>
      </c>
      <c r="AB93" s="414">
        <v>41437</v>
      </c>
      <c r="AC93" s="99">
        <v>7.03</v>
      </c>
      <c r="AD93" s="85">
        <v>0</v>
      </c>
      <c r="AE93" s="206">
        <v>44526</v>
      </c>
      <c r="AF93" s="114">
        <v>109.36</v>
      </c>
      <c r="AG93" s="85">
        <v>0</v>
      </c>
      <c r="AH93" s="206">
        <v>41017</v>
      </c>
      <c r="AI93" s="114">
        <v>58.18</v>
      </c>
      <c r="AJ93" s="436">
        <v>0</v>
      </c>
      <c r="AK93" s="164"/>
      <c r="AU93" s="164"/>
    </row>
    <row r="94" spans="1:47" x14ac:dyDescent="0.3">
      <c r="B94" s="164"/>
      <c r="F94" s="81"/>
      <c r="I94" s="81"/>
      <c r="L94" s="81"/>
      <c r="M94" s="395">
        <v>41011</v>
      </c>
      <c r="N94" s="98">
        <v>5.0999999999999996</v>
      </c>
      <c r="O94" s="85">
        <v>0</v>
      </c>
      <c r="P94" s="384">
        <v>41011</v>
      </c>
      <c r="Q94" s="403">
        <v>5.35</v>
      </c>
      <c r="R94" s="85">
        <v>0</v>
      </c>
      <c r="S94" s="406">
        <v>42781</v>
      </c>
      <c r="T94" s="131">
        <v>43.64</v>
      </c>
      <c r="U94" s="85">
        <v>0</v>
      </c>
      <c r="V94" s="336">
        <v>42781</v>
      </c>
      <c r="W94" s="345">
        <v>3.33</v>
      </c>
      <c r="X94" s="226">
        <v>0</v>
      </c>
      <c r="Y94" s="349">
        <v>38999</v>
      </c>
      <c r="Z94" s="350">
        <v>36.85</v>
      </c>
      <c r="AA94" s="85">
        <v>0</v>
      </c>
      <c r="AB94" s="414">
        <v>42220</v>
      </c>
      <c r="AC94" s="99">
        <v>7.63</v>
      </c>
      <c r="AD94" s="85">
        <v>0</v>
      </c>
      <c r="AE94" s="206">
        <v>44609</v>
      </c>
      <c r="AF94" s="114">
        <v>108.6</v>
      </c>
      <c r="AG94" s="85">
        <v>0</v>
      </c>
      <c r="AH94" s="206">
        <v>41041</v>
      </c>
      <c r="AI94" s="114">
        <v>58.05</v>
      </c>
      <c r="AJ94" s="436">
        <v>0</v>
      </c>
      <c r="AK94" s="164"/>
      <c r="AU94" s="164"/>
    </row>
    <row r="95" spans="1:47" x14ac:dyDescent="0.3">
      <c r="B95" s="164"/>
      <c r="F95" s="81"/>
      <c r="I95" s="81"/>
      <c r="L95" s="81"/>
      <c r="M95" s="395">
        <v>41072</v>
      </c>
      <c r="N95" s="98">
        <v>4.6500000000000004</v>
      </c>
      <c r="O95" s="85">
        <v>0</v>
      </c>
      <c r="P95" s="384">
        <v>41072</v>
      </c>
      <c r="Q95" s="403">
        <v>5.22</v>
      </c>
      <c r="R95" s="85">
        <v>0</v>
      </c>
      <c r="S95" s="406">
        <v>42794</v>
      </c>
      <c r="T95" s="131">
        <v>43.45</v>
      </c>
      <c r="U95" s="85">
        <v>0</v>
      </c>
      <c r="V95" s="336">
        <v>42794</v>
      </c>
      <c r="W95" s="345">
        <v>3.06</v>
      </c>
      <c r="X95" s="226">
        <v>0</v>
      </c>
      <c r="Y95" s="349">
        <v>39085</v>
      </c>
      <c r="Z95" s="350">
        <v>37.090000000000003</v>
      </c>
      <c r="AA95" s="85">
        <v>0</v>
      </c>
      <c r="AB95" s="391">
        <v>42306</v>
      </c>
      <c r="AC95" s="101">
        <v>7.4</v>
      </c>
      <c r="AD95" s="85">
        <v>1</v>
      </c>
      <c r="AE95" s="206">
        <v>44768</v>
      </c>
      <c r="AF95" s="114">
        <v>110.17</v>
      </c>
      <c r="AG95" s="85">
        <v>0</v>
      </c>
      <c r="AH95" s="206">
        <v>41191</v>
      </c>
      <c r="AI95" s="114">
        <v>57.26</v>
      </c>
      <c r="AJ95" s="436">
        <v>0</v>
      </c>
      <c r="AK95" s="164"/>
      <c r="AU95" s="164"/>
    </row>
    <row r="96" spans="1:47" x14ac:dyDescent="0.3">
      <c r="B96" s="164"/>
      <c r="F96" s="81"/>
      <c r="I96" s="81"/>
      <c r="L96" s="81"/>
      <c r="M96" s="395">
        <v>41278</v>
      </c>
      <c r="N96" s="98">
        <v>4.3499999999999996</v>
      </c>
      <c r="O96" s="85">
        <v>0</v>
      </c>
      <c r="P96" s="384">
        <v>41278</v>
      </c>
      <c r="Q96" s="403">
        <v>4.9400000000000004</v>
      </c>
      <c r="R96" s="85">
        <v>0</v>
      </c>
      <c r="S96" s="406">
        <v>43559</v>
      </c>
      <c r="T96" s="131">
        <v>44.47</v>
      </c>
      <c r="U96" s="85">
        <v>0</v>
      </c>
      <c r="V96" s="337">
        <v>42867</v>
      </c>
      <c r="W96" s="344">
        <v>3.11</v>
      </c>
      <c r="X96" s="225">
        <v>1</v>
      </c>
      <c r="Y96" s="349">
        <v>39107</v>
      </c>
      <c r="Z96" s="350">
        <v>36.979999999999997</v>
      </c>
      <c r="AA96" s="85">
        <v>0</v>
      </c>
      <c r="AB96" s="392">
        <v>42353</v>
      </c>
      <c r="AC96" s="99">
        <v>7.1</v>
      </c>
      <c r="AD96" s="85">
        <v>0</v>
      </c>
      <c r="AE96" s="206">
        <v>44778</v>
      </c>
      <c r="AF96" s="114">
        <v>110.41</v>
      </c>
      <c r="AG96" s="85">
        <v>0</v>
      </c>
      <c r="AH96" s="206">
        <v>41235</v>
      </c>
      <c r="AI96" s="114">
        <v>58.05</v>
      </c>
      <c r="AJ96" s="436">
        <v>0</v>
      </c>
      <c r="AK96" s="164"/>
      <c r="AU96" s="164"/>
    </row>
    <row r="97" spans="2:47" x14ac:dyDescent="0.3">
      <c r="B97" s="164"/>
      <c r="F97" s="81"/>
      <c r="I97" s="81"/>
      <c r="L97" s="81"/>
      <c r="M97" s="395">
        <v>41401</v>
      </c>
      <c r="N97" s="98">
        <v>4.9000000000000004</v>
      </c>
      <c r="O97" s="85">
        <v>0</v>
      </c>
      <c r="P97" s="384">
        <v>41401</v>
      </c>
      <c r="Q97" s="403">
        <v>5.47</v>
      </c>
      <c r="R97" s="85">
        <v>0</v>
      </c>
      <c r="S97" s="406">
        <v>43763</v>
      </c>
      <c r="T97" s="131">
        <v>53.37</v>
      </c>
      <c r="U97" s="85">
        <v>0</v>
      </c>
      <c r="V97" s="336">
        <v>43064</v>
      </c>
      <c r="W97" s="346">
        <v>3.15</v>
      </c>
      <c r="X97" s="225">
        <v>0</v>
      </c>
      <c r="Y97" s="349">
        <v>39140</v>
      </c>
      <c r="Z97" s="350">
        <v>36.9</v>
      </c>
      <c r="AA97" s="85">
        <v>0</v>
      </c>
      <c r="AB97" s="391">
        <v>42512</v>
      </c>
      <c r="AC97" s="101">
        <v>6.7</v>
      </c>
      <c r="AD97" s="85">
        <v>1</v>
      </c>
      <c r="AE97" s="206">
        <v>44785</v>
      </c>
      <c r="AF97" s="125">
        <v>110.33</v>
      </c>
      <c r="AG97" s="85">
        <v>0</v>
      </c>
      <c r="AH97" s="206">
        <v>41278</v>
      </c>
      <c r="AI97" s="114">
        <v>58.32</v>
      </c>
      <c r="AJ97" s="436">
        <v>0</v>
      </c>
      <c r="AK97" s="164"/>
      <c r="AU97" s="164"/>
    </row>
    <row r="98" spans="2:47" x14ac:dyDescent="0.3">
      <c r="B98" s="164"/>
      <c r="F98" s="81"/>
      <c r="I98" s="81"/>
      <c r="L98" s="81"/>
      <c r="M98" s="395">
        <v>41438</v>
      </c>
      <c r="N98" s="98">
        <v>4.8499999999999996</v>
      </c>
      <c r="O98" s="85">
        <v>0</v>
      </c>
      <c r="P98" s="384">
        <v>41438</v>
      </c>
      <c r="Q98" s="403">
        <v>5.36</v>
      </c>
      <c r="R98" s="85">
        <v>0</v>
      </c>
      <c r="S98" s="406">
        <v>43971</v>
      </c>
      <c r="T98" s="131">
        <v>45.17</v>
      </c>
      <c r="U98" s="85">
        <v>0</v>
      </c>
      <c r="V98" s="336">
        <v>43181</v>
      </c>
      <c r="W98" s="346">
        <v>3.19</v>
      </c>
      <c r="X98" s="225">
        <v>0</v>
      </c>
      <c r="Y98" s="349">
        <v>39184</v>
      </c>
      <c r="Z98" s="350">
        <v>37.29</v>
      </c>
      <c r="AA98" s="85">
        <v>0</v>
      </c>
      <c r="AB98" s="414">
        <v>42702</v>
      </c>
      <c r="AC98" s="99">
        <v>6.58</v>
      </c>
      <c r="AD98" s="85">
        <v>0</v>
      </c>
      <c r="AE98" s="206">
        <v>44791</v>
      </c>
      <c r="AF98" s="114">
        <v>110.49</v>
      </c>
      <c r="AG98" s="85">
        <v>0</v>
      </c>
      <c r="AH98" s="206">
        <v>41368</v>
      </c>
      <c r="AI98" s="114">
        <v>58.57</v>
      </c>
      <c r="AJ98" s="436">
        <v>0</v>
      </c>
      <c r="AK98" s="164"/>
      <c r="AU98" s="164"/>
    </row>
    <row r="99" spans="2:47" x14ac:dyDescent="0.3">
      <c r="B99" s="164"/>
      <c r="F99" s="81"/>
      <c r="I99" s="81"/>
      <c r="L99" s="81"/>
      <c r="M99" s="395">
        <v>41472</v>
      </c>
      <c r="N99" s="98">
        <v>4.7</v>
      </c>
      <c r="O99" s="85">
        <v>0</v>
      </c>
      <c r="P99" s="384">
        <v>41472</v>
      </c>
      <c r="Q99" s="403">
        <v>5.18</v>
      </c>
      <c r="R99" s="85">
        <v>0</v>
      </c>
      <c r="S99" s="408">
        <v>44087</v>
      </c>
      <c r="T99" s="124">
        <v>46.2</v>
      </c>
      <c r="U99" s="85">
        <v>1</v>
      </c>
      <c r="V99" s="337">
        <v>43295</v>
      </c>
      <c r="W99" s="344">
        <v>3.22</v>
      </c>
      <c r="X99" s="225">
        <v>1</v>
      </c>
      <c r="Y99" s="349">
        <v>39213</v>
      </c>
      <c r="Z99" s="350">
        <v>37.11</v>
      </c>
      <c r="AA99" s="85">
        <v>0</v>
      </c>
      <c r="AB99" s="414">
        <v>42865</v>
      </c>
      <c r="AC99" s="99">
        <v>5.83</v>
      </c>
      <c r="AD99" s="85">
        <v>0</v>
      </c>
      <c r="AE99" s="206">
        <v>44797</v>
      </c>
      <c r="AF99" s="114">
        <v>110.23</v>
      </c>
      <c r="AG99" s="85">
        <v>0</v>
      </c>
      <c r="AH99" s="206">
        <v>41401</v>
      </c>
      <c r="AI99" s="114">
        <v>58.55</v>
      </c>
      <c r="AJ99" s="436">
        <v>0</v>
      </c>
      <c r="AK99" s="164"/>
      <c r="AU99" s="164"/>
    </row>
    <row r="100" spans="2:47" x14ac:dyDescent="0.3">
      <c r="B100" s="164"/>
      <c r="F100" s="81"/>
      <c r="I100" s="81"/>
      <c r="L100" s="81"/>
      <c r="M100" s="395">
        <v>41506</v>
      </c>
      <c r="N100" s="98">
        <v>4.5599999999999996</v>
      </c>
      <c r="O100" s="85">
        <v>0</v>
      </c>
      <c r="P100" s="384">
        <v>41506</v>
      </c>
      <c r="Q100" s="403">
        <v>5.1100000000000003</v>
      </c>
      <c r="R100" s="85">
        <v>0</v>
      </c>
      <c r="S100" s="409">
        <v>44308</v>
      </c>
      <c r="T100" s="340">
        <v>47</v>
      </c>
      <c r="U100" s="85">
        <v>0</v>
      </c>
      <c r="V100" s="337">
        <v>43445</v>
      </c>
      <c r="W100" s="344">
        <v>3.17</v>
      </c>
      <c r="X100" s="225">
        <v>1</v>
      </c>
      <c r="Y100" s="349">
        <v>39253</v>
      </c>
      <c r="Z100" s="350">
        <v>37.18</v>
      </c>
      <c r="AA100" s="85">
        <v>0</v>
      </c>
      <c r="AB100" s="414">
        <v>42887</v>
      </c>
      <c r="AC100" s="99">
        <v>6.9</v>
      </c>
      <c r="AD100" s="85">
        <v>0</v>
      </c>
      <c r="AE100" s="206">
        <v>44802</v>
      </c>
      <c r="AF100" s="114">
        <v>110.5</v>
      </c>
      <c r="AG100" s="85">
        <v>0</v>
      </c>
      <c r="AH100" s="206">
        <v>41432</v>
      </c>
      <c r="AI100" s="114">
        <v>59.36</v>
      </c>
      <c r="AJ100" s="436">
        <v>0</v>
      </c>
      <c r="AK100" s="164"/>
      <c r="AU100" s="164"/>
    </row>
    <row r="101" spans="2:47" x14ac:dyDescent="0.3">
      <c r="B101" s="164"/>
      <c r="F101" s="81"/>
      <c r="I101" s="81"/>
      <c r="L101" s="81"/>
      <c r="M101" s="395">
        <v>41617</v>
      </c>
      <c r="N101" s="98">
        <v>4.49</v>
      </c>
      <c r="O101" s="85">
        <v>0</v>
      </c>
      <c r="P101" s="384">
        <v>41617</v>
      </c>
      <c r="Q101" s="403">
        <v>4.7300000000000004</v>
      </c>
      <c r="R101" s="85">
        <v>0</v>
      </c>
      <c r="S101" s="410">
        <v>44522</v>
      </c>
      <c r="T101" s="340">
        <v>47.5</v>
      </c>
      <c r="U101" s="85">
        <v>0</v>
      </c>
      <c r="V101" s="336">
        <v>43559</v>
      </c>
      <c r="W101" s="345">
        <v>3.23</v>
      </c>
      <c r="X101" s="345">
        <v>0</v>
      </c>
      <c r="Y101" s="349">
        <v>39346</v>
      </c>
      <c r="Z101" s="350">
        <v>37.340000000000003</v>
      </c>
      <c r="AA101" s="85">
        <v>0</v>
      </c>
      <c r="AB101" s="414">
        <v>43011</v>
      </c>
      <c r="AC101" s="99">
        <v>5.18</v>
      </c>
      <c r="AD101" s="85">
        <v>0</v>
      </c>
      <c r="AE101" s="206">
        <v>44844</v>
      </c>
      <c r="AF101" s="114">
        <v>110.78</v>
      </c>
      <c r="AG101" s="85">
        <v>0</v>
      </c>
      <c r="AH101" s="206">
        <v>41471</v>
      </c>
      <c r="AI101" s="114">
        <v>58.24</v>
      </c>
      <c r="AJ101" s="436">
        <v>0</v>
      </c>
      <c r="AK101" s="164"/>
      <c r="AU101" s="164"/>
    </row>
    <row r="102" spans="2:47" x14ac:dyDescent="0.3">
      <c r="B102" s="164"/>
      <c r="F102" s="81"/>
      <c r="I102" s="81"/>
      <c r="L102" s="81"/>
      <c r="M102" s="395">
        <v>41647</v>
      </c>
      <c r="N102" s="98">
        <v>4.63</v>
      </c>
      <c r="O102" s="85">
        <v>0</v>
      </c>
      <c r="P102" s="384">
        <v>41647</v>
      </c>
      <c r="Q102" s="403">
        <v>5.04</v>
      </c>
      <c r="R102" s="85">
        <v>0</v>
      </c>
      <c r="S102" s="408">
        <v>44600</v>
      </c>
      <c r="T102" s="124">
        <v>47.7</v>
      </c>
      <c r="U102" s="85">
        <v>1</v>
      </c>
      <c r="V102" s="336">
        <v>43763</v>
      </c>
      <c r="W102" s="345">
        <v>3.38</v>
      </c>
      <c r="X102" s="345">
        <v>0</v>
      </c>
      <c r="Y102" s="349">
        <v>39374</v>
      </c>
      <c r="Z102" s="350">
        <v>37.6</v>
      </c>
      <c r="AA102" s="85">
        <v>0</v>
      </c>
      <c r="AB102" s="414">
        <v>43123</v>
      </c>
      <c r="AC102" s="99">
        <v>6.91</v>
      </c>
      <c r="AD102" s="85">
        <v>0</v>
      </c>
      <c r="AE102" s="241">
        <v>44964</v>
      </c>
      <c r="AF102" s="96">
        <v>111.03</v>
      </c>
      <c r="AG102" s="85">
        <v>1</v>
      </c>
      <c r="AH102" s="206">
        <v>41506</v>
      </c>
      <c r="AI102" s="114">
        <v>56.83</v>
      </c>
      <c r="AJ102" s="436">
        <v>0</v>
      </c>
      <c r="AK102" s="164"/>
      <c r="AU102" s="164"/>
    </row>
    <row r="103" spans="2:47" x14ac:dyDescent="0.3">
      <c r="B103" s="164"/>
      <c r="F103" s="81"/>
      <c r="I103" s="81"/>
      <c r="L103" s="81"/>
      <c r="M103" s="395">
        <v>41683</v>
      </c>
      <c r="N103" s="98">
        <v>4.91</v>
      </c>
      <c r="O103" s="85">
        <v>0</v>
      </c>
      <c r="P103" s="384">
        <v>41683</v>
      </c>
      <c r="Q103" s="403">
        <v>5.26</v>
      </c>
      <c r="R103" s="85">
        <v>0</v>
      </c>
      <c r="S103" s="408">
        <v>44906</v>
      </c>
      <c r="T103" s="124">
        <v>47.9</v>
      </c>
      <c r="U103" s="85">
        <v>1</v>
      </c>
      <c r="V103" s="336">
        <v>43971</v>
      </c>
      <c r="W103" s="345">
        <v>3.1</v>
      </c>
      <c r="X103" s="345">
        <v>0</v>
      </c>
      <c r="Y103" s="349">
        <v>39471</v>
      </c>
      <c r="Z103" s="350">
        <v>40.76</v>
      </c>
      <c r="AA103" s="85">
        <v>0</v>
      </c>
      <c r="AB103" s="414">
        <v>43558</v>
      </c>
      <c r="AC103" s="99">
        <v>6.95</v>
      </c>
      <c r="AD103" s="85">
        <v>0</v>
      </c>
      <c r="AE103" s="359">
        <v>45088</v>
      </c>
      <c r="AF103" s="98">
        <v>111.79</v>
      </c>
      <c r="AG103" s="85">
        <v>0</v>
      </c>
      <c r="AH103" s="206">
        <v>41537</v>
      </c>
      <c r="AI103" s="114">
        <v>57.45</v>
      </c>
      <c r="AJ103" s="436">
        <v>0</v>
      </c>
      <c r="AK103" s="164"/>
      <c r="AU103" s="164"/>
    </row>
    <row r="104" spans="2:47" x14ac:dyDescent="0.3">
      <c r="B104" s="164"/>
      <c r="F104" s="81"/>
      <c r="I104" s="81"/>
      <c r="L104" s="81"/>
      <c r="M104" s="395">
        <v>41744</v>
      </c>
      <c r="N104" s="98">
        <v>5.56</v>
      </c>
      <c r="O104" s="85">
        <v>0</v>
      </c>
      <c r="P104" s="384">
        <v>41744</v>
      </c>
      <c r="Q104" s="403">
        <v>5.52</v>
      </c>
      <c r="R104" s="85">
        <v>0</v>
      </c>
      <c r="S104" s="409">
        <v>45078</v>
      </c>
      <c r="T104" s="340">
        <v>48.11</v>
      </c>
      <c r="U104" s="85">
        <v>0</v>
      </c>
      <c r="V104" s="332">
        <v>44087</v>
      </c>
      <c r="W104" s="344">
        <v>3.22</v>
      </c>
      <c r="X104" s="225">
        <v>1</v>
      </c>
      <c r="Y104" s="349">
        <v>39492</v>
      </c>
      <c r="Z104" s="350">
        <v>40.229999999999997</v>
      </c>
      <c r="AA104" s="85">
        <v>0</v>
      </c>
      <c r="AB104" s="414">
        <v>44008</v>
      </c>
      <c r="AC104" s="114">
        <v>7.27</v>
      </c>
      <c r="AD104" s="85">
        <v>0</v>
      </c>
      <c r="AE104" s="241">
        <v>45256</v>
      </c>
      <c r="AF104" s="96">
        <v>112.2</v>
      </c>
      <c r="AG104" s="85">
        <v>1</v>
      </c>
      <c r="AH104" s="206">
        <v>41555</v>
      </c>
      <c r="AI104" s="114">
        <v>55.9</v>
      </c>
      <c r="AJ104" s="436">
        <v>0</v>
      </c>
      <c r="AK104" s="164"/>
      <c r="AU104" s="164"/>
    </row>
    <row r="105" spans="2:47" x14ac:dyDescent="0.3">
      <c r="B105" s="164"/>
      <c r="F105" s="81"/>
      <c r="I105" s="81"/>
      <c r="L105" s="81"/>
      <c r="M105" s="395">
        <v>41764</v>
      </c>
      <c r="N105" s="98">
        <v>5.09</v>
      </c>
      <c r="O105" s="85">
        <v>0</v>
      </c>
      <c r="P105" s="384">
        <v>41764</v>
      </c>
      <c r="Q105" s="403">
        <v>5.48</v>
      </c>
      <c r="R105" s="85">
        <v>0</v>
      </c>
      <c r="S105" s="408">
        <v>45268</v>
      </c>
      <c r="T105" s="124">
        <v>49.82</v>
      </c>
      <c r="U105" s="85">
        <v>1</v>
      </c>
      <c r="V105" s="333">
        <v>44308</v>
      </c>
      <c r="W105" s="346">
        <v>3.34</v>
      </c>
      <c r="X105" s="225">
        <v>0</v>
      </c>
      <c r="Y105" s="349">
        <v>39507</v>
      </c>
      <c r="Z105" s="350">
        <v>40.26</v>
      </c>
      <c r="AA105" s="85">
        <v>0</v>
      </c>
      <c r="AB105" s="414">
        <v>43952</v>
      </c>
      <c r="AC105" s="114">
        <v>7.38</v>
      </c>
      <c r="AD105" s="85">
        <v>0</v>
      </c>
      <c r="AE105" s="240">
        <v>45292</v>
      </c>
      <c r="AF105" s="98">
        <v>112.5</v>
      </c>
      <c r="AG105" s="85">
        <v>0</v>
      </c>
      <c r="AH105" s="206">
        <v>41556</v>
      </c>
      <c r="AI105" s="114">
        <v>55.93</v>
      </c>
      <c r="AJ105" s="436">
        <v>0</v>
      </c>
      <c r="AK105" s="164"/>
      <c r="AU105" s="164"/>
    </row>
    <row r="106" spans="2:47" x14ac:dyDescent="0.3">
      <c r="B106" s="164"/>
      <c r="F106" s="81"/>
      <c r="I106" s="81"/>
      <c r="L106" s="81"/>
      <c r="M106" s="395">
        <v>41793</v>
      </c>
      <c r="N106" s="98">
        <v>5.05</v>
      </c>
      <c r="O106" s="85">
        <v>0</v>
      </c>
      <c r="P106" s="384">
        <v>41793</v>
      </c>
      <c r="Q106" s="403">
        <v>5.48</v>
      </c>
      <c r="R106" s="85">
        <v>0</v>
      </c>
      <c r="S106" s="411">
        <v>45595</v>
      </c>
      <c r="T106" s="124">
        <v>48.11</v>
      </c>
      <c r="U106" s="85">
        <v>1</v>
      </c>
      <c r="V106" s="339">
        <v>44522</v>
      </c>
      <c r="W106" s="344">
        <v>3.45</v>
      </c>
      <c r="X106" s="225">
        <v>1</v>
      </c>
      <c r="Y106" s="349">
        <v>39538</v>
      </c>
      <c r="Z106" s="350">
        <v>40.15</v>
      </c>
      <c r="AA106" s="85">
        <v>0</v>
      </c>
      <c r="AB106" s="414">
        <v>44440</v>
      </c>
      <c r="AC106" s="99">
        <v>6.89</v>
      </c>
      <c r="AD106" s="85">
        <v>0</v>
      </c>
      <c r="AE106" s="240">
        <v>45449</v>
      </c>
      <c r="AF106" s="98">
        <v>113.6</v>
      </c>
      <c r="AG106" s="85">
        <v>0</v>
      </c>
      <c r="AH106" s="206">
        <v>41604</v>
      </c>
      <c r="AI106" s="114">
        <v>54.14</v>
      </c>
      <c r="AJ106" s="436">
        <v>0</v>
      </c>
      <c r="AK106" s="164"/>
      <c r="AU106" s="164"/>
    </row>
    <row r="107" spans="2:47" x14ac:dyDescent="0.3">
      <c r="B107" s="164"/>
      <c r="F107" s="81"/>
      <c r="I107" s="81"/>
      <c r="L107" s="81"/>
      <c r="M107" s="395">
        <v>42221</v>
      </c>
      <c r="N107" s="98">
        <v>5.89</v>
      </c>
      <c r="O107" s="85">
        <v>0</v>
      </c>
      <c r="P107" s="384">
        <v>42221</v>
      </c>
      <c r="Q107" s="403">
        <v>5.73</v>
      </c>
      <c r="R107" s="85">
        <v>0</v>
      </c>
      <c r="S107" s="406">
        <v>45787</v>
      </c>
      <c r="T107" s="340">
        <v>49.79</v>
      </c>
      <c r="U107" s="85">
        <v>0</v>
      </c>
      <c r="V107" s="333">
        <v>44600</v>
      </c>
      <c r="W107" s="346">
        <v>3.37</v>
      </c>
      <c r="X107" s="225">
        <v>0</v>
      </c>
      <c r="Y107" s="349">
        <v>39612</v>
      </c>
      <c r="Z107" s="350">
        <v>40.46</v>
      </c>
      <c r="AA107" s="85">
        <v>0</v>
      </c>
      <c r="AB107" s="414">
        <v>44600</v>
      </c>
      <c r="AC107" s="99">
        <v>7.43</v>
      </c>
      <c r="AD107" s="85">
        <v>0</v>
      </c>
      <c r="AE107" s="240">
        <v>45638</v>
      </c>
      <c r="AF107" s="98">
        <v>112.44</v>
      </c>
      <c r="AG107" s="85">
        <v>0</v>
      </c>
      <c r="AH107" s="206">
        <v>41617</v>
      </c>
      <c r="AI107" s="114">
        <v>55.1</v>
      </c>
      <c r="AJ107" s="436">
        <v>0</v>
      </c>
      <c r="AK107" s="164"/>
      <c r="AU107" s="164"/>
    </row>
    <row r="108" spans="2:47" x14ac:dyDescent="0.3">
      <c r="B108" s="164"/>
      <c r="F108" s="81"/>
      <c r="I108" s="81"/>
      <c r="L108" s="81"/>
      <c r="M108" s="395">
        <v>42306</v>
      </c>
      <c r="N108" s="98">
        <v>5.36</v>
      </c>
      <c r="O108" s="85">
        <v>0</v>
      </c>
      <c r="P108" s="384">
        <v>42306</v>
      </c>
      <c r="Q108" s="403">
        <v>5.38</v>
      </c>
      <c r="R108" s="85">
        <v>0</v>
      </c>
      <c r="S108" s="407">
        <v>45894</v>
      </c>
      <c r="T108" s="124">
        <v>50.45</v>
      </c>
      <c r="U108" s="85">
        <v>1</v>
      </c>
      <c r="V108" s="333">
        <v>44906</v>
      </c>
      <c r="W108" s="346">
        <v>3.59</v>
      </c>
      <c r="X108" s="225">
        <v>0</v>
      </c>
      <c r="Y108" s="349">
        <v>39643</v>
      </c>
      <c r="Z108" s="350">
        <v>40.22</v>
      </c>
      <c r="AA108" s="85">
        <v>0</v>
      </c>
      <c r="AB108" s="414">
        <v>44845</v>
      </c>
      <c r="AC108" s="99">
        <v>8.6300000000000008</v>
      </c>
      <c r="AD108" s="85">
        <v>0</v>
      </c>
      <c r="AE108" s="199">
        <v>45751</v>
      </c>
      <c r="AF108" s="96">
        <v>114.39</v>
      </c>
      <c r="AG108" s="85">
        <v>1</v>
      </c>
      <c r="AH108" s="206">
        <v>41647</v>
      </c>
      <c r="AI108" s="114">
        <v>58.1</v>
      </c>
      <c r="AJ108" s="436">
        <v>0</v>
      </c>
      <c r="AK108" s="164"/>
      <c r="AU108" s="164"/>
    </row>
    <row r="109" spans="2:47" x14ac:dyDescent="0.3">
      <c r="B109" s="164"/>
      <c r="F109" s="81"/>
      <c r="I109" s="81"/>
      <c r="L109" s="81"/>
      <c r="M109" s="395">
        <v>42387</v>
      </c>
      <c r="N109" s="98">
        <v>5.78</v>
      </c>
      <c r="O109" s="85">
        <v>0</v>
      </c>
      <c r="P109" s="384">
        <v>42387</v>
      </c>
      <c r="Q109" s="403">
        <v>5.61</v>
      </c>
      <c r="R109" s="85">
        <v>0</v>
      </c>
      <c r="S109" s="406">
        <v>45971</v>
      </c>
      <c r="T109" s="340">
        <v>51.95</v>
      </c>
      <c r="U109" s="85">
        <v>0</v>
      </c>
      <c r="V109" s="332">
        <v>45078</v>
      </c>
      <c r="W109" s="344">
        <v>3.88</v>
      </c>
      <c r="X109" s="225">
        <v>1</v>
      </c>
      <c r="Y109" s="349">
        <v>39714</v>
      </c>
      <c r="Z109" s="350">
        <v>41.12</v>
      </c>
      <c r="AA109" s="85">
        <v>0</v>
      </c>
      <c r="AB109" s="415">
        <v>45078</v>
      </c>
      <c r="AC109" s="101">
        <v>8.98</v>
      </c>
      <c r="AD109" s="85">
        <v>1</v>
      </c>
      <c r="AE109" s="240">
        <v>45948</v>
      </c>
      <c r="AF109" s="98">
        <v>115.37</v>
      </c>
      <c r="AG109" s="85">
        <v>0</v>
      </c>
      <c r="AH109" s="206">
        <v>41683</v>
      </c>
      <c r="AI109" s="114">
        <v>58.82</v>
      </c>
      <c r="AJ109" s="436">
        <v>0</v>
      </c>
      <c r="AK109" s="164"/>
      <c r="AU109" s="164"/>
    </row>
    <row r="110" spans="2:47" x14ac:dyDescent="0.3">
      <c r="B110" s="164"/>
      <c r="F110" s="81"/>
      <c r="I110" s="81"/>
      <c r="L110" s="81"/>
      <c r="M110" s="395">
        <v>42429</v>
      </c>
      <c r="N110" s="98">
        <v>5.63</v>
      </c>
      <c r="O110" s="85">
        <v>0</v>
      </c>
      <c r="P110" s="384">
        <v>42429</v>
      </c>
      <c r="Q110" s="403">
        <v>5.67</v>
      </c>
      <c r="R110" s="85">
        <v>0</v>
      </c>
      <c r="S110" s="473" t="s">
        <v>62</v>
      </c>
      <c r="T110" s="473">
        <f>COUNT(T3:T109)</f>
        <v>107</v>
      </c>
      <c r="U110" s="474">
        <f>SUM(U3:U109)</f>
        <v>9</v>
      </c>
      <c r="V110" s="333">
        <v>45268</v>
      </c>
      <c r="W110" s="346">
        <v>3.65</v>
      </c>
      <c r="X110" s="225">
        <v>0</v>
      </c>
      <c r="Y110" s="349">
        <v>39805</v>
      </c>
      <c r="Z110" s="350">
        <v>42.37</v>
      </c>
      <c r="AA110" s="85">
        <v>0</v>
      </c>
      <c r="AB110" s="414">
        <v>45177</v>
      </c>
      <c r="AC110" s="99">
        <v>7.9</v>
      </c>
      <c r="AD110" s="85">
        <v>0</v>
      </c>
      <c r="AE110" s="473" t="s">
        <v>62</v>
      </c>
      <c r="AF110" s="473">
        <f>COUNT(AF3:AF109)</f>
        <v>107</v>
      </c>
      <c r="AG110" s="474">
        <f>SUM(AG3:AG109)</f>
        <v>5</v>
      </c>
      <c r="AH110" s="206">
        <v>41731</v>
      </c>
      <c r="AI110" s="114">
        <v>59.12</v>
      </c>
      <c r="AJ110" s="436">
        <v>0</v>
      </c>
      <c r="AK110" s="164"/>
      <c r="AU110" s="164"/>
    </row>
    <row r="111" spans="2:47" x14ac:dyDescent="0.3">
      <c r="B111" s="164"/>
      <c r="F111" s="81"/>
      <c r="I111" s="81"/>
      <c r="L111" s="81"/>
      <c r="M111" s="395">
        <v>42471</v>
      </c>
      <c r="N111" s="98">
        <v>5.77</v>
      </c>
      <c r="O111" s="85">
        <v>0</v>
      </c>
      <c r="P111" s="384">
        <v>42471</v>
      </c>
      <c r="Q111" s="403">
        <v>6</v>
      </c>
      <c r="R111" s="85">
        <v>0</v>
      </c>
      <c r="U111" s="81"/>
      <c r="V111" s="341">
        <v>45595</v>
      </c>
      <c r="W111" s="346">
        <v>3.9</v>
      </c>
      <c r="X111" s="225">
        <v>0</v>
      </c>
      <c r="Y111" s="349">
        <v>39847</v>
      </c>
      <c r="Z111" s="350">
        <v>41.9</v>
      </c>
      <c r="AA111" s="85">
        <v>0</v>
      </c>
      <c r="AB111" s="415">
        <v>45286</v>
      </c>
      <c r="AC111" s="101">
        <v>7.75</v>
      </c>
      <c r="AD111" s="85">
        <v>1</v>
      </c>
      <c r="AE111" s="418"/>
      <c r="AF111" s="419"/>
      <c r="AH111" s="206">
        <v>41764</v>
      </c>
      <c r="AI111" s="114">
        <v>59.13</v>
      </c>
      <c r="AJ111" s="436">
        <v>0</v>
      </c>
      <c r="AK111" s="164"/>
      <c r="AU111" s="164"/>
    </row>
    <row r="112" spans="2:47" x14ac:dyDescent="0.3">
      <c r="B112" s="164"/>
      <c r="F112" s="81"/>
      <c r="I112" s="81"/>
      <c r="L112" s="81"/>
      <c r="M112" s="395">
        <v>42611</v>
      </c>
      <c r="N112" s="98">
        <v>5.63</v>
      </c>
      <c r="O112" s="85">
        <v>0</v>
      </c>
      <c r="P112" s="384">
        <v>42611</v>
      </c>
      <c r="Q112" s="403">
        <v>6.68</v>
      </c>
      <c r="R112" s="85">
        <v>0</v>
      </c>
      <c r="U112" s="81"/>
      <c r="V112" s="337">
        <v>45787</v>
      </c>
      <c r="W112" s="344">
        <v>4.0999999999999996</v>
      </c>
      <c r="X112" s="225">
        <v>1</v>
      </c>
      <c r="Y112" s="349">
        <v>39881</v>
      </c>
      <c r="Z112" s="350">
        <v>41.71</v>
      </c>
      <c r="AA112" s="85">
        <v>0</v>
      </c>
      <c r="AB112" s="414">
        <v>45595</v>
      </c>
      <c r="AC112" s="99">
        <v>7.51</v>
      </c>
      <c r="AD112" s="85">
        <v>0</v>
      </c>
      <c r="AE112" s="418"/>
      <c r="AF112" s="419"/>
      <c r="AH112" s="206">
        <v>41793</v>
      </c>
      <c r="AI112" s="114">
        <v>59.2</v>
      </c>
      <c r="AJ112" s="436">
        <v>0</v>
      </c>
      <c r="AK112" s="164"/>
      <c r="AU112" s="164"/>
    </row>
    <row r="113" spans="2:47" x14ac:dyDescent="0.3">
      <c r="B113" s="164"/>
      <c r="F113" s="81"/>
      <c r="I113" s="81"/>
      <c r="L113" s="81"/>
      <c r="M113" s="395">
        <v>42781</v>
      </c>
      <c r="N113" s="98">
        <v>5.86</v>
      </c>
      <c r="O113" s="85">
        <v>0</v>
      </c>
      <c r="P113" s="384">
        <v>42781</v>
      </c>
      <c r="Q113" s="403">
        <v>6.96</v>
      </c>
      <c r="R113" s="85">
        <v>0</v>
      </c>
      <c r="U113" s="81"/>
      <c r="V113" s="337">
        <v>45894</v>
      </c>
      <c r="W113" s="344">
        <v>4.22</v>
      </c>
      <c r="X113" s="225">
        <v>1</v>
      </c>
      <c r="Y113" s="349">
        <v>39939</v>
      </c>
      <c r="Z113" s="350">
        <v>42.1</v>
      </c>
      <c r="AA113" s="85">
        <v>0</v>
      </c>
      <c r="AB113" s="414">
        <v>45633</v>
      </c>
      <c r="AC113" s="85">
        <v>7.78</v>
      </c>
      <c r="AD113" s="85">
        <v>0</v>
      </c>
      <c r="AE113" s="418"/>
      <c r="AF113" s="419"/>
      <c r="AH113" s="206">
        <v>41830</v>
      </c>
      <c r="AI113" s="114">
        <v>59.14</v>
      </c>
      <c r="AJ113" s="436">
        <v>0</v>
      </c>
      <c r="AK113" s="164"/>
      <c r="AU113" s="164"/>
    </row>
    <row r="114" spans="2:47" x14ac:dyDescent="0.3">
      <c r="B114" s="164"/>
      <c r="F114" s="81"/>
      <c r="I114" s="81"/>
      <c r="L114" s="81"/>
      <c r="M114" s="395">
        <v>42888</v>
      </c>
      <c r="N114" s="98">
        <v>5.92</v>
      </c>
      <c r="O114" s="85">
        <v>0</v>
      </c>
      <c r="P114" s="384">
        <v>42888</v>
      </c>
      <c r="Q114" s="403">
        <v>5.33</v>
      </c>
      <c r="R114" s="85">
        <v>0</v>
      </c>
      <c r="U114" s="81"/>
      <c r="V114" s="336">
        <v>45971</v>
      </c>
      <c r="W114" s="346">
        <v>4.5599999999999996</v>
      </c>
      <c r="X114" s="225">
        <v>0</v>
      </c>
      <c r="Y114" s="349">
        <v>40011</v>
      </c>
      <c r="Z114" s="350">
        <v>41.49</v>
      </c>
      <c r="AA114" s="85">
        <v>0</v>
      </c>
      <c r="AB114" s="414">
        <v>45750</v>
      </c>
      <c r="AC114" s="85">
        <v>8.27</v>
      </c>
      <c r="AD114" s="85">
        <v>0</v>
      </c>
      <c r="AE114" s="418"/>
      <c r="AF114" s="419"/>
      <c r="AH114" s="206">
        <v>41877</v>
      </c>
      <c r="AI114" s="114">
        <v>59.46</v>
      </c>
      <c r="AJ114" s="436">
        <v>0</v>
      </c>
      <c r="AK114" s="164"/>
      <c r="AU114" s="164"/>
    </row>
    <row r="115" spans="2:47" x14ac:dyDescent="0.3">
      <c r="B115" s="164"/>
      <c r="F115" s="81"/>
      <c r="I115" s="81"/>
      <c r="L115" s="81"/>
      <c r="M115" s="395">
        <v>43011</v>
      </c>
      <c r="N115" s="98">
        <v>5.4</v>
      </c>
      <c r="O115" s="85">
        <v>0</v>
      </c>
      <c r="P115" s="384">
        <v>43011</v>
      </c>
      <c r="Q115" s="403">
        <v>4.71</v>
      </c>
      <c r="R115" s="85">
        <v>0</v>
      </c>
      <c r="U115" s="81"/>
      <c r="V115" s="473" t="s">
        <v>62</v>
      </c>
      <c r="W115" s="473">
        <f>COUNT(W3:W114)</f>
        <v>112</v>
      </c>
      <c r="X115" s="474">
        <f>SUM(X3:X114)</f>
        <v>12</v>
      </c>
      <c r="Y115" s="349">
        <v>40049</v>
      </c>
      <c r="Z115" s="350">
        <v>41.36</v>
      </c>
      <c r="AA115" s="85">
        <v>0</v>
      </c>
      <c r="AB115" s="414">
        <v>45960</v>
      </c>
      <c r="AC115" s="85">
        <v>8.85</v>
      </c>
      <c r="AD115" s="85">
        <v>0</v>
      </c>
      <c r="AE115" s="418"/>
      <c r="AF115" s="419"/>
      <c r="AH115" s="206">
        <v>41906</v>
      </c>
      <c r="AI115" s="114">
        <v>60.86</v>
      </c>
      <c r="AJ115" s="436">
        <v>0</v>
      </c>
      <c r="AK115" s="164"/>
      <c r="AU115" s="164"/>
    </row>
    <row r="116" spans="2:47" x14ac:dyDescent="0.3">
      <c r="B116" s="164"/>
      <c r="F116" s="81"/>
      <c r="I116" s="81"/>
      <c r="L116" s="81"/>
      <c r="M116" s="395">
        <v>43558</v>
      </c>
      <c r="N116" s="98">
        <v>5.58</v>
      </c>
      <c r="O116" s="85">
        <v>0</v>
      </c>
      <c r="P116" s="384">
        <v>43558</v>
      </c>
      <c r="Q116" s="403">
        <v>5.85</v>
      </c>
      <c r="R116" s="85">
        <v>0</v>
      </c>
      <c r="U116" s="81"/>
      <c r="Y116" s="349">
        <v>40049</v>
      </c>
      <c r="Z116" s="350">
        <v>41.36</v>
      </c>
      <c r="AA116" s="85">
        <v>0</v>
      </c>
      <c r="AB116" s="414">
        <v>46011</v>
      </c>
      <c r="AC116" s="85">
        <v>9.14</v>
      </c>
      <c r="AD116" s="85">
        <v>0</v>
      </c>
      <c r="AE116" s="418"/>
      <c r="AF116" s="419"/>
      <c r="AH116" s="206">
        <v>41976</v>
      </c>
      <c r="AI116" s="114">
        <v>56.4</v>
      </c>
      <c r="AJ116" s="436">
        <v>0</v>
      </c>
      <c r="AK116" s="164"/>
      <c r="AU116" s="164"/>
    </row>
    <row r="117" spans="2:47" x14ac:dyDescent="0.3">
      <c r="B117" s="164"/>
      <c r="F117" s="81"/>
      <c r="I117" s="81"/>
      <c r="L117" s="81"/>
      <c r="M117" s="395">
        <v>43763</v>
      </c>
      <c r="N117" s="98">
        <v>6.18</v>
      </c>
      <c r="O117" s="85">
        <v>0</v>
      </c>
      <c r="P117" s="384">
        <v>43763</v>
      </c>
      <c r="Q117" s="403">
        <v>6.4</v>
      </c>
      <c r="R117" s="85">
        <v>0</v>
      </c>
      <c r="U117" s="81"/>
      <c r="Y117" s="349">
        <v>40099</v>
      </c>
      <c r="Z117" s="350">
        <v>43.52</v>
      </c>
      <c r="AA117" s="85">
        <v>0</v>
      </c>
      <c r="AB117" s="473" t="s">
        <v>62</v>
      </c>
      <c r="AC117" s="473">
        <f>COUNT(AC3:AC116)</f>
        <v>114</v>
      </c>
      <c r="AD117" s="474">
        <f>SUM(AD3:AD116)</f>
        <v>6</v>
      </c>
      <c r="AE117" s="418"/>
      <c r="AF117" s="419"/>
      <c r="AH117" s="206">
        <v>42157</v>
      </c>
      <c r="AI117" s="114">
        <v>59.58</v>
      </c>
      <c r="AJ117" s="436">
        <v>0</v>
      </c>
      <c r="AK117" s="164"/>
      <c r="AU117" s="164"/>
    </row>
    <row r="118" spans="2:47" x14ac:dyDescent="0.3">
      <c r="B118" s="164"/>
      <c r="F118" s="81"/>
      <c r="I118" s="81"/>
      <c r="L118" s="81"/>
      <c r="M118" s="395">
        <v>43952</v>
      </c>
      <c r="N118" s="98">
        <v>5.49</v>
      </c>
      <c r="O118" s="85">
        <v>0</v>
      </c>
      <c r="P118" s="384">
        <v>43952</v>
      </c>
      <c r="Q118" s="403">
        <v>5.6</v>
      </c>
      <c r="R118" s="85">
        <v>0</v>
      </c>
      <c r="U118" s="81"/>
      <c r="Y118" s="349">
        <v>40176</v>
      </c>
      <c r="Z118" s="350">
        <v>43.24</v>
      </c>
      <c r="AA118" s="85">
        <v>0</v>
      </c>
      <c r="AD118" s="81"/>
      <c r="AE118" s="418"/>
      <c r="AF118" s="419"/>
      <c r="AH118" s="336">
        <v>42220</v>
      </c>
      <c r="AI118" s="131">
        <v>59.78</v>
      </c>
      <c r="AJ118" s="436">
        <v>0</v>
      </c>
      <c r="AK118" s="164"/>
      <c r="AU118" s="164"/>
    </row>
    <row r="119" spans="2:47" x14ac:dyDescent="0.3">
      <c r="B119" s="164"/>
      <c r="F119" s="81"/>
      <c r="I119" s="81"/>
      <c r="L119" s="81"/>
      <c r="M119" s="396">
        <v>44087</v>
      </c>
      <c r="N119" s="98">
        <v>5.52</v>
      </c>
      <c r="O119" s="85">
        <v>0</v>
      </c>
      <c r="P119" s="385">
        <v>43964</v>
      </c>
      <c r="Q119" s="404">
        <v>4.57</v>
      </c>
      <c r="R119" s="85">
        <v>0</v>
      </c>
      <c r="U119" s="81"/>
      <c r="Y119" s="352">
        <v>40214</v>
      </c>
      <c r="Z119" s="112">
        <v>43.56</v>
      </c>
      <c r="AA119" s="85">
        <v>0</v>
      </c>
      <c r="AD119" s="81"/>
      <c r="AE119" s="418"/>
      <c r="AF119" s="419"/>
      <c r="AH119" s="206">
        <v>42255</v>
      </c>
      <c r="AI119" s="114">
        <v>59.95</v>
      </c>
      <c r="AJ119" s="436">
        <v>0</v>
      </c>
      <c r="AK119" s="164"/>
      <c r="AU119" s="164"/>
    </row>
    <row r="120" spans="2:47" x14ac:dyDescent="0.3">
      <c r="B120" s="164"/>
      <c r="F120" s="81"/>
      <c r="I120" s="81"/>
      <c r="L120" s="81"/>
      <c r="M120" s="397">
        <v>44308</v>
      </c>
      <c r="N120" s="96">
        <v>5.47</v>
      </c>
      <c r="O120" s="85">
        <v>1</v>
      </c>
      <c r="P120" s="386">
        <v>44308</v>
      </c>
      <c r="Q120" s="376">
        <v>4.4400000000000004</v>
      </c>
      <c r="R120" s="85">
        <v>1</v>
      </c>
      <c r="U120" s="81"/>
      <c r="Y120" s="352">
        <v>40235</v>
      </c>
      <c r="Z120" s="112">
        <v>44.35</v>
      </c>
      <c r="AA120" s="85">
        <v>0</v>
      </c>
      <c r="AD120" s="81"/>
      <c r="AE120" s="418"/>
      <c r="AF120" s="419"/>
      <c r="AH120" s="206">
        <v>42292</v>
      </c>
      <c r="AI120" s="114">
        <v>60.02</v>
      </c>
      <c r="AJ120" s="436">
        <v>0</v>
      </c>
      <c r="AK120" s="164"/>
      <c r="AU120" s="164"/>
    </row>
    <row r="121" spans="2:47" x14ac:dyDescent="0.3">
      <c r="B121" s="164"/>
      <c r="F121" s="81"/>
      <c r="I121" s="81"/>
      <c r="L121" s="81"/>
      <c r="M121" s="398">
        <v>44522</v>
      </c>
      <c r="N121" s="96">
        <v>5.88</v>
      </c>
      <c r="O121" s="85">
        <v>1</v>
      </c>
      <c r="P121" s="387">
        <v>44522</v>
      </c>
      <c r="Q121" s="377">
        <v>4.78</v>
      </c>
      <c r="R121" s="85">
        <v>0</v>
      </c>
      <c r="U121" s="81"/>
      <c r="Y121" s="352">
        <v>40287</v>
      </c>
      <c r="Z121" s="112">
        <v>43.86</v>
      </c>
      <c r="AA121" s="85">
        <v>0</v>
      </c>
      <c r="AD121" s="81"/>
      <c r="AE121" s="418"/>
      <c r="AF121" s="419"/>
      <c r="AH121" s="206">
        <v>42353</v>
      </c>
      <c r="AI121" s="114">
        <v>60.12</v>
      </c>
      <c r="AJ121" s="436">
        <v>0</v>
      </c>
      <c r="AK121" s="164"/>
      <c r="AU121" s="164"/>
    </row>
    <row r="122" spans="2:47" x14ac:dyDescent="0.3">
      <c r="B122" s="164"/>
      <c r="F122" s="81"/>
      <c r="I122" s="81"/>
      <c r="L122" s="81"/>
      <c r="M122" s="396">
        <v>44600</v>
      </c>
      <c r="N122" s="98">
        <v>5.95</v>
      </c>
      <c r="O122" s="85">
        <v>0</v>
      </c>
      <c r="P122" s="388">
        <v>44600</v>
      </c>
      <c r="Q122" s="376">
        <v>4.82</v>
      </c>
      <c r="R122" s="85">
        <v>1</v>
      </c>
      <c r="U122" s="81"/>
      <c r="Y122" s="352">
        <v>40305</v>
      </c>
      <c r="Z122" s="112">
        <v>43.57</v>
      </c>
      <c r="AA122" s="85">
        <v>0</v>
      </c>
      <c r="AD122" s="81"/>
      <c r="AE122" s="418"/>
      <c r="AF122" s="419"/>
      <c r="AH122" s="206">
        <v>42387</v>
      </c>
      <c r="AI122" s="114">
        <v>60.38</v>
      </c>
      <c r="AJ122" s="436">
        <v>0</v>
      </c>
      <c r="AK122" s="164"/>
      <c r="AU122" s="164"/>
    </row>
    <row r="123" spans="2:47" x14ac:dyDescent="0.3">
      <c r="B123" s="164"/>
      <c r="F123" s="81"/>
      <c r="I123" s="81"/>
      <c r="L123" s="81"/>
      <c r="M123" s="397">
        <v>44906</v>
      </c>
      <c r="N123" s="96">
        <v>5.77</v>
      </c>
      <c r="O123" s="85">
        <v>1</v>
      </c>
      <c r="P123" s="388">
        <v>44906</v>
      </c>
      <c r="Q123" s="376">
        <v>4.97</v>
      </c>
      <c r="R123" s="85">
        <v>1</v>
      </c>
      <c r="U123" s="81"/>
      <c r="Y123" s="352">
        <v>40331</v>
      </c>
      <c r="Z123" s="112">
        <v>43.63</v>
      </c>
      <c r="AA123" s="85">
        <v>0</v>
      </c>
      <c r="AD123" s="81"/>
      <c r="AE123" s="418"/>
      <c r="AF123" s="419"/>
      <c r="AH123" s="206">
        <v>42429</v>
      </c>
      <c r="AI123" s="114">
        <v>62.31</v>
      </c>
      <c r="AJ123" s="436">
        <v>0</v>
      </c>
      <c r="AK123" s="164"/>
      <c r="AU123" s="164"/>
    </row>
    <row r="124" spans="2:47" x14ac:dyDescent="0.3">
      <c r="B124" s="164"/>
      <c r="F124" s="81"/>
      <c r="I124" s="81"/>
      <c r="L124" s="81"/>
      <c r="M124" s="396">
        <v>45078</v>
      </c>
      <c r="N124" s="98">
        <v>5.88</v>
      </c>
      <c r="O124" s="85">
        <v>0</v>
      </c>
      <c r="P124" s="389">
        <v>45078</v>
      </c>
      <c r="Q124" s="377">
        <v>5.0999999999999996</v>
      </c>
      <c r="R124" s="85">
        <v>0</v>
      </c>
      <c r="U124" s="81"/>
      <c r="Y124" s="352">
        <v>40393</v>
      </c>
      <c r="Z124" s="112">
        <v>44.25</v>
      </c>
      <c r="AA124" s="85">
        <v>0</v>
      </c>
      <c r="AD124" s="81"/>
      <c r="AE124" s="418"/>
      <c r="AF124" s="419"/>
      <c r="AH124" s="206">
        <v>42494</v>
      </c>
      <c r="AI124" s="114">
        <v>61.07</v>
      </c>
      <c r="AJ124" s="436">
        <v>0</v>
      </c>
      <c r="AK124" s="164"/>
      <c r="AU124" s="164"/>
    </row>
    <row r="125" spans="2:47" x14ac:dyDescent="0.3">
      <c r="B125" s="164"/>
      <c r="F125" s="81"/>
      <c r="I125" s="81"/>
      <c r="L125" s="81"/>
      <c r="M125" s="397">
        <v>45268</v>
      </c>
      <c r="N125" s="96">
        <v>5.41</v>
      </c>
      <c r="O125" s="85">
        <v>1</v>
      </c>
      <c r="P125" s="388">
        <v>45268</v>
      </c>
      <c r="Q125" s="376">
        <v>5.33</v>
      </c>
      <c r="R125" s="85">
        <v>1</v>
      </c>
      <c r="U125" s="81"/>
      <c r="Y125" s="352">
        <v>40417</v>
      </c>
      <c r="Z125" s="112">
        <v>43.93</v>
      </c>
      <c r="AA125" s="85">
        <v>0</v>
      </c>
      <c r="AD125" s="81"/>
      <c r="AE125" s="418"/>
      <c r="AF125" s="419"/>
      <c r="AH125" s="206">
        <v>42557</v>
      </c>
      <c r="AI125" s="114">
        <v>60.73</v>
      </c>
      <c r="AJ125" s="436">
        <v>0</v>
      </c>
      <c r="AK125" s="164"/>
      <c r="AU125" s="164"/>
    </row>
    <row r="126" spans="2:47" x14ac:dyDescent="0.3">
      <c r="B126" s="164"/>
      <c r="F126" s="81"/>
      <c r="I126" s="81"/>
      <c r="L126" s="81"/>
      <c r="M126" s="399">
        <v>45595</v>
      </c>
      <c r="N126" s="98">
        <v>5.24</v>
      </c>
      <c r="O126" s="85">
        <v>0</v>
      </c>
      <c r="P126" s="390">
        <v>45595</v>
      </c>
      <c r="Q126" s="226">
        <v>5.94</v>
      </c>
      <c r="R126" s="85">
        <v>0</v>
      </c>
      <c r="U126" s="81"/>
      <c r="Y126" s="352">
        <v>40498</v>
      </c>
      <c r="Z126" s="112">
        <v>44.1</v>
      </c>
      <c r="AA126" s="85">
        <v>0</v>
      </c>
      <c r="AD126" s="81"/>
      <c r="AE126" s="418"/>
      <c r="AF126" s="419"/>
      <c r="AH126" s="206">
        <v>42591</v>
      </c>
      <c r="AI126" s="114">
        <v>60.98</v>
      </c>
      <c r="AJ126" s="436">
        <v>0</v>
      </c>
      <c r="AK126" s="164"/>
      <c r="AU126" s="164"/>
    </row>
    <row r="127" spans="2:47" x14ac:dyDescent="0.3">
      <c r="B127" s="164"/>
      <c r="F127" s="81"/>
      <c r="I127" s="81"/>
      <c r="L127" s="81"/>
      <c r="M127" s="400">
        <v>45787</v>
      </c>
      <c r="N127" s="96">
        <v>5.33</v>
      </c>
      <c r="O127" s="85">
        <v>1</v>
      </c>
      <c r="P127" s="391">
        <v>45787</v>
      </c>
      <c r="Q127" s="376">
        <v>6.09</v>
      </c>
      <c r="R127" s="85">
        <v>1</v>
      </c>
      <c r="U127" s="81"/>
      <c r="Y127" s="352">
        <v>40575</v>
      </c>
      <c r="Z127" s="112">
        <v>44.21</v>
      </c>
      <c r="AA127" s="85">
        <v>0</v>
      </c>
      <c r="AD127" s="81"/>
      <c r="AE127" s="418"/>
      <c r="AF127" s="419"/>
      <c r="AH127" s="206">
        <v>42663</v>
      </c>
      <c r="AI127" s="114">
        <v>60.83</v>
      </c>
      <c r="AJ127" s="436">
        <v>0</v>
      </c>
      <c r="AK127" s="164"/>
      <c r="AU127" s="164"/>
    </row>
    <row r="128" spans="2:47" x14ac:dyDescent="0.3">
      <c r="B128" s="164"/>
      <c r="F128" s="81"/>
      <c r="I128" s="81"/>
      <c r="L128" s="81"/>
      <c r="M128" s="400">
        <v>45894</v>
      </c>
      <c r="N128" s="96">
        <v>5.46</v>
      </c>
      <c r="O128" s="85">
        <v>1</v>
      </c>
      <c r="P128" s="391">
        <v>45894</v>
      </c>
      <c r="Q128" s="376">
        <v>6.25</v>
      </c>
      <c r="R128" s="85">
        <v>1</v>
      </c>
      <c r="U128" s="81"/>
      <c r="Y128" s="352">
        <v>40679</v>
      </c>
      <c r="Z128" s="112">
        <v>44.49</v>
      </c>
      <c r="AA128" s="85">
        <v>0</v>
      </c>
      <c r="AD128" s="81"/>
      <c r="AE128" s="418"/>
      <c r="AF128" s="419"/>
      <c r="AH128" s="206">
        <v>42774</v>
      </c>
      <c r="AI128" s="114">
        <v>61.12</v>
      </c>
      <c r="AJ128" s="436">
        <v>0</v>
      </c>
      <c r="AK128" s="164"/>
      <c r="AU128" s="164"/>
    </row>
    <row r="129" spans="2:47" x14ac:dyDescent="0.3">
      <c r="B129" s="164"/>
      <c r="F129" s="81"/>
      <c r="I129" s="81"/>
      <c r="L129" s="81"/>
      <c r="M129" s="401">
        <v>45971</v>
      </c>
      <c r="N129" s="98">
        <v>5.65</v>
      </c>
      <c r="O129" s="85">
        <v>0</v>
      </c>
      <c r="P129" s="392">
        <v>45971</v>
      </c>
      <c r="Q129" s="377">
        <v>6.34</v>
      </c>
      <c r="R129" s="85">
        <v>0</v>
      </c>
      <c r="U129" s="81"/>
      <c r="Y129" s="352">
        <v>40745</v>
      </c>
      <c r="Z129" s="112">
        <v>44.79</v>
      </c>
      <c r="AA129" s="85">
        <v>0</v>
      </c>
      <c r="AD129" s="81"/>
      <c r="AE129" s="418"/>
      <c r="AF129" s="419"/>
      <c r="AH129" s="206">
        <v>42852</v>
      </c>
      <c r="AI129" s="114">
        <v>61.32</v>
      </c>
      <c r="AJ129" s="436">
        <v>0</v>
      </c>
      <c r="AK129" s="164"/>
      <c r="AU129" s="164"/>
    </row>
    <row r="130" spans="2:47" x14ac:dyDescent="0.3">
      <c r="B130" s="164"/>
      <c r="F130" s="81"/>
      <c r="I130" s="81"/>
      <c r="L130" s="81"/>
      <c r="M130" s="473" t="s">
        <v>62</v>
      </c>
      <c r="N130" s="473">
        <f>COUNT(N3:N129)</f>
        <v>127</v>
      </c>
      <c r="O130" s="474">
        <f>SUM(O3:O129)</f>
        <v>6</v>
      </c>
      <c r="P130" s="473" t="s">
        <v>62</v>
      </c>
      <c r="Q130" s="473">
        <f>COUNT(Q3:Q129)</f>
        <v>127</v>
      </c>
      <c r="R130" s="474">
        <f>SUM(R3:R129)</f>
        <v>6</v>
      </c>
      <c r="U130" s="81"/>
      <c r="Y130" s="352">
        <v>40777</v>
      </c>
      <c r="Z130" s="112">
        <v>44.49</v>
      </c>
      <c r="AA130" s="85">
        <v>0</v>
      </c>
      <c r="AD130" s="81"/>
      <c r="AE130" s="418"/>
      <c r="AF130" s="419"/>
      <c r="AH130" s="206">
        <v>42888</v>
      </c>
      <c r="AI130" s="114">
        <v>61.41</v>
      </c>
      <c r="AJ130" s="436">
        <v>0</v>
      </c>
      <c r="AK130" s="164"/>
      <c r="AU130" s="164"/>
    </row>
    <row r="131" spans="2:47" x14ac:dyDescent="0.3">
      <c r="B131" s="164"/>
      <c r="F131" s="81"/>
      <c r="I131" s="81"/>
      <c r="L131" s="81"/>
      <c r="M131" t="s">
        <v>27</v>
      </c>
      <c r="O131" s="81"/>
      <c r="R131" s="81"/>
      <c r="U131" s="81"/>
      <c r="Y131" s="352">
        <v>40800</v>
      </c>
      <c r="Z131" s="112">
        <v>44.43</v>
      </c>
      <c r="AA131" s="85">
        <v>0</v>
      </c>
      <c r="AD131" s="81"/>
      <c r="AE131" s="418"/>
      <c r="AF131" s="419"/>
      <c r="AH131" s="206">
        <v>42955</v>
      </c>
      <c r="AI131" s="114">
        <v>61.53</v>
      </c>
      <c r="AJ131" s="436">
        <v>0</v>
      </c>
      <c r="AK131" s="164"/>
      <c r="AU131" s="164"/>
    </row>
    <row r="132" spans="2:47" x14ac:dyDescent="0.3">
      <c r="B132" s="164"/>
      <c r="F132" s="81"/>
      <c r="I132" s="81"/>
      <c r="L132" s="81"/>
      <c r="O132" s="81"/>
      <c r="R132" s="81"/>
      <c r="U132" s="81"/>
      <c r="Y132" s="352">
        <v>40814</v>
      </c>
      <c r="Z132" s="112">
        <v>44.44</v>
      </c>
      <c r="AA132" s="85">
        <v>0</v>
      </c>
      <c r="AD132" s="81"/>
      <c r="AE132" s="418"/>
      <c r="AF132" s="419"/>
      <c r="AH132" s="206">
        <v>43048</v>
      </c>
      <c r="AI132" s="114">
        <v>61.72</v>
      </c>
      <c r="AJ132" s="436">
        <v>0</v>
      </c>
      <c r="AK132" s="164"/>
      <c r="AU132" s="164"/>
    </row>
    <row r="133" spans="2:47" x14ac:dyDescent="0.3">
      <c r="B133" s="164"/>
      <c r="F133" s="81"/>
      <c r="I133" s="81"/>
      <c r="L133" s="81"/>
      <c r="O133" s="81"/>
      <c r="R133" s="81"/>
      <c r="U133" s="81"/>
      <c r="Y133" s="352">
        <v>40834</v>
      </c>
      <c r="Z133" s="112">
        <v>44.05</v>
      </c>
      <c r="AA133" s="85">
        <v>0</v>
      </c>
      <c r="AD133" s="81"/>
      <c r="AE133" s="418"/>
      <c r="AF133" s="419"/>
      <c r="AH133" s="206">
        <v>43069</v>
      </c>
      <c r="AI133" s="114">
        <v>62.29</v>
      </c>
      <c r="AJ133" s="436">
        <v>0</v>
      </c>
      <c r="AK133" s="164"/>
      <c r="AU133" s="164"/>
    </row>
    <row r="134" spans="2:47" x14ac:dyDescent="0.3">
      <c r="B134" s="164"/>
      <c r="F134" s="81"/>
      <c r="I134" s="81"/>
      <c r="L134" s="81"/>
      <c r="O134" s="81"/>
      <c r="R134" s="81"/>
      <c r="U134" s="81"/>
      <c r="Y134" s="352">
        <v>40864</v>
      </c>
      <c r="Z134" s="112">
        <v>43.99</v>
      </c>
      <c r="AA134" s="85">
        <v>0</v>
      </c>
      <c r="AD134" s="81"/>
      <c r="AE134" s="420"/>
      <c r="AF134" s="419"/>
      <c r="AH134" s="206">
        <v>43123</v>
      </c>
      <c r="AI134" s="114">
        <v>62.03</v>
      </c>
      <c r="AJ134" s="436">
        <v>0</v>
      </c>
      <c r="AK134" s="164"/>
      <c r="AU134" s="164"/>
    </row>
    <row r="135" spans="2:47" x14ac:dyDescent="0.3">
      <c r="B135" s="164"/>
      <c r="F135" s="81"/>
      <c r="I135" s="81"/>
      <c r="L135" s="81"/>
      <c r="O135" s="81"/>
      <c r="R135" s="81"/>
      <c r="U135" s="81"/>
      <c r="Y135" s="352">
        <v>40911</v>
      </c>
      <c r="Z135" s="112">
        <v>43.95</v>
      </c>
      <c r="AA135" s="85">
        <v>0</v>
      </c>
      <c r="AD135" s="81"/>
      <c r="AE135" s="420"/>
      <c r="AF135" s="419"/>
      <c r="AH135" s="206">
        <v>43263</v>
      </c>
      <c r="AI135" s="114">
        <v>62.26</v>
      </c>
      <c r="AJ135" s="436">
        <v>0</v>
      </c>
      <c r="AK135" s="164"/>
      <c r="AU135" s="164"/>
    </row>
    <row r="136" spans="2:47" x14ac:dyDescent="0.3">
      <c r="B136" s="164"/>
      <c r="F136" s="81"/>
      <c r="I136" s="81"/>
      <c r="L136" s="81"/>
      <c r="O136" s="81"/>
      <c r="R136" s="81"/>
      <c r="U136" s="81"/>
      <c r="Y136" s="352">
        <v>40934</v>
      </c>
      <c r="Z136" s="112">
        <v>44.05</v>
      </c>
      <c r="AA136" s="85">
        <v>0</v>
      </c>
      <c r="AD136" s="81"/>
      <c r="AE136" s="420"/>
      <c r="AF136" s="419"/>
      <c r="AH136" s="206">
        <v>43297</v>
      </c>
      <c r="AI136" s="114">
        <v>62.21</v>
      </c>
      <c r="AJ136" s="436">
        <v>0</v>
      </c>
      <c r="AK136" s="164"/>
      <c r="AU136" s="164"/>
    </row>
    <row r="137" spans="2:47" x14ac:dyDescent="0.3">
      <c r="B137" s="164"/>
      <c r="F137" s="81"/>
      <c r="I137" s="81"/>
      <c r="L137" s="81"/>
      <c r="O137" s="81"/>
      <c r="R137" s="81"/>
      <c r="U137" s="81"/>
      <c r="Y137" s="352">
        <v>40963</v>
      </c>
      <c r="Z137" s="112">
        <v>44</v>
      </c>
      <c r="AA137" s="85">
        <v>0</v>
      </c>
      <c r="AD137" s="81"/>
      <c r="AE137" s="420"/>
      <c r="AF137" s="419"/>
      <c r="AH137" s="206">
        <v>43348</v>
      </c>
      <c r="AI137" s="114">
        <v>62.36</v>
      </c>
      <c r="AJ137" s="436">
        <v>0</v>
      </c>
      <c r="AK137" s="164"/>
      <c r="AU137" s="164"/>
    </row>
    <row r="138" spans="2:47" x14ac:dyDescent="0.3">
      <c r="B138" s="164"/>
      <c r="F138" s="81"/>
      <c r="I138" s="81"/>
      <c r="L138" s="81"/>
      <c r="O138" s="81"/>
      <c r="R138" s="81"/>
      <c r="U138" s="81"/>
      <c r="Y138" s="352">
        <v>41017</v>
      </c>
      <c r="Z138" s="112">
        <v>43.88</v>
      </c>
      <c r="AA138" s="85">
        <v>0</v>
      </c>
      <c r="AD138" s="81"/>
      <c r="AE138" s="420"/>
      <c r="AF138" s="419"/>
      <c r="AH138" s="206">
        <v>43558</v>
      </c>
      <c r="AI138" s="114">
        <v>63.1</v>
      </c>
      <c r="AJ138" s="436">
        <v>0</v>
      </c>
      <c r="AK138" s="164"/>
      <c r="AU138" s="164"/>
    </row>
    <row r="139" spans="2:47" x14ac:dyDescent="0.3">
      <c r="B139" s="164"/>
      <c r="F139" s="81"/>
      <c r="I139" s="81"/>
      <c r="L139" s="81"/>
      <c r="O139" s="81"/>
      <c r="R139" s="81"/>
      <c r="U139" s="81"/>
      <c r="Y139" s="352">
        <v>41059</v>
      </c>
      <c r="Z139" s="112">
        <v>43.95</v>
      </c>
      <c r="AA139" s="85">
        <v>0</v>
      </c>
      <c r="AD139" s="81"/>
      <c r="AE139" s="420"/>
      <c r="AF139" s="419"/>
      <c r="AH139" s="228">
        <v>43697</v>
      </c>
      <c r="AI139" s="114">
        <v>66.06</v>
      </c>
      <c r="AJ139" s="436">
        <v>0</v>
      </c>
      <c r="AK139" s="164"/>
      <c r="AU139" s="164"/>
    </row>
    <row r="140" spans="2:47" x14ac:dyDescent="0.3">
      <c r="B140" s="164"/>
      <c r="F140" s="81"/>
      <c r="I140" s="81"/>
      <c r="L140" s="81"/>
      <c r="O140" s="81"/>
      <c r="R140" s="81"/>
      <c r="U140" s="81"/>
      <c r="Y140" s="352">
        <v>41171</v>
      </c>
      <c r="Z140" s="112">
        <v>45.18</v>
      </c>
      <c r="AA140" s="85">
        <v>0</v>
      </c>
      <c r="AD140" s="81"/>
      <c r="AE140" s="420"/>
      <c r="AF140" s="419"/>
      <c r="AH140" s="228">
        <v>43759</v>
      </c>
      <c r="AI140" s="114">
        <v>65.11</v>
      </c>
      <c r="AJ140" s="436">
        <v>0</v>
      </c>
      <c r="AK140" s="164"/>
      <c r="AU140" s="164"/>
    </row>
    <row r="141" spans="2:47" x14ac:dyDescent="0.3">
      <c r="B141" s="164"/>
      <c r="F141" s="81"/>
      <c r="I141" s="81"/>
      <c r="L141" s="81"/>
      <c r="O141" s="81"/>
      <c r="R141" s="81"/>
      <c r="U141" s="81"/>
      <c r="Y141" s="352">
        <v>41191</v>
      </c>
      <c r="Z141" s="112">
        <v>45.24</v>
      </c>
      <c r="AA141" s="85">
        <v>0</v>
      </c>
      <c r="AD141" s="81"/>
      <c r="AE141" s="420"/>
      <c r="AF141" s="421"/>
      <c r="AH141" s="206">
        <v>43964</v>
      </c>
      <c r="AI141" s="114">
        <v>64.900000000000006</v>
      </c>
      <c r="AJ141" s="436">
        <v>0</v>
      </c>
      <c r="AK141" s="164"/>
      <c r="AU141" s="164"/>
    </row>
    <row r="142" spans="2:47" x14ac:dyDescent="0.3">
      <c r="B142" s="164"/>
      <c r="F142" s="81"/>
      <c r="I142" s="81"/>
      <c r="L142" s="81"/>
      <c r="O142" s="81"/>
      <c r="R142" s="81"/>
      <c r="U142" s="81"/>
      <c r="Y142" s="352">
        <v>41228</v>
      </c>
      <c r="Z142" s="112">
        <v>45.58</v>
      </c>
      <c r="AA142" s="85">
        <v>0</v>
      </c>
      <c r="AD142" s="81"/>
      <c r="AE142" s="420"/>
      <c r="AF142" s="419"/>
      <c r="AH142" s="241">
        <v>44064</v>
      </c>
      <c r="AI142" s="96">
        <v>64.7</v>
      </c>
      <c r="AJ142" s="436">
        <v>1</v>
      </c>
      <c r="AK142" s="164"/>
      <c r="AU142" s="164"/>
    </row>
    <row r="143" spans="2:47" x14ac:dyDescent="0.3">
      <c r="B143" s="164"/>
      <c r="F143" s="81"/>
      <c r="I143" s="81"/>
      <c r="L143" s="81"/>
      <c r="O143" s="81"/>
      <c r="R143" s="81"/>
      <c r="U143" s="81"/>
      <c r="Y143" s="352">
        <v>41235</v>
      </c>
      <c r="Z143" s="112">
        <v>45.41</v>
      </c>
      <c r="AA143" s="85">
        <v>0</v>
      </c>
      <c r="AD143" s="81"/>
      <c r="AE143" s="420"/>
      <c r="AF143" s="419"/>
      <c r="AH143" s="241">
        <v>44329</v>
      </c>
      <c r="AI143" s="96">
        <v>64.8</v>
      </c>
      <c r="AJ143" s="436">
        <v>1</v>
      </c>
      <c r="AK143" s="164"/>
      <c r="AU143" s="164"/>
    </row>
    <row r="144" spans="2:47" x14ac:dyDescent="0.3">
      <c r="B144" s="164"/>
      <c r="F144" s="81"/>
      <c r="I144" s="81"/>
      <c r="L144" s="81"/>
      <c r="O144" s="81"/>
      <c r="R144" s="81"/>
      <c r="U144" s="81"/>
      <c r="Y144" s="352">
        <v>41278</v>
      </c>
      <c r="Z144" s="112">
        <v>45.76</v>
      </c>
      <c r="AA144" s="85">
        <v>0</v>
      </c>
      <c r="AD144" s="81"/>
      <c r="AE144" s="420"/>
      <c r="AF144" s="419"/>
      <c r="AH144" s="206">
        <v>44489</v>
      </c>
      <c r="AI144" s="114">
        <v>64.599999999999994</v>
      </c>
      <c r="AJ144" s="436">
        <v>0</v>
      </c>
      <c r="AK144" s="164"/>
      <c r="AU144" s="164"/>
    </row>
    <row r="145" spans="2:47" x14ac:dyDescent="0.3">
      <c r="B145" s="164"/>
      <c r="F145" s="81"/>
      <c r="I145" s="81"/>
      <c r="L145" s="81"/>
      <c r="O145" s="81"/>
      <c r="R145" s="81"/>
      <c r="U145" s="81"/>
      <c r="Y145" s="352">
        <v>41368</v>
      </c>
      <c r="Z145" s="112">
        <v>46.02</v>
      </c>
      <c r="AA145" s="85">
        <v>0</v>
      </c>
      <c r="AD145" s="81"/>
      <c r="AE145" s="420"/>
      <c r="AF145" s="419"/>
      <c r="AH145" s="206">
        <v>44593</v>
      </c>
      <c r="AI145" s="114">
        <v>65.430000000000007</v>
      </c>
      <c r="AJ145" s="436">
        <v>0</v>
      </c>
      <c r="AK145" s="164"/>
      <c r="AU145" s="164"/>
    </row>
    <row r="146" spans="2:47" x14ac:dyDescent="0.3">
      <c r="B146" s="164"/>
      <c r="F146" s="81"/>
      <c r="I146" s="81"/>
      <c r="L146" s="81"/>
      <c r="O146" s="81"/>
      <c r="R146" s="81"/>
      <c r="U146" s="81"/>
      <c r="Y146" s="352">
        <v>41401</v>
      </c>
      <c r="Z146" s="112">
        <v>46.12</v>
      </c>
      <c r="AA146" s="85">
        <v>0</v>
      </c>
      <c r="AD146" s="81"/>
      <c r="AE146" s="420"/>
      <c r="AF146" s="419"/>
      <c r="AH146" s="228">
        <v>44743</v>
      </c>
      <c r="AI146" s="114">
        <v>65.540000000000006</v>
      </c>
      <c r="AJ146" s="436">
        <v>0</v>
      </c>
      <c r="AK146" s="164"/>
      <c r="AU146" s="164"/>
    </row>
    <row r="147" spans="2:47" x14ac:dyDescent="0.3">
      <c r="B147" s="164"/>
      <c r="F147" s="81"/>
      <c r="I147" s="81"/>
      <c r="L147" s="81"/>
      <c r="O147" s="81"/>
      <c r="R147" s="81"/>
      <c r="U147" s="81"/>
      <c r="Y147" s="352">
        <v>41437</v>
      </c>
      <c r="Z147" s="112">
        <v>46.37</v>
      </c>
      <c r="AA147" s="85">
        <v>0</v>
      </c>
      <c r="AD147" s="81"/>
      <c r="AE147" s="420"/>
      <c r="AF147" s="419"/>
      <c r="AH147" s="206">
        <v>44846</v>
      </c>
      <c r="AI147" s="114">
        <v>67.06</v>
      </c>
      <c r="AJ147" s="436">
        <v>0</v>
      </c>
      <c r="AK147" s="164"/>
      <c r="AU147" s="164"/>
    </row>
    <row r="148" spans="2:47" x14ac:dyDescent="0.3">
      <c r="B148" s="164"/>
      <c r="F148" s="81"/>
      <c r="I148" s="81"/>
      <c r="L148" s="81"/>
      <c r="O148" s="81"/>
      <c r="R148" s="81"/>
      <c r="U148" s="81"/>
      <c r="Y148" s="352">
        <v>41471</v>
      </c>
      <c r="Z148" s="112">
        <v>46.57</v>
      </c>
      <c r="AA148" s="85">
        <v>0</v>
      </c>
      <c r="AD148" s="81"/>
      <c r="AE148" s="418"/>
      <c r="AF148" s="419"/>
      <c r="AH148" s="129">
        <v>44998</v>
      </c>
      <c r="AI148" s="162">
        <v>67.56</v>
      </c>
      <c r="AJ148" s="436">
        <v>1</v>
      </c>
      <c r="AK148" s="164"/>
      <c r="AU148" s="164"/>
    </row>
    <row r="149" spans="2:47" x14ac:dyDescent="0.3">
      <c r="B149" s="164"/>
      <c r="F149" s="81"/>
      <c r="I149" s="81"/>
      <c r="L149" s="81"/>
      <c r="O149" s="81"/>
      <c r="R149" s="81"/>
      <c r="U149" s="81"/>
      <c r="Y149" s="352">
        <v>41506</v>
      </c>
      <c r="Z149" s="112">
        <v>46.46</v>
      </c>
      <c r="AA149" s="85">
        <v>0</v>
      </c>
      <c r="AD149" s="81"/>
      <c r="AE149" s="420"/>
      <c r="AF149" s="419"/>
      <c r="AH149" s="360">
        <v>45146</v>
      </c>
      <c r="AI149" s="271">
        <v>67.290000000000006</v>
      </c>
      <c r="AJ149" s="436">
        <v>0</v>
      </c>
      <c r="AK149" s="164"/>
      <c r="AU149" s="164"/>
    </row>
    <row r="150" spans="2:47" x14ac:dyDescent="0.3">
      <c r="B150" s="164"/>
      <c r="F150" s="81"/>
      <c r="I150" s="81"/>
      <c r="L150" s="81"/>
      <c r="O150" s="81"/>
      <c r="R150" s="81"/>
      <c r="U150" s="81"/>
      <c r="Y150" s="352">
        <v>41555</v>
      </c>
      <c r="Z150" s="112">
        <v>46.6</v>
      </c>
      <c r="AA150" s="85">
        <v>0</v>
      </c>
      <c r="AD150" s="81"/>
      <c r="AE150" s="420"/>
      <c r="AF150" s="419"/>
      <c r="AH150" s="248">
        <v>45267</v>
      </c>
      <c r="AI150" s="162">
        <v>67.66</v>
      </c>
      <c r="AJ150" s="436">
        <v>1</v>
      </c>
      <c r="AK150" s="164"/>
      <c r="AU150" s="164"/>
    </row>
    <row r="151" spans="2:47" x14ac:dyDescent="0.3">
      <c r="B151" s="164"/>
      <c r="F151" s="81"/>
      <c r="I151" s="81"/>
      <c r="L151" s="81"/>
      <c r="O151" s="81"/>
      <c r="R151" s="81"/>
      <c r="U151" s="81"/>
      <c r="Y151" s="352">
        <v>41556</v>
      </c>
      <c r="Z151" s="112">
        <v>46.57</v>
      </c>
      <c r="AA151" s="85">
        <v>0</v>
      </c>
      <c r="AD151" s="81"/>
      <c r="AE151" s="420"/>
      <c r="AF151" s="419"/>
      <c r="AH151" s="228">
        <v>45292</v>
      </c>
      <c r="AI151" s="114">
        <v>67.77</v>
      </c>
      <c r="AJ151" s="436">
        <v>0</v>
      </c>
      <c r="AK151" s="164"/>
      <c r="AU151" s="164"/>
    </row>
    <row r="152" spans="2:47" x14ac:dyDescent="0.3">
      <c r="B152" s="164"/>
      <c r="F152" s="81"/>
      <c r="I152" s="81"/>
      <c r="L152" s="81"/>
      <c r="O152" s="81"/>
      <c r="R152" s="81"/>
      <c r="U152" s="81"/>
      <c r="Y152" s="352">
        <v>41617</v>
      </c>
      <c r="Z152" s="338">
        <f>(Z151+Z153)/2</f>
        <v>46.774999999999999</v>
      </c>
      <c r="AA152" s="85">
        <v>0</v>
      </c>
      <c r="AD152" s="81"/>
      <c r="AE152" s="420"/>
      <c r="AF152" s="419"/>
      <c r="AH152" s="228">
        <v>45449</v>
      </c>
      <c r="AI152" s="114">
        <v>68.680000000000007</v>
      </c>
      <c r="AJ152" s="436">
        <v>0</v>
      </c>
      <c r="AK152" s="164"/>
      <c r="AU152" s="164"/>
    </row>
    <row r="153" spans="2:47" x14ac:dyDescent="0.3">
      <c r="B153" s="164"/>
      <c r="F153" s="81"/>
      <c r="I153" s="81"/>
      <c r="L153" s="81"/>
      <c r="O153" s="81"/>
      <c r="R153" s="81"/>
      <c r="U153" s="81"/>
      <c r="Y153" s="352">
        <v>41647</v>
      </c>
      <c r="Z153" s="112">
        <v>46.98</v>
      </c>
      <c r="AA153" s="85">
        <v>0</v>
      </c>
      <c r="AD153" s="81"/>
      <c r="AE153" s="420"/>
      <c r="AF153" s="419"/>
      <c r="AH153" s="206">
        <v>45638</v>
      </c>
      <c r="AI153" s="114">
        <v>67.61</v>
      </c>
      <c r="AJ153" s="436">
        <v>0</v>
      </c>
      <c r="AK153" s="164"/>
      <c r="AU153" s="164"/>
    </row>
    <row r="154" spans="2:47" x14ac:dyDescent="0.3">
      <c r="B154" s="164"/>
      <c r="F154" s="81"/>
      <c r="I154" s="81"/>
      <c r="L154" s="81"/>
      <c r="O154" s="81"/>
      <c r="R154" s="81"/>
      <c r="U154" s="81"/>
      <c r="Y154" s="352">
        <v>41683</v>
      </c>
      <c r="Z154" s="112">
        <v>47</v>
      </c>
      <c r="AA154" s="85">
        <v>0</v>
      </c>
      <c r="AD154" s="81"/>
      <c r="AE154" s="420"/>
      <c r="AF154" s="419"/>
      <c r="AH154" s="248">
        <v>45709</v>
      </c>
      <c r="AI154" s="162">
        <v>68.12</v>
      </c>
      <c r="AJ154" s="436">
        <v>1</v>
      </c>
      <c r="AK154" s="164"/>
      <c r="AU154" s="164"/>
    </row>
    <row r="155" spans="2:47" x14ac:dyDescent="0.3">
      <c r="B155" s="164"/>
      <c r="F155" s="81"/>
      <c r="I155" s="81"/>
      <c r="L155" s="81"/>
      <c r="O155" s="81"/>
      <c r="R155" s="81"/>
      <c r="U155" s="81"/>
      <c r="Y155" s="352">
        <v>41731</v>
      </c>
      <c r="Z155" s="112">
        <v>47.14</v>
      </c>
      <c r="AA155" s="85">
        <v>0</v>
      </c>
      <c r="AD155" s="81"/>
      <c r="AE155" s="420"/>
      <c r="AF155" s="419"/>
      <c r="AH155" s="228">
        <v>45751</v>
      </c>
      <c r="AI155" s="114">
        <v>68.86</v>
      </c>
      <c r="AJ155" s="436">
        <v>0</v>
      </c>
      <c r="AK155" s="164"/>
      <c r="AU155" s="164"/>
    </row>
    <row r="156" spans="2:47" x14ac:dyDescent="0.3">
      <c r="B156" s="164"/>
      <c r="F156" s="81"/>
      <c r="I156" s="81"/>
      <c r="L156" s="81"/>
      <c r="O156" s="81"/>
      <c r="R156" s="81"/>
      <c r="U156" s="81"/>
      <c r="Y156" s="352">
        <v>41764</v>
      </c>
      <c r="Z156" s="112">
        <v>47.34</v>
      </c>
      <c r="AA156" s="85">
        <v>0</v>
      </c>
      <c r="AD156" s="81"/>
      <c r="AE156" s="418"/>
      <c r="AF156" s="419"/>
      <c r="AH156" s="360">
        <v>45978</v>
      </c>
      <c r="AI156" s="271">
        <v>70.150000000000006</v>
      </c>
      <c r="AJ156" s="436">
        <v>0</v>
      </c>
      <c r="AK156" s="164"/>
      <c r="AU156" s="164"/>
    </row>
    <row r="157" spans="2:47" x14ac:dyDescent="0.3">
      <c r="B157" s="164"/>
      <c r="F157" s="81"/>
      <c r="I157" s="81"/>
      <c r="L157" s="81"/>
      <c r="O157" s="81"/>
      <c r="R157" s="81"/>
      <c r="U157" s="81"/>
      <c r="Y157" s="352">
        <v>41793</v>
      </c>
      <c r="Z157" s="112">
        <v>47.32</v>
      </c>
      <c r="AA157" s="85">
        <v>0</v>
      </c>
      <c r="AD157" s="81"/>
      <c r="AE157" s="418"/>
      <c r="AF157" s="419"/>
      <c r="AH157" s="473" t="s">
        <v>62</v>
      </c>
      <c r="AI157" s="473">
        <f>COUNT(AI3:AI156)</f>
        <v>154</v>
      </c>
      <c r="AJ157" s="474">
        <f>SUM(AJ3:AJ156)</f>
        <v>5</v>
      </c>
      <c r="AK157" s="164"/>
      <c r="AU157" s="164"/>
    </row>
    <row r="158" spans="2:47" x14ac:dyDescent="0.3">
      <c r="B158" s="164"/>
      <c r="F158" s="81"/>
      <c r="I158" s="81"/>
      <c r="L158" s="81"/>
      <c r="O158" s="81"/>
      <c r="R158" s="81"/>
      <c r="U158" s="81"/>
      <c r="Y158" s="352">
        <v>41830</v>
      </c>
      <c r="Z158" s="112">
        <v>47.47</v>
      </c>
      <c r="AA158" s="85">
        <v>0</v>
      </c>
      <c r="AD158" s="81"/>
      <c r="AE158" s="418"/>
      <c r="AF158" s="419"/>
      <c r="AK158" s="164"/>
      <c r="AU158" s="164"/>
    </row>
    <row r="159" spans="2:47" x14ac:dyDescent="0.3">
      <c r="B159" s="164"/>
      <c r="F159" s="81"/>
      <c r="I159" s="81"/>
      <c r="L159" s="81"/>
      <c r="O159" s="81"/>
      <c r="R159" s="81"/>
      <c r="U159" s="81"/>
      <c r="Y159" s="352">
        <v>41877</v>
      </c>
      <c r="Z159" s="112">
        <v>47.52</v>
      </c>
      <c r="AA159" s="85">
        <v>0</v>
      </c>
      <c r="AD159" s="81"/>
      <c r="AE159" s="422"/>
      <c r="AF159" s="423"/>
      <c r="AK159" s="164"/>
      <c r="AU159" s="164"/>
    </row>
    <row r="160" spans="2:47" x14ac:dyDescent="0.3">
      <c r="B160" s="164"/>
      <c r="F160" s="81"/>
      <c r="I160" s="81"/>
      <c r="L160" s="81"/>
      <c r="O160" s="81"/>
      <c r="R160" s="81"/>
      <c r="U160" s="81"/>
      <c r="Y160" s="352">
        <v>41936</v>
      </c>
      <c r="Z160" s="112">
        <v>47.49</v>
      </c>
      <c r="AA160" s="85">
        <v>0</v>
      </c>
      <c r="AD160" s="81"/>
      <c r="AE160" s="422"/>
      <c r="AF160" s="423"/>
      <c r="AK160" s="164"/>
      <c r="AU160" s="164"/>
    </row>
    <row r="161" spans="2:47" x14ac:dyDescent="0.3">
      <c r="B161" s="164"/>
      <c r="F161" s="81"/>
      <c r="I161" s="81"/>
      <c r="L161" s="81"/>
      <c r="O161" s="81"/>
      <c r="R161" s="81"/>
      <c r="U161" s="81"/>
      <c r="Y161" s="352">
        <v>41976</v>
      </c>
      <c r="Z161" s="112">
        <v>47.39</v>
      </c>
      <c r="AA161" s="85">
        <v>0</v>
      </c>
      <c r="AD161" s="81"/>
      <c r="AE161" s="422"/>
      <c r="AF161" s="423"/>
      <c r="AK161" s="164"/>
      <c r="AU161" s="164"/>
    </row>
    <row r="162" spans="2:47" x14ac:dyDescent="0.3">
      <c r="B162" s="164"/>
      <c r="F162" s="81"/>
      <c r="I162" s="81"/>
      <c r="L162" s="81"/>
      <c r="O162" s="81"/>
      <c r="R162" s="81"/>
      <c r="U162" s="81"/>
      <c r="Y162" s="352">
        <v>42009</v>
      </c>
      <c r="Z162" s="112">
        <v>47.66</v>
      </c>
      <c r="AA162" s="85">
        <v>0</v>
      </c>
      <c r="AD162" s="81"/>
      <c r="AE162" s="424"/>
      <c r="AF162" s="425"/>
      <c r="AK162" s="164"/>
      <c r="AU162" s="164"/>
    </row>
    <row r="163" spans="2:47" x14ac:dyDescent="0.3">
      <c r="B163" s="164"/>
      <c r="F163" s="81"/>
      <c r="I163" s="81"/>
      <c r="L163" s="81"/>
      <c r="O163" s="81"/>
      <c r="R163" s="81"/>
      <c r="U163" s="81"/>
      <c r="Y163" s="352">
        <v>42107</v>
      </c>
      <c r="Z163" s="112">
        <v>48.05</v>
      </c>
      <c r="AA163" s="85">
        <v>0</v>
      </c>
      <c r="AD163" s="81"/>
      <c r="AE163" s="418"/>
      <c r="AF163" s="419"/>
      <c r="AK163" s="164"/>
      <c r="AU163" s="164"/>
    </row>
    <row r="164" spans="2:47" x14ac:dyDescent="0.3">
      <c r="B164" s="164"/>
      <c r="F164" s="81"/>
      <c r="I164" s="81"/>
      <c r="L164" s="81"/>
      <c r="O164" s="81"/>
      <c r="R164" s="81"/>
      <c r="U164" s="81"/>
      <c r="Y164" s="352">
        <v>42157</v>
      </c>
      <c r="Z164" s="112">
        <v>47.86</v>
      </c>
      <c r="AA164" s="85">
        <v>0</v>
      </c>
      <c r="AD164" s="81"/>
      <c r="AE164" s="418"/>
      <c r="AF164" s="419"/>
      <c r="AK164" s="164"/>
      <c r="AU164" s="164"/>
    </row>
    <row r="165" spans="2:47" x14ac:dyDescent="0.3">
      <c r="B165" s="164"/>
      <c r="F165" s="81"/>
      <c r="I165" s="81"/>
      <c r="L165" s="81"/>
      <c r="O165" s="81"/>
      <c r="R165" s="81"/>
      <c r="U165" s="81"/>
      <c r="Y165" s="352">
        <v>42220</v>
      </c>
      <c r="Z165" s="112">
        <v>47.96</v>
      </c>
      <c r="AA165" s="85">
        <v>0</v>
      </c>
      <c r="AD165" s="81"/>
      <c r="AE165" s="418"/>
      <c r="AF165" s="419"/>
      <c r="AK165" s="164"/>
      <c r="AU165" s="164"/>
    </row>
    <row r="166" spans="2:47" x14ac:dyDescent="0.3">
      <c r="B166" s="164"/>
      <c r="F166" s="81"/>
      <c r="I166" s="81"/>
      <c r="L166" s="81"/>
      <c r="O166" s="81"/>
      <c r="R166" s="81"/>
      <c r="U166" s="81"/>
      <c r="Y166" s="352">
        <v>42292</v>
      </c>
      <c r="Z166" s="112">
        <v>48.05</v>
      </c>
      <c r="AA166" s="85">
        <v>0</v>
      </c>
      <c r="AD166" s="81"/>
      <c r="AE166" s="418"/>
      <c r="AF166" s="419"/>
      <c r="AK166" s="164"/>
      <c r="AU166" s="164"/>
    </row>
    <row r="167" spans="2:47" x14ac:dyDescent="0.3">
      <c r="B167" s="164"/>
      <c r="F167" s="81"/>
      <c r="I167" s="81"/>
      <c r="L167" s="81"/>
      <c r="O167" s="81"/>
      <c r="R167" s="81"/>
      <c r="U167" s="81"/>
      <c r="Y167" s="352">
        <v>42306</v>
      </c>
      <c r="Z167" s="112">
        <v>48.18</v>
      </c>
      <c r="AA167" s="85">
        <v>0</v>
      </c>
      <c r="AD167" s="81"/>
      <c r="AE167" s="418"/>
      <c r="AF167" s="419"/>
      <c r="AK167" s="164"/>
      <c r="AU167" s="164"/>
    </row>
    <row r="168" spans="2:47" x14ac:dyDescent="0.3">
      <c r="B168" s="164"/>
      <c r="F168" s="81"/>
      <c r="I168" s="81"/>
      <c r="L168" s="81"/>
      <c r="O168" s="81"/>
      <c r="R168" s="81"/>
      <c r="U168" s="81"/>
      <c r="Y168" s="352">
        <v>42353</v>
      </c>
      <c r="Z168" s="112">
        <v>48.43</v>
      </c>
      <c r="AA168" s="85">
        <v>0</v>
      </c>
      <c r="AD168" s="81"/>
      <c r="AE168" s="418"/>
      <c r="AF168" s="425"/>
      <c r="AK168" s="164"/>
      <c r="AU168" s="164"/>
    </row>
    <row r="169" spans="2:47" x14ac:dyDescent="0.3">
      <c r="B169" s="164"/>
      <c r="F169" s="81"/>
      <c r="I169" s="81"/>
      <c r="L169" s="81"/>
      <c r="O169" s="81"/>
      <c r="R169" s="81"/>
      <c r="U169" s="81"/>
      <c r="Y169" s="352">
        <v>42387</v>
      </c>
      <c r="Z169" s="112">
        <v>48.63</v>
      </c>
      <c r="AA169" s="85">
        <v>0</v>
      </c>
      <c r="AD169" s="81"/>
      <c r="AE169" s="418"/>
      <c r="AF169" s="419"/>
      <c r="AK169" s="164"/>
      <c r="AU169" s="164"/>
    </row>
    <row r="170" spans="2:47" x14ac:dyDescent="0.3">
      <c r="B170" s="164"/>
      <c r="F170" s="81"/>
      <c r="I170" s="81"/>
      <c r="L170" s="81"/>
      <c r="O170" s="81"/>
      <c r="R170" s="81"/>
      <c r="U170" s="81"/>
      <c r="Y170" s="352">
        <v>42429</v>
      </c>
      <c r="Z170" s="112">
        <v>48.49</v>
      </c>
      <c r="AA170" s="85">
        <v>0</v>
      </c>
      <c r="AD170" s="81"/>
      <c r="AE170" s="418"/>
      <c r="AF170" s="419"/>
      <c r="AK170" s="164"/>
      <c r="AU170" s="164"/>
    </row>
    <row r="171" spans="2:47" x14ac:dyDescent="0.3">
      <c r="B171" s="164"/>
      <c r="F171" s="81"/>
      <c r="I171" s="81"/>
      <c r="L171" s="81"/>
      <c r="O171" s="81"/>
      <c r="R171" s="81"/>
      <c r="U171" s="81"/>
      <c r="Y171" s="352">
        <v>42471</v>
      </c>
      <c r="Z171" s="112">
        <v>48.89</v>
      </c>
      <c r="AA171" s="85">
        <v>0</v>
      </c>
      <c r="AD171" s="81"/>
      <c r="AE171" s="418"/>
      <c r="AF171" s="419"/>
      <c r="AK171" s="164"/>
      <c r="AU171" s="164"/>
    </row>
    <row r="172" spans="2:47" x14ac:dyDescent="0.3">
      <c r="B172" s="164"/>
      <c r="F172" s="81"/>
      <c r="I172" s="81"/>
      <c r="L172" s="81"/>
      <c r="O172" s="81"/>
      <c r="R172" s="81"/>
      <c r="U172" s="81"/>
      <c r="Y172" s="352">
        <v>42591</v>
      </c>
      <c r="Z172" s="112">
        <v>49.31</v>
      </c>
      <c r="AA172" s="85">
        <v>0</v>
      </c>
      <c r="AD172" s="81"/>
      <c r="AE172" s="418"/>
      <c r="AF172" s="419"/>
      <c r="AK172" s="164"/>
      <c r="AU172" s="164"/>
    </row>
    <row r="173" spans="2:47" x14ac:dyDescent="0.3">
      <c r="B173" s="164"/>
      <c r="F173" s="81"/>
      <c r="I173" s="81"/>
      <c r="L173" s="81"/>
      <c r="O173" s="81"/>
      <c r="R173" s="81"/>
      <c r="U173" s="81"/>
      <c r="Y173" s="352">
        <v>42663</v>
      </c>
      <c r="Z173" s="112">
        <v>49.58</v>
      </c>
      <c r="AA173" s="85">
        <v>0</v>
      </c>
      <c r="AD173" s="81"/>
      <c r="AE173" s="422"/>
      <c r="AF173" s="423"/>
      <c r="AK173" s="164"/>
      <c r="AU173" s="164"/>
    </row>
    <row r="174" spans="2:47" x14ac:dyDescent="0.3">
      <c r="B174" s="164"/>
      <c r="F174" s="81"/>
      <c r="I174" s="81"/>
      <c r="L174" s="81"/>
      <c r="O174" s="81"/>
      <c r="R174" s="81"/>
      <c r="U174" s="81"/>
      <c r="Y174" s="352">
        <v>42702</v>
      </c>
      <c r="Z174" s="112">
        <v>50.07</v>
      </c>
      <c r="AA174" s="85">
        <v>0</v>
      </c>
      <c r="AD174" s="81"/>
      <c r="AE174" s="422"/>
      <c r="AF174" s="423"/>
      <c r="AK174" s="164"/>
      <c r="AU174" s="164"/>
    </row>
    <row r="175" spans="2:47" x14ac:dyDescent="0.3">
      <c r="B175" s="164"/>
      <c r="F175" s="81"/>
      <c r="I175" s="81"/>
      <c r="L175" s="81"/>
      <c r="O175" s="81"/>
      <c r="R175" s="81"/>
      <c r="U175" s="81"/>
      <c r="Y175" s="352">
        <v>42774</v>
      </c>
      <c r="Z175" s="112">
        <v>50.28</v>
      </c>
      <c r="AA175" s="85">
        <v>0</v>
      </c>
      <c r="AD175" s="81"/>
      <c r="AE175" s="422"/>
      <c r="AF175" s="423"/>
      <c r="AK175" s="164"/>
      <c r="AU175" s="164"/>
    </row>
    <row r="176" spans="2:47" x14ac:dyDescent="0.3">
      <c r="B176" s="164"/>
      <c r="F176" s="81"/>
      <c r="I176" s="81"/>
      <c r="L176" s="81"/>
      <c r="O176" s="81"/>
      <c r="R176" s="81"/>
      <c r="U176" s="81"/>
      <c r="Y176" s="352">
        <v>42794</v>
      </c>
      <c r="Z176" s="112">
        <v>50.45</v>
      </c>
      <c r="AA176" s="85">
        <v>0</v>
      </c>
      <c r="AD176" s="81"/>
      <c r="AE176" s="426"/>
      <c r="AF176" s="427"/>
      <c r="AK176" s="164"/>
      <c r="AU176" s="164"/>
    </row>
    <row r="177" spans="2:47" x14ac:dyDescent="0.3">
      <c r="B177" s="164"/>
      <c r="F177" s="81"/>
      <c r="I177" s="81"/>
      <c r="L177" s="81"/>
      <c r="O177" s="81"/>
      <c r="R177" s="81"/>
      <c r="U177" s="81"/>
      <c r="Y177" s="352">
        <v>42865</v>
      </c>
      <c r="Z177" s="112">
        <v>50.78</v>
      </c>
      <c r="AA177" s="85">
        <v>0</v>
      </c>
      <c r="AD177" s="81"/>
      <c r="AE177" s="426"/>
      <c r="AF177" s="427"/>
      <c r="AK177" s="164"/>
      <c r="AU177" s="164"/>
    </row>
    <row r="178" spans="2:47" x14ac:dyDescent="0.3">
      <c r="B178" s="164"/>
      <c r="F178" s="81"/>
      <c r="I178" s="81"/>
      <c r="L178" s="81"/>
      <c r="O178" s="81"/>
      <c r="R178" s="81"/>
      <c r="U178" s="81"/>
      <c r="Y178" s="352">
        <v>42887</v>
      </c>
      <c r="Z178" s="112">
        <v>50.73</v>
      </c>
      <c r="AA178" s="85">
        <v>0</v>
      </c>
      <c r="AD178" s="81"/>
      <c r="AE178" s="426"/>
      <c r="AF178" s="427"/>
      <c r="AK178" s="164"/>
      <c r="AU178" s="164"/>
    </row>
    <row r="179" spans="2:47" x14ac:dyDescent="0.3">
      <c r="B179" s="164"/>
      <c r="F179" s="81"/>
      <c r="I179" s="81"/>
      <c r="L179" s="81"/>
      <c r="O179" s="81"/>
      <c r="R179" s="81"/>
      <c r="U179" s="81"/>
      <c r="Y179" s="352">
        <v>42955</v>
      </c>
      <c r="Z179" s="112">
        <v>50.82</v>
      </c>
      <c r="AA179" s="85">
        <v>0</v>
      </c>
      <c r="AD179" s="81"/>
      <c r="AE179" s="426"/>
      <c r="AF179" s="427"/>
      <c r="AK179" s="164"/>
      <c r="AU179" s="164"/>
    </row>
    <row r="180" spans="2:47" x14ac:dyDescent="0.3">
      <c r="B180" s="164"/>
      <c r="F180" s="81"/>
      <c r="I180" s="81"/>
      <c r="L180" s="81"/>
      <c r="O180" s="81"/>
      <c r="R180" s="81"/>
      <c r="U180" s="81"/>
      <c r="Y180" s="352">
        <v>43011</v>
      </c>
      <c r="Z180" s="112">
        <v>50.92</v>
      </c>
      <c r="AA180" s="85">
        <v>0</v>
      </c>
      <c r="AD180" s="81"/>
      <c r="AE180" s="428"/>
      <c r="AF180" s="423"/>
      <c r="AK180" s="164"/>
      <c r="AU180" s="164"/>
    </row>
    <row r="181" spans="2:47" x14ac:dyDescent="0.3">
      <c r="B181" s="164"/>
      <c r="F181" s="81"/>
      <c r="I181" s="81"/>
      <c r="L181" s="81"/>
      <c r="O181" s="81"/>
      <c r="R181" s="81"/>
      <c r="U181" s="81"/>
      <c r="Y181" s="352">
        <v>43123</v>
      </c>
      <c r="Z181" s="112">
        <v>51.17</v>
      </c>
      <c r="AA181" s="85">
        <v>0</v>
      </c>
      <c r="AD181" s="81"/>
      <c r="AK181" s="164"/>
      <c r="AU181" s="164"/>
    </row>
    <row r="182" spans="2:47" x14ac:dyDescent="0.3">
      <c r="B182" s="164"/>
      <c r="F182" s="81"/>
      <c r="I182" s="81"/>
      <c r="L182" s="81"/>
      <c r="O182" s="81"/>
      <c r="R182" s="81"/>
      <c r="U182" s="81"/>
      <c r="Y182" s="352">
        <v>43558</v>
      </c>
      <c r="Z182" s="112">
        <v>51.89</v>
      </c>
      <c r="AA182" s="85">
        <v>0</v>
      </c>
      <c r="AD182" s="81"/>
      <c r="AK182" s="164"/>
      <c r="AU182" s="164"/>
    </row>
    <row r="183" spans="2:47" x14ac:dyDescent="0.3">
      <c r="B183" s="164"/>
      <c r="F183" s="81"/>
      <c r="I183" s="81"/>
      <c r="L183" s="81"/>
      <c r="O183" s="81"/>
      <c r="R183" s="81"/>
      <c r="U183" s="81"/>
      <c r="Y183" s="352">
        <v>43921</v>
      </c>
      <c r="Z183" s="112">
        <v>53.95</v>
      </c>
      <c r="AA183" s="85">
        <v>0</v>
      </c>
      <c r="AD183" s="81"/>
      <c r="AK183" s="164"/>
      <c r="AU183" s="164"/>
    </row>
    <row r="184" spans="2:47" x14ac:dyDescent="0.3">
      <c r="B184" s="164"/>
      <c r="F184" s="81"/>
      <c r="I184" s="81"/>
      <c r="L184" s="81"/>
      <c r="O184" s="81"/>
      <c r="R184" s="81"/>
      <c r="U184" s="81"/>
      <c r="Y184" s="352">
        <v>44008</v>
      </c>
      <c r="Z184" s="112">
        <v>53.42</v>
      </c>
      <c r="AA184" s="85">
        <v>0</v>
      </c>
      <c r="AD184" s="81"/>
      <c r="AK184" s="164"/>
      <c r="AU184" s="164"/>
    </row>
    <row r="185" spans="2:47" x14ac:dyDescent="0.3">
      <c r="B185" s="164"/>
      <c r="F185" s="81"/>
      <c r="I185" s="81"/>
      <c r="L185" s="81"/>
      <c r="O185" s="81"/>
      <c r="R185" s="81"/>
      <c r="U185" s="81"/>
      <c r="Y185" s="352">
        <v>43952</v>
      </c>
      <c r="Z185" s="112">
        <v>52.75</v>
      </c>
      <c r="AA185" s="85">
        <v>0</v>
      </c>
      <c r="AD185" s="81"/>
      <c r="AK185" s="164"/>
      <c r="AU185" s="164"/>
    </row>
    <row r="186" spans="2:47" x14ac:dyDescent="0.3">
      <c r="B186" s="164"/>
      <c r="F186" s="81"/>
      <c r="I186" s="81"/>
      <c r="L186" s="81"/>
      <c r="O186" s="81"/>
      <c r="R186" s="81"/>
      <c r="U186" s="81"/>
      <c r="Y186" s="352">
        <v>43964</v>
      </c>
      <c r="Z186" s="112">
        <v>52.68</v>
      </c>
      <c r="AA186" s="85">
        <v>0</v>
      </c>
      <c r="AD186" s="81"/>
      <c r="AK186" s="164"/>
      <c r="AU186" s="164"/>
    </row>
    <row r="187" spans="2:47" x14ac:dyDescent="0.3">
      <c r="B187" s="164"/>
      <c r="F187" s="81"/>
      <c r="I187" s="81"/>
      <c r="L187" s="81"/>
      <c r="O187" s="81"/>
      <c r="R187" s="81"/>
      <c r="U187" s="81"/>
      <c r="Y187" s="352">
        <v>43971</v>
      </c>
      <c r="Z187" s="112">
        <v>52.75</v>
      </c>
      <c r="AA187" s="85">
        <v>0</v>
      </c>
      <c r="AD187" s="81"/>
      <c r="AK187" s="164"/>
      <c r="AU187" s="164"/>
    </row>
    <row r="188" spans="2:47" x14ac:dyDescent="0.3">
      <c r="B188" s="164"/>
      <c r="F188" s="81"/>
      <c r="I188" s="81"/>
      <c r="L188" s="81"/>
      <c r="O188" s="81"/>
      <c r="R188" s="81"/>
      <c r="U188" s="81"/>
      <c r="Y188" s="352">
        <v>44440</v>
      </c>
      <c r="Z188" s="112">
        <v>52.87</v>
      </c>
      <c r="AA188" s="85">
        <v>0</v>
      </c>
      <c r="AD188" s="81"/>
      <c r="AK188" s="164"/>
      <c r="AU188" s="164"/>
    </row>
    <row r="189" spans="2:47" x14ac:dyDescent="0.3">
      <c r="B189" s="164"/>
      <c r="F189" s="81"/>
      <c r="I189" s="81"/>
      <c r="L189" s="81"/>
      <c r="O189" s="81"/>
      <c r="R189" s="81"/>
      <c r="U189" s="81"/>
      <c r="Y189" s="352">
        <v>44600</v>
      </c>
      <c r="Z189" s="112">
        <v>54.75</v>
      </c>
      <c r="AA189" s="85">
        <v>0</v>
      </c>
      <c r="AD189" s="81"/>
      <c r="AK189" s="164"/>
      <c r="AU189" s="164"/>
    </row>
    <row r="190" spans="2:47" x14ac:dyDescent="0.3">
      <c r="B190" s="164"/>
      <c r="F190" s="81"/>
      <c r="I190" s="81"/>
      <c r="L190" s="81"/>
      <c r="O190" s="81"/>
      <c r="R190" s="81"/>
      <c r="U190" s="81"/>
      <c r="Y190" s="352">
        <v>44785</v>
      </c>
      <c r="Z190" s="112">
        <v>54.87</v>
      </c>
      <c r="AA190" s="85">
        <v>0</v>
      </c>
      <c r="AD190" s="81"/>
      <c r="AK190" s="164"/>
      <c r="AU190" s="164"/>
    </row>
    <row r="191" spans="2:47" x14ac:dyDescent="0.3">
      <c r="B191" s="164"/>
      <c r="F191" s="81"/>
      <c r="I191" s="81"/>
      <c r="L191" s="81"/>
      <c r="O191" s="81"/>
      <c r="R191" s="81"/>
      <c r="U191" s="81"/>
      <c r="Y191" s="352">
        <v>44845</v>
      </c>
      <c r="Z191" s="112">
        <v>56.76</v>
      </c>
      <c r="AA191" s="85">
        <v>0</v>
      </c>
      <c r="AD191" s="81"/>
      <c r="AK191" s="164"/>
      <c r="AU191" s="164"/>
    </row>
    <row r="192" spans="2:47" x14ac:dyDescent="0.3">
      <c r="B192" s="164"/>
      <c r="F192" s="81"/>
      <c r="I192" s="81"/>
      <c r="L192" s="81"/>
      <c r="O192" s="81"/>
      <c r="R192" s="81"/>
      <c r="U192" s="81"/>
      <c r="Y192" s="353">
        <v>44928</v>
      </c>
      <c r="Z192" s="354">
        <v>56.87</v>
      </c>
      <c r="AA192" s="85">
        <v>1</v>
      </c>
      <c r="AD192" s="81"/>
      <c r="AK192" s="164"/>
      <c r="AU192" s="164"/>
    </row>
    <row r="193" spans="2:47" x14ac:dyDescent="0.3">
      <c r="B193" s="164"/>
      <c r="F193" s="81"/>
      <c r="I193" s="81"/>
      <c r="L193" s="81"/>
      <c r="O193" s="81"/>
      <c r="R193" s="81"/>
      <c r="U193" s="81"/>
      <c r="Y193" s="353">
        <v>45155</v>
      </c>
      <c r="Z193" s="354">
        <v>57.05</v>
      </c>
      <c r="AA193" s="85">
        <v>1</v>
      </c>
      <c r="AD193" s="81"/>
      <c r="AK193" s="164"/>
      <c r="AU193" s="164"/>
    </row>
    <row r="194" spans="2:47" x14ac:dyDescent="0.3">
      <c r="B194" s="164"/>
      <c r="F194" s="81"/>
      <c r="I194" s="81"/>
      <c r="L194" s="81"/>
      <c r="O194" s="81"/>
      <c r="R194" s="81"/>
      <c r="U194" s="81"/>
      <c r="Y194" s="356">
        <v>45281</v>
      </c>
      <c r="Z194" s="357">
        <f>_xlfn.FORECAST.LINEAR(Y194,Z188:Z193,Y188:Y193)</f>
        <v>58.471528689645282</v>
      </c>
      <c r="AA194" s="85">
        <v>0</v>
      </c>
      <c r="AD194" s="81"/>
      <c r="AK194" s="164"/>
      <c r="AU194" s="164"/>
    </row>
    <row r="195" spans="2:47" x14ac:dyDescent="0.3">
      <c r="B195" s="164"/>
      <c r="F195" s="81"/>
      <c r="I195" s="81"/>
      <c r="L195" s="81"/>
      <c r="O195" s="81"/>
      <c r="R195" s="81"/>
      <c r="U195" s="81"/>
      <c r="Y195" s="356">
        <v>45356</v>
      </c>
      <c r="Z195" s="357">
        <f>_xlfn.FORECAST.LINEAR(Y195,Z189:Z194,Y189:Y194)</f>
        <v>58.651872029725979</v>
      </c>
      <c r="AA195" s="85">
        <v>0</v>
      </c>
      <c r="AD195" s="81"/>
      <c r="AK195" s="164"/>
      <c r="AU195" s="164"/>
    </row>
    <row r="196" spans="2:47" x14ac:dyDescent="0.3">
      <c r="B196" s="164"/>
      <c r="F196" s="81"/>
      <c r="I196" s="81"/>
      <c r="L196" s="81"/>
      <c r="O196" s="81"/>
      <c r="R196" s="81"/>
      <c r="U196" s="81"/>
      <c r="Y196" s="353">
        <v>45501</v>
      </c>
      <c r="Z196" s="354">
        <v>57.5</v>
      </c>
      <c r="AA196" s="85">
        <v>1</v>
      </c>
      <c r="AD196" s="81"/>
      <c r="AK196" s="164"/>
      <c r="AU196" s="164"/>
    </row>
    <row r="197" spans="2:47" x14ac:dyDescent="0.3">
      <c r="B197" s="164"/>
      <c r="F197" s="81"/>
      <c r="I197" s="81"/>
      <c r="L197" s="81"/>
      <c r="O197" s="81"/>
      <c r="R197" s="81"/>
      <c r="U197" s="81"/>
      <c r="Y197" s="353">
        <v>45552</v>
      </c>
      <c r="Z197" s="354">
        <v>58.15</v>
      </c>
      <c r="AA197" s="85">
        <v>1</v>
      </c>
      <c r="AD197" s="81"/>
      <c r="AK197" s="164"/>
      <c r="AU197" s="164"/>
    </row>
    <row r="198" spans="2:47" x14ac:dyDescent="0.3">
      <c r="B198" s="164"/>
      <c r="F198" s="81"/>
      <c r="I198" s="81"/>
      <c r="L198" s="81"/>
      <c r="O198" s="81"/>
      <c r="R198" s="81"/>
      <c r="U198" s="81"/>
      <c r="Y198" s="355">
        <v>45595</v>
      </c>
      <c r="Z198" s="112">
        <v>58.32</v>
      </c>
      <c r="AA198" s="85">
        <v>0</v>
      </c>
      <c r="AD198" s="81"/>
      <c r="AK198" s="164"/>
      <c r="AU198" s="164"/>
    </row>
    <row r="199" spans="2:47" x14ac:dyDescent="0.3">
      <c r="B199" s="164"/>
      <c r="F199" s="81"/>
      <c r="I199" s="81"/>
      <c r="L199" s="81"/>
      <c r="O199" s="81"/>
      <c r="R199" s="81"/>
      <c r="U199" s="81"/>
      <c r="Y199" s="353">
        <v>45627</v>
      </c>
      <c r="Z199" s="124">
        <v>59.45</v>
      </c>
      <c r="AA199" s="85">
        <v>1</v>
      </c>
      <c r="AD199" s="81"/>
      <c r="AK199" s="164"/>
      <c r="AU199" s="164"/>
    </row>
    <row r="200" spans="2:47" x14ac:dyDescent="0.3">
      <c r="B200" s="164"/>
      <c r="F200" s="81"/>
      <c r="I200" s="81"/>
      <c r="L200" s="81"/>
      <c r="O200" s="81"/>
      <c r="R200" s="81"/>
      <c r="U200" s="81"/>
      <c r="Y200" s="356">
        <v>45691</v>
      </c>
      <c r="Z200" s="358">
        <v>59.12</v>
      </c>
      <c r="AA200" s="85">
        <v>0</v>
      </c>
      <c r="AD200" s="81"/>
      <c r="AK200" s="164"/>
      <c r="AU200" s="164"/>
    </row>
    <row r="201" spans="2:47" x14ac:dyDescent="0.3">
      <c r="B201" s="164"/>
      <c r="F201" s="81"/>
      <c r="I201" s="81"/>
      <c r="L201" s="81"/>
      <c r="O201" s="81"/>
      <c r="R201" s="81"/>
      <c r="U201" s="81"/>
      <c r="Y201" s="353">
        <v>45895</v>
      </c>
      <c r="Z201" s="124">
        <v>59.58</v>
      </c>
      <c r="AA201" s="85">
        <v>1</v>
      </c>
      <c r="AD201" s="81"/>
      <c r="AK201" s="164"/>
      <c r="AU201" s="164"/>
    </row>
    <row r="202" spans="2:47" x14ac:dyDescent="0.3">
      <c r="B202" s="164"/>
      <c r="F202" s="81"/>
      <c r="I202" s="81"/>
      <c r="L202" s="81"/>
      <c r="O202" s="81"/>
      <c r="R202" s="81"/>
      <c r="U202" s="81"/>
      <c r="Y202" s="356">
        <v>45972</v>
      </c>
      <c r="Z202" s="358">
        <v>59.97</v>
      </c>
      <c r="AA202" s="85">
        <v>0</v>
      </c>
      <c r="AD202" s="81"/>
      <c r="AK202" s="164"/>
      <c r="AU202" s="164"/>
    </row>
    <row r="203" spans="2:47" x14ac:dyDescent="0.3">
      <c r="Y203" s="473" t="s">
        <v>62</v>
      </c>
      <c r="Z203" s="473">
        <f>COUNT(Z3:Z202)</f>
        <v>200</v>
      </c>
      <c r="AA203" s="474">
        <f>SUM(AA3:AA202)</f>
        <v>6</v>
      </c>
    </row>
  </sheetData>
  <mergeCells count="17">
    <mergeCell ref="AT1:AV1"/>
    <mergeCell ref="AW1:AY1"/>
    <mergeCell ref="A1:C1"/>
    <mergeCell ref="D1:F1"/>
    <mergeCell ref="G1:I1"/>
    <mergeCell ref="J1:L1"/>
    <mergeCell ref="M1:O1"/>
    <mergeCell ref="P1:R1"/>
    <mergeCell ref="S1:U1"/>
    <mergeCell ref="AQ1:AS1"/>
    <mergeCell ref="V1:X1"/>
    <mergeCell ref="Y1:AA1"/>
    <mergeCell ref="AB1:AD1"/>
    <mergeCell ref="AE1:AG1"/>
    <mergeCell ref="AH1:AJ1"/>
    <mergeCell ref="AK1:AM1"/>
    <mergeCell ref="AN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36EA-D346-48FB-8365-EA8DF2B127E4}">
  <dimension ref="A1:BE16"/>
  <sheetViews>
    <sheetView tabSelected="1" topLeftCell="A7" zoomScale="70" zoomScaleNormal="70" workbookViewId="0">
      <selection activeCell="BC4" sqref="BC4"/>
    </sheetView>
  </sheetViews>
  <sheetFormatPr baseColWidth="10" defaultRowHeight="14.4" x14ac:dyDescent="0.3"/>
  <cols>
    <col min="2" max="2" width="12.77734375" style="164" customWidth="1"/>
    <col min="3" max="3" width="6.109375" customWidth="1"/>
    <col min="4" max="4" width="11.6640625" bestFit="1" customWidth="1"/>
    <col min="5" max="5" width="24.44140625" customWidth="1"/>
    <col min="6" max="6" width="5.33203125" style="81" customWidth="1"/>
    <col min="8" max="8" width="12.6640625" bestFit="1" customWidth="1"/>
    <col min="9" max="9" width="5.5546875" style="81" customWidth="1"/>
    <col min="11" max="11" width="19.33203125" customWidth="1"/>
    <col min="12" max="12" width="6.44140625" style="81" customWidth="1"/>
    <col min="13" max="13" width="13.88671875" customWidth="1"/>
    <col min="14" max="14" width="18.109375" customWidth="1"/>
    <col min="15" max="15" width="6.5546875" style="81" customWidth="1"/>
    <col min="16" max="16" width="13" bestFit="1" customWidth="1"/>
    <col min="17" max="17" width="12.21875" customWidth="1"/>
    <col min="18" max="18" width="5.77734375" style="81" customWidth="1"/>
    <col min="19" max="19" width="13.6640625" customWidth="1"/>
    <col min="20" max="20" width="20.33203125" customWidth="1"/>
    <col min="21" max="21" width="5.21875" style="81" customWidth="1"/>
    <col min="22" max="22" width="13" bestFit="1" customWidth="1"/>
    <col min="23" max="23" width="21.5546875" customWidth="1"/>
    <col min="24" max="24" width="6.21875" customWidth="1"/>
    <col min="25" max="25" width="13" bestFit="1" customWidth="1"/>
    <col min="26" max="26" width="37.77734375" customWidth="1"/>
    <col min="27" max="27" width="6.44140625" style="81" customWidth="1"/>
    <col min="28" max="28" width="12.33203125" customWidth="1"/>
    <col min="29" max="29" width="32.77734375" customWidth="1"/>
    <col min="30" max="30" width="7.44140625" customWidth="1"/>
    <col min="31" max="31" width="14.21875" customWidth="1"/>
    <col min="32" max="32" width="25.88671875" customWidth="1"/>
    <col min="33" max="33" width="8.21875" customWidth="1"/>
    <col min="35" max="35" width="20.109375" customWidth="1"/>
    <col min="36" max="36" width="8.33203125" customWidth="1"/>
    <col min="37" max="37" width="11.5546875" style="164"/>
    <col min="38" max="38" width="33.5546875" customWidth="1"/>
    <col min="39" max="39" width="10.5546875" customWidth="1"/>
    <col min="41" max="41" width="15.77734375" customWidth="1"/>
    <col min="42" max="42" width="10.5546875" customWidth="1"/>
    <col min="45" max="45" width="8.33203125" customWidth="1"/>
    <col min="47" max="47" width="11.5546875" style="164"/>
    <col min="48" max="48" width="8.44140625" customWidth="1"/>
    <col min="50" max="50" width="19.109375" customWidth="1"/>
    <col min="53" max="53" width="31.88671875" customWidth="1"/>
    <col min="55" max="55" width="17.88671875" style="81" customWidth="1"/>
    <col min="56" max="56" width="16.5546875" style="81" customWidth="1"/>
    <col min="57" max="57" width="12.88671875" customWidth="1"/>
  </cols>
  <sheetData>
    <row r="1" spans="1:57" x14ac:dyDescent="0.3">
      <c r="AZ1" s="489" t="s">
        <v>40</v>
      </c>
      <c r="BA1" s="489"/>
    </row>
    <row r="2" spans="1:57" s="471" customFormat="1" x14ac:dyDescent="0.3">
      <c r="A2" s="490" t="s">
        <v>0</v>
      </c>
      <c r="B2" s="490"/>
      <c r="D2" s="490" t="s">
        <v>4</v>
      </c>
      <c r="E2" s="490"/>
      <c r="F2" s="472"/>
      <c r="G2" s="491" t="s">
        <v>6</v>
      </c>
      <c r="H2" s="491"/>
      <c r="I2" s="472"/>
      <c r="J2" s="490" t="s">
        <v>20</v>
      </c>
      <c r="K2" s="490"/>
      <c r="L2" s="472"/>
      <c r="M2" s="490" t="s">
        <v>7</v>
      </c>
      <c r="N2" s="490"/>
      <c r="O2" s="472"/>
      <c r="P2" s="490" t="s">
        <v>21</v>
      </c>
      <c r="Q2" s="490"/>
      <c r="R2" s="472"/>
      <c r="S2" s="491" t="s">
        <v>8</v>
      </c>
      <c r="T2" s="491"/>
      <c r="U2" s="472"/>
      <c r="V2" s="490" t="s">
        <v>9</v>
      </c>
      <c r="W2" s="490"/>
      <c r="Y2" s="490" t="s">
        <v>10</v>
      </c>
      <c r="Z2" s="490"/>
      <c r="AA2" s="472"/>
      <c r="AB2" s="490" t="s">
        <v>11</v>
      </c>
      <c r="AC2" s="490"/>
      <c r="AE2" s="490" t="s">
        <v>12</v>
      </c>
      <c r="AF2" s="490"/>
      <c r="AH2" s="487" t="s">
        <v>35</v>
      </c>
      <c r="AI2" s="487"/>
      <c r="AK2" s="490" t="s">
        <v>14</v>
      </c>
      <c r="AL2" s="490"/>
      <c r="AN2" s="490" t="s">
        <v>17</v>
      </c>
      <c r="AO2" s="490"/>
      <c r="AQ2" s="490" t="s">
        <v>18</v>
      </c>
      <c r="AR2" s="490"/>
      <c r="AT2" s="490" t="s">
        <v>19</v>
      </c>
      <c r="AU2" s="490"/>
      <c r="AW2" s="490" t="s">
        <v>24</v>
      </c>
      <c r="AX2" s="490"/>
      <c r="AZ2" s="488" t="s">
        <v>15</v>
      </c>
      <c r="BA2" s="488"/>
      <c r="BC2" s="472"/>
      <c r="BD2" s="472"/>
    </row>
    <row r="3" spans="1:57" x14ac:dyDescent="0.3">
      <c r="A3" s="273">
        <v>40224</v>
      </c>
      <c r="B3" s="274">
        <v>34.450000000000003</v>
      </c>
      <c r="D3" s="286">
        <v>40254</v>
      </c>
      <c r="E3" s="287">
        <v>10.27436</v>
      </c>
      <c r="G3" s="290" t="s">
        <v>26</v>
      </c>
      <c r="H3" s="285">
        <v>8.11</v>
      </c>
      <c r="J3" s="292">
        <v>40224</v>
      </c>
      <c r="K3" s="291">
        <v>72.08</v>
      </c>
      <c r="M3" s="273">
        <v>40190</v>
      </c>
      <c r="N3" s="281">
        <v>4.59</v>
      </c>
      <c r="P3" s="293">
        <v>40190</v>
      </c>
      <c r="Q3" s="294">
        <v>4.59</v>
      </c>
      <c r="S3" s="206">
        <v>40184</v>
      </c>
      <c r="T3" s="291">
        <v>37.630000000000003</v>
      </c>
      <c r="V3" s="292">
        <v>40227</v>
      </c>
      <c r="W3" s="280">
        <v>2.89</v>
      </c>
      <c r="X3" s="277"/>
      <c r="Y3" s="296">
        <v>40214</v>
      </c>
      <c r="Z3" s="276">
        <v>43.56</v>
      </c>
      <c r="AB3" s="292">
        <v>40227</v>
      </c>
      <c r="AC3" s="280">
        <v>6.94</v>
      </c>
      <c r="AE3" s="292">
        <v>40190</v>
      </c>
      <c r="AF3" s="291">
        <v>89.7</v>
      </c>
      <c r="AH3" s="292">
        <v>40190</v>
      </c>
      <c r="AI3" s="291">
        <v>59.55</v>
      </c>
      <c r="AJ3" s="277"/>
      <c r="AK3" s="292">
        <v>40214</v>
      </c>
      <c r="AL3" s="274">
        <v>36.1</v>
      </c>
      <c r="AN3" s="300">
        <v>40214</v>
      </c>
      <c r="AO3" s="301">
        <v>61.48</v>
      </c>
      <c r="AQ3" s="273">
        <v>40190</v>
      </c>
      <c r="AR3" s="274">
        <v>11.7</v>
      </c>
      <c r="AT3" s="305">
        <v>40190</v>
      </c>
      <c r="AU3" s="306">
        <v>66.239999999999995</v>
      </c>
      <c r="AV3" s="277"/>
      <c r="AW3" s="273">
        <v>40214</v>
      </c>
      <c r="AX3" s="274">
        <v>34.17</v>
      </c>
      <c r="AZ3" s="469">
        <v>40011</v>
      </c>
      <c r="BA3" s="470">
        <v>140.38999999999999</v>
      </c>
      <c r="BC3" s="476" t="s">
        <v>63</v>
      </c>
      <c r="BD3" s="476" t="s">
        <v>64</v>
      </c>
      <c r="BE3" s="477" t="s">
        <v>65</v>
      </c>
    </row>
    <row r="4" spans="1:57" x14ac:dyDescent="0.3">
      <c r="A4" s="275">
        <v>45972</v>
      </c>
      <c r="B4" s="276">
        <v>49.13</v>
      </c>
      <c r="D4" s="288">
        <v>45941</v>
      </c>
      <c r="E4" s="289">
        <v>12.55</v>
      </c>
      <c r="G4" s="275">
        <v>45930</v>
      </c>
      <c r="H4" s="281">
        <v>7.4821722909000004</v>
      </c>
      <c r="J4" s="292">
        <v>45971</v>
      </c>
      <c r="K4" s="280">
        <v>74.4549375</v>
      </c>
      <c r="M4" s="292">
        <v>45971</v>
      </c>
      <c r="N4" s="280">
        <v>5.65</v>
      </c>
      <c r="P4" s="292">
        <v>45971</v>
      </c>
      <c r="Q4" s="281">
        <v>6.34</v>
      </c>
      <c r="S4" s="292">
        <v>45971</v>
      </c>
      <c r="T4" s="280">
        <v>51.95</v>
      </c>
      <c r="V4" s="292">
        <v>45971</v>
      </c>
      <c r="W4" s="280">
        <v>4.5599999999999996</v>
      </c>
      <c r="X4" s="277"/>
      <c r="Y4" s="296">
        <v>45972</v>
      </c>
      <c r="Z4" s="280">
        <v>59.97</v>
      </c>
      <c r="AB4" s="297">
        <v>46011</v>
      </c>
      <c r="AC4" s="280">
        <v>9.14</v>
      </c>
      <c r="AE4" s="298">
        <v>45948</v>
      </c>
      <c r="AF4" s="280">
        <v>115.37</v>
      </c>
      <c r="AH4" s="299">
        <v>45978</v>
      </c>
      <c r="AI4" s="285">
        <v>70.150000000000006</v>
      </c>
      <c r="AJ4" s="277"/>
      <c r="AK4" s="297">
        <v>45972</v>
      </c>
      <c r="AL4" s="291">
        <v>43.72</v>
      </c>
      <c r="AN4" s="302">
        <v>45941</v>
      </c>
      <c r="AO4" s="280">
        <v>86.08</v>
      </c>
      <c r="AQ4" s="304">
        <v>42733</v>
      </c>
      <c r="AR4" s="280">
        <v>14.96</v>
      </c>
      <c r="AT4" s="300">
        <v>45916</v>
      </c>
      <c r="AU4" s="285">
        <v>89.76</v>
      </c>
      <c r="AV4" s="277"/>
      <c r="AW4" s="275">
        <v>45972</v>
      </c>
      <c r="AX4" s="276">
        <v>45.94</v>
      </c>
      <c r="AZ4" s="311">
        <v>41683</v>
      </c>
      <c r="BA4" s="312">
        <v>137.19999999999999</v>
      </c>
      <c r="BC4" s="475">
        <f>B3+E3+H3+K3+N3+Q3+T3+W3+Z3+AC3+AF3+AI3+AL3+AO3+AR3+AU3+AX3</f>
        <v>584.05435999999997</v>
      </c>
      <c r="BD4" s="479">
        <f>BC5-BC4</f>
        <v>163.1527497909002</v>
      </c>
      <c r="BE4" s="479">
        <f>BD4/(17*15)</f>
        <v>0.63981470506235372</v>
      </c>
    </row>
    <row r="5" spans="1:57" x14ac:dyDescent="0.3">
      <c r="A5" s="277"/>
      <c r="B5" s="278"/>
      <c r="V5" s="277"/>
      <c r="W5" s="277"/>
      <c r="X5" s="277"/>
      <c r="Y5" s="277"/>
      <c r="Z5" s="277"/>
      <c r="AB5" s="277"/>
      <c r="AC5" s="277"/>
      <c r="AE5" s="277"/>
      <c r="AF5" s="277"/>
      <c r="AI5" s="277"/>
      <c r="AK5"/>
      <c r="AN5" s="277"/>
      <c r="AO5" s="277"/>
      <c r="AQ5" s="277"/>
      <c r="AR5" s="277"/>
      <c r="AT5" s="277"/>
      <c r="AU5" s="277"/>
      <c r="AV5" s="277"/>
      <c r="AW5" s="277"/>
      <c r="AX5" s="277"/>
      <c r="AZ5" s="313"/>
      <c r="BA5" s="313"/>
      <c r="BC5" s="475">
        <f>B4+E4+H4+K4+N4+Q4+T4+W4+Z4+AC4+AF4+AI4+AL4+AO4+AR4+AU4+AX4</f>
        <v>747.20710979090018</v>
      </c>
      <c r="BD5" s="480"/>
      <c r="BE5" s="479"/>
    </row>
    <row r="6" spans="1:57" x14ac:dyDescent="0.3">
      <c r="A6" s="279" t="s">
        <v>31</v>
      </c>
      <c r="B6" s="285">
        <f>B4-B3</f>
        <v>14.68</v>
      </c>
      <c r="D6" s="279" t="s">
        <v>31</v>
      </c>
      <c r="E6" s="285">
        <f>E4-E3</f>
        <v>2.275640000000001</v>
      </c>
      <c r="G6" s="279" t="s">
        <v>31</v>
      </c>
      <c r="H6" s="283">
        <f>H4-H3</f>
        <v>-0.62782770909999908</v>
      </c>
      <c r="J6" s="279" t="s">
        <v>31</v>
      </c>
      <c r="K6" s="284">
        <f>K4-K3</f>
        <v>2.3749375000000015</v>
      </c>
      <c r="M6" s="279" t="s">
        <v>31</v>
      </c>
      <c r="N6" s="295">
        <f>N4-N3</f>
        <v>1.0600000000000005</v>
      </c>
      <c r="P6" s="279" t="s">
        <v>31</v>
      </c>
      <c r="Q6" s="295">
        <f>Q4-Q3</f>
        <v>1.75</v>
      </c>
      <c r="S6" s="279" t="s">
        <v>31</v>
      </c>
      <c r="T6" s="295">
        <f>T4-T3</f>
        <v>14.32</v>
      </c>
      <c r="V6" s="279" t="s">
        <v>31</v>
      </c>
      <c r="W6" s="295">
        <f>W4-W3</f>
        <v>1.6699999999999995</v>
      </c>
      <c r="X6" s="277"/>
      <c r="Y6" s="279" t="s">
        <v>31</v>
      </c>
      <c r="Z6" s="295">
        <f>Z4-Z3</f>
        <v>16.409999999999997</v>
      </c>
      <c r="AB6" s="279" t="s">
        <v>31</v>
      </c>
      <c r="AC6" s="284">
        <f>AC4-AC3</f>
        <v>2.2000000000000002</v>
      </c>
      <c r="AE6" s="279" t="s">
        <v>31</v>
      </c>
      <c r="AF6" s="295">
        <f>AF4-AF3</f>
        <v>25.67</v>
      </c>
      <c r="AH6" s="279" t="s">
        <v>31</v>
      </c>
      <c r="AI6" s="295">
        <f>AI4-AI3</f>
        <v>10.600000000000009</v>
      </c>
      <c r="AK6" s="279" t="s">
        <v>31</v>
      </c>
      <c r="AL6" s="295">
        <f>AL4-AL3</f>
        <v>7.6199999999999974</v>
      </c>
      <c r="AN6" s="279" t="s">
        <v>31</v>
      </c>
      <c r="AO6" s="303">
        <f>AO4-AO3</f>
        <v>24.6</v>
      </c>
      <c r="AQ6" s="279" t="s">
        <v>31</v>
      </c>
      <c r="AR6" s="303">
        <f>AR4-AR3</f>
        <v>3.2600000000000016</v>
      </c>
      <c r="AT6" s="279" t="s">
        <v>31</v>
      </c>
      <c r="AU6" s="303">
        <f>AU4-AU3</f>
        <v>23.52000000000001</v>
      </c>
      <c r="AV6" s="277"/>
      <c r="AW6" s="279" t="s">
        <v>31</v>
      </c>
      <c r="AX6" s="303">
        <f>AX4-AX3</f>
        <v>11.769999999999996</v>
      </c>
      <c r="AZ6" s="314" t="s">
        <v>31</v>
      </c>
      <c r="BA6" s="315">
        <f>BA3-BA4</f>
        <v>3.1899999999999977</v>
      </c>
    </row>
    <row r="7" spans="1:57" x14ac:dyDescent="0.3">
      <c r="A7" s="279" t="s">
        <v>32</v>
      </c>
      <c r="B7" s="280">
        <f>'Niveles Imputados'!B37-'Niveles Imputados'!B3</f>
        <v>4.7199999999999989</v>
      </c>
      <c r="D7" s="279" t="s">
        <v>32</v>
      </c>
      <c r="E7" s="282">
        <f>'Niveles Imputados'!E24-'Niveles Imputados'!E3</f>
        <v>0.37397333333333549</v>
      </c>
      <c r="G7" s="279" t="s">
        <v>32</v>
      </c>
      <c r="H7" s="282">
        <f>'Niveles Imputados'!H19-'Niveles Imputados'!H3</f>
        <v>2.8800000000000008</v>
      </c>
      <c r="J7" s="279" t="s">
        <v>32</v>
      </c>
      <c r="K7" s="282">
        <f>'Niveles Imputados'!K47-'Niveles Imputados'!K3</f>
        <v>2.4099999999999966</v>
      </c>
      <c r="M7" s="279" t="s">
        <v>32</v>
      </c>
      <c r="N7" s="282">
        <f>'Niveles Imputados'!N108-'Niveles Imputados'!N82</f>
        <v>0.77000000000000046</v>
      </c>
      <c r="P7" s="279" t="s">
        <v>32</v>
      </c>
      <c r="Q7" s="282">
        <f>'Niveles Imputados'!Q108-'Niveles Imputados'!Q82</f>
        <v>0.79</v>
      </c>
      <c r="S7" s="279" t="s">
        <v>32</v>
      </c>
      <c r="T7" s="282">
        <f>'Niveles Imputados'!T89-'Niveles Imputados'!T58</f>
        <v>5.2149999999999963</v>
      </c>
      <c r="V7" s="279" t="s">
        <v>32</v>
      </c>
      <c r="W7" s="282">
        <f>'Niveles Imputados'!W89-'Niveles Imputados'!W59</f>
        <v>0.36999999999999966</v>
      </c>
      <c r="Y7" s="279" t="s">
        <v>32</v>
      </c>
      <c r="Z7" s="282">
        <f>'Niveles Imputados'!Z168-'Niveles Imputados'!Z119</f>
        <v>4.8699999999999974</v>
      </c>
      <c r="AB7" s="279" t="s">
        <v>32</v>
      </c>
      <c r="AC7" s="282">
        <f>'Niveles Imputados'!AC96-'Niveles Imputados'!AC77</f>
        <v>0.15999999999999925</v>
      </c>
      <c r="AE7" s="279" t="s">
        <v>32</v>
      </c>
      <c r="AF7" s="282">
        <f>'Niveles Imputados'!AF64-'Niveles Imputados'!AF3</f>
        <v>7.3999999999999915</v>
      </c>
      <c r="AH7" s="279" t="s">
        <v>32</v>
      </c>
      <c r="AI7" s="282">
        <f>'Niveles Imputados'!AI121-'Niveles Imputados'!AI3</f>
        <v>0.57000000000000028</v>
      </c>
      <c r="AK7" s="279" t="s">
        <v>32</v>
      </c>
      <c r="AL7" s="282">
        <f>'Niveles Imputados'!AL54-'Niveles Imputados'!AL3</f>
        <v>2.4399999999999977</v>
      </c>
      <c r="AN7" s="279" t="s">
        <v>32</v>
      </c>
      <c r="AO7" s="282">
        <f>'Niveles Imputados'!AO52-'Niveles Imputados'!AO3</f>
        <v>7.9500000000000099</v>
      </c>
      <c r="AQ7" s="279" t="s">
        <v>32</v>
      </c>
      <c r="AR7" s="282">
        <f>'Niveles Imputados'!AR22-'Niveles Imputados'!AR3</f>
        <v>1.3200000000000003</v>
      </c>
      <c r="AT7" s="279" t="s">
        <v>32</v>
      </c>
      <c r="AU7" s="282">
        <f>'Niveles Imputados'!AU48-'Niveles Imputados'!AU3</f>
        <v>8.1600000000000108</v>
      </c>
      <c r="AV7" s="277"/>
      <c r="AW7" s="279" t="s">
        <v>32</v>
      </c>
      <c r="AX7" s="282">
        <f>'Niveles Imputados'!AX49-'Niveles Imputados'!AX3</f>
        <v>3.5399999999999991</v>
      </c>
      <c r="AZ7" s="314" t="s">
        <v>32</v>
      </c>
      <c r="BA7" s="315">
        <v>3.19</v>
      </c>
      <c r="BC7" s="481" t="s">
        <v>66</v>
      </c>
      <c r="BD7" s="482"/>
    </row>
    <row r="8" spans="1:57" x14ac:dyDescent="0.3">
      <c r="A8" s="279" t="s">
        <v>33</v>
      </c>
      <c r="B8" s="281">
        <f>'Niveles Imputados'!B55-'Niveles Imputados'!B38</f>
        <v>4.1275234145936466</v>
      </c>
      <c r="D8" s="279" t="s">
        <v>33</v>
      </c>
      <c r="E8" s="102">
        <f>'Niveles Imputados'!E43-'Niveles Imputados'!E25</f>
        <v>-0.78000000000000114</v>
      </c>
      <c r="G8" s="279" t="s">
        <v>33</v>
      </c>
      <c r="H8" s="102">
        <f>'Niveles Imputados'!H39-'Niveles Imputados'!H20</f>
        <v>-7.3672217961000053</v>
      </c>
      <c r="J8" s="279" t="s">
        <v>33</v>
      </c>
      <c r="K8" s="281">
        <f>'Niveles Imputados'!K63-'Niveles Imputados'!K48</f>
        <v>8.3000000000000114</v>
      </c>
      <c r="M8" s="279" t="s">
        <v>33</v>
      </c>
      <c r="N8" s="102">
        <f>'Niveles Imputados'!N119-'Niveles Imputados'!N109</f>
        <v>-0.26000000000000068</v>
      </c>
      <c r="P8" s="279" t="s">
        <v>33</v>
      </c>
      <c r="Q8" s="102">
        <f>'Niveles Imputados'!Q119-'Niveles Imputados'!Q109</f>
        <v>-1.04</v>
      </c>
      <c r="S8" s="279" t="s">
        <v>33</v>
      </c>
      <c r="T8" s="281">
        <f>'Niveles Imputados'!T99-'Niveles Imputados'!T90</f>
        <v>3.3000000000000043</v>
      </c>
      <c r="V8" s="279" t="s">
        <v>33</v>
      </c>
      <c r="W8" s="102">
        <f>'Niveles Imputados'!W104-'Niveles Imputados'!W90</f>
        <v>-0.13999999999999968</v>
      </c>
      <c r="Y8" s="279" t="s">
        <v>33</v>
      </c>
      <c r="Z8" s="281">
        <f>'Niveles Imputados'!Z187-'Niveles Imputados'!Z169</f>
        <v>4.1199999999999974</v>
      </c>
      <c r="AB8" s="279" t="s">
        <v>33</v>
      </c>
      <c r="AC8" s="281">
        <f>'Niveles Imputados'!AC105-'Niveles Imputados'!AC97</f>
        <v>0.67999999999999972</v>
      </c>
      <c r="AE8" s="279" t="s">
        <v>33</v>
      </c>
      <c r="AF8" s="281">
        <f>'Niveles Imputados'!AF90-'Niveles Imputados'!AF65</f>
        <v>9.7099999999999937</v>
      </c>
      <c r="AH8" s="279" t="s">
        <v>33</v>
      </c>
      <c r="AI8" s="281">
        <f>'Niveles Imputados'!AI142-'Niveles Imputados'!AI122</f>
        <v>4.32</v>
      </c>
      <c r="AK8" s="279" t="s">
        <v>33</v>
      </c>
      <c r="AL8" s="281">
        <f>'Niveles Imputados'!AL72-'Niveles Imputados'!AL55</f>
        <v>2.6599999999999966</v>
      </c>
      <c r="AN8" s="279" t="s">
        <v>33</v>
      </c>
      <c r="AO8" s="281">
        <f>'Niveles Imputados'!AO75-'Niveles Imputados'!AO53</f>
        <v>8.3100000000000023</v>
      </c>
      <c r="AQ8" s="279" t="s">
        <v>33</v>
      </c>
      <c r="AR8" s="281">
        <f>'Niveles Imputados'!AR25-'Niveles Imputados'!AR23</f>
        <v>1.5700000000000003</v>
      </c>
      <c r="AT8" s="279" t="s">
        <v>33</v>
      </c>
      <c r="AU8" s="281">
        <f>'Niveles Imputados'!AU62-'Niveles Imputados'!AU49</f>
        <v>5.6400000000000006</v>
      </c>
      <c r="AV8" s="277"/>
      <c r="AW8" s="279" t="s">
        <v>33</v>
      </c>
      <c r="AX8" s="281">
        <f>'Niveles Imputados'!AX65-'Niveles Imputados'!AX50</f>
        <v>4.980000000000004</v>
      </c>
      <c r="AZ8" s="314" t="s">
        <v>33</v>
      </c>
      <c r="BA8" s="316">
        <f>'Niveles Imputados'!BA72-'Niveles Imputados'!BA55</f>
        <v>0</v>
      </c>
      <c r="BC8" s="478" t="s">
        <v>37</v>
      </c>
      <c r="BD8" s="357">
        <f>B12+E12+H12+K12+N12+Q12+T12+W12+Z12+AC12+AF12+AI12+AL12+AO12+AR12+AU12+AX12</f>
        <v>10.787794666666667</v>
      </c>
    </row>
    <row r="9" spans="1:57" x14ac:dyDescent="0.3">
      <c r="A9" s="279" t="s">
        <v>34</v>
      </c>
      <c r="B9" s="281">
        <f>'Niveles Imputados'!B73-'Niveles Imputados'!B56</f>
        <v>5.0055193998227452</v>
      </c>
      <c r="D9" s="279" t="s">
        <v>34</v>
      </c>
      <c r="E9" s="281">
        <f>'Niveles Imputados'!E56-'Niveles Imputados'!E44</f>
        <v>2.7300000000000004</v>
      </c>
      <c r="G9" s="279" t="s">
        <v>34</v>
      </c>
      <c r="H9" s="281">
        <f>'Niveles Imputados'!H50-'Niveles Imputados'!H40</f>
        <v>1.8864564061000095</v>
      </c>
      <c r="J9" s="279" t="s">
        <v>34</v>
      </c>
      <c r="K9" s="102">
        <f>'Niveles Imputados'!K74-'Niveles Imputados'!K64</f>
        <v>-9.3750624999999985</v>
      </c>
      <c r="M9" s="279" t="s">
        <v>34</v>
      </c>
      <c r="N9" s="281">
        <f>'Niveles Imputados'!N129-'Niveles Imputados'!N120</f>
        <v>0.1800000000000006</v>
      </c>
      <c r="P9" s="279" t="s">
        <v>34</v>
      </c>
      <c r="Q9" s="281">
        <f>'Niveles Imputados'!Q129-'Niveles Imputados'!Q120</f>
        <v>1.8999999999999995</v>
      </c>
      <c r="S9" s="279" t="s">
        <v>34</v>
      </c>
      <c r="T9" s="281">
        <f>'Niveles Imputados'!T109-'Niveles Imputados'!T100</f>
        <v>4.9500000000000028</v>
      </c>
      <c r="V9" s="279" t="s">
        <v>34</v>
      </c>
      <c r="W9" s="281">
        <f>'Niveles Imputados'!W114-'Niveles Imputados'!W105</f>
        <v>1.2199999999999998</v>
      </c>
      <c r="Y9" s="279" t="s">
        <v>34</v>
      </c>
      <c r="Z9" s="281">
        <f>'Niveles Imputados'!Z202-'Niveles Imputados'!Z188</f>
        <v>7.1000000000000014</v>
      </c>
      <c r="AB9" s="279" t="s">
        <v>34</v>
      </c>
      <c r="AC9" s="281">
        <f>'Niveles Imputados'!AC116-'Niveles Imputados'!AC106</f>
        <v>2.2500000000000009</v>
      </c>
      <c r="AE9" s="279" t="s">
        <v>34</v>
      </c>
      <c r="AF9" s="281">
        <f>'Niveles Imputados'!AF109-'Niveles Imputados'!AF91</f>
        <v>8.0500000000000114</v>
      </c>
      <c r="AH9" s="279" t="s">
        <v>34</v>
      </c>
      <c r="AI9" s="281">
        <f>'Niveles Imputados'!AI156-'Niveles Imputados'!AI143</f>
        <v>5.3500000000000085</v>
      </c>
      <c r="AK9" s="279" t="s">
        <v>34</v>
      </c>
      <c r="AL9" s="281">
        <f>'Niveles Imputados'!AL86-'Niveles Imputados'!AL73</f>
        <v>1.8500000000000014</v>
      </c>
      <c r="AN9" s="279" t="s">
        <v>34</v>
      </c>
      <c r="AO9" s="281">
        <f>'Niveles Imputados'!AO87-'Niveles Imputados'!AO76</f>
        <v>6.9299999999999926</v>
      </c>
      <c r="AQ9" s="279" t="s">
        <v>34</v>
      </c>
      <c r="AR9" s="281">
        <f>'Niveles Imputados'!AR87-'Niveles Imputados'!AR76</f>
        <v>0</v>
      </c>
      <c r="AT9" s="279" t="s">
        <v>34</v>
      </c>
      <c r="AU9" s="281">
        <f>'Niveles Imputados'!AU73-'Niveles Imputados'!AU63</f>
        <v>8.2000000000000028</v>
      </c>
      <c r="AV9" s="277"/>
      <c r="AW9" s="279" t="s">
        <v>34</v>
      </c>
      <c r="AX9" s="281">
        <f>'Niveles Imputados'!AX77-'Niveles Imputados'!AX66</f>
        <v>2.7299999999999969</v>
      </c>
      <c r="AZ9" s="314" t="s">
        <v>34</v>
      </c>
      <c r="BA9" s="316">
        <f>'Niveles Imputados'!BA86-'Niveles Imputados'!BA73</f>
        <v>0</v>
      </c>
      <c r="BC9" s="478" t="s">
        <v>38</v>
      </c>
      <c r="BD9" s="357">
        <f t="shared" ref="BD9:BD10" si="0">B13+E13+H13+K13+N13+Q13+T13+W13+Z13+AC13+AF13+AI13+AL13+AO13+AR13+AU13+AX13</f>
        <v>9.626060323698729</v>
      </c>
    </row>
    <row r="10" spans="1:57" x14ac:dyDescent="0.3">
      <c r="AU10"/>
      <c r="AZ10" s="310"/>
      <c r="BA10" s="313"/>
      <c r="BC10" s="478" t="s">
        <v>39</v>
      </c>
      <c r="BD10" s="357">
        <f t="shared" si="0"/>
        <v>10.191382661184555</v>
      </c>
    </row>
    <row r="11" spans="1:57" x14ac:dyDescent="0.3">
      <c r="A11" s="483" t="s">
        <v>36</v>
      </c>
      <c r="B11" s="484"/>
      <c r="D11" s="483" t="s">
        <v>36</v>
      </c>
      <c r="E11" s="484"/>
      <c r="G11" s="483" t="s">
        <v>36</v>
      </c>
      <c r="H11" s="484"/>
      <c r="J11" s="483" t="s">
        <v>36</v>
      </c>
      <c r="K11" s="484"/>
      <c r="M11" s="483" t="s">
        <v>36</v>
      </c>
      <c r="N11" s="484"/>
      <c r="P11" s="483" t="s">
        <v>36</v>
      </c>
      <c r="Q11" s="484"/>
      <c r="S11" s="483" t="s">
        <v>36</v>
      </c>
      <c r="T11" s="484"/>
      <c r="V11" s="483" t="s">
        <v>36</v>
      </c>
      <c r="W11" s="484"/>
      <c r="Y11" s="483" t="s">
        <v>36</v>
      </c>
      <c r="Z11" s="484"/>
      <c r="AB11" s="483" t="s">
        <v>36</v>
      </c>
      <c r="AC11" s="484"/>
      <c r="AE11" s="483" t="s">
        <v>36</v>
      </c>
      <c r="AF11" s="484"/>
      <c r="AH11" s="483" t="s">
        <v>36</v>
      </c>
      <c r="AI11" s="484"/>
      <c r="AK11" s="483" t="s">
        <v>36</v>
      </c>
      <c r="AL11" s="484"/>
      <c r="AN11" s="483" t="s">
        <v>36</v>
      </c>
      <c r="AO11" s="484"/>
      <c r="AQ11" s="483" t="s">
        <v>36</v>
      </c>
      <c r="AR11" s="484"/>
      <c r="AT11" s="483" t="s">
        <v>36</v>
      </c>
      <c r="AU11" s="484"/>
      <c r="AW11" s="483" t="s">
        <v>36</v>
      </c>
      <c r="AX11" s="484"/>
      <c r="AZ11" s="314" t="s">
        <v>36</v>
      </c>
      <c r="BA11" s="317"/>
    </row>
    <row r="12" spans="1:57" x14ac:dyDescent="0.3">
      <c r="A12" s="279" t="s">
        <v>37</v>
      </c>
      <c r="B12" s="85">
        <f>B7/5</f>
        <v>0.94399999999999973</v>
      </c>
      <c r="D12" s="279" t="s">
        <v>37</v>
      </c>
      <c r="E12" s="85">
        <f>E7/5</f>
        <v>7.4794666666667092E-2</v>
      </c>
      <c r="G12" s="279" t="s">
        <v>37</v>
      </c>
      <c r="H12" s="85">
        <f>H7/5</f>
        <v>0.57600000000000018</v>
      </c>
      <c r="J12" s="279" t="s">
        <v>37</v>
      </c>
      <c r="K12" s="85">
        <f>K7/5</f>
        <v>0.48199999999999932</v>
      </c>
      <c r="M12" s="279" t="s">
        <v>37</v>
      </c>
      <c r="N12" s="85">
        <f>N7/5</f>
        <v>0.15400000000000008</v>
      </c>
      <c r="P12" s="279" t="s">
        <v>37</v>
      </c>
      <c r="Q12" s="85">
        <f>Q7/5</f>
        <v>0.158</v>
      </c>
      <c r="S12" s="279" t="s">
        <v>37</v>
      </c>
      <c r="T12" s="85">
        <f>T7/5</f>
        <v>1.0429999999999993</v>
      </c>
      <c r="V12" s="279" t="s">
        <v>37</v>
      </c>
      <c r="W12" s="85">
        <f>W7/5</f>
        <v>7.3999999999999927E-2</v>
      </c>
      <c r="Y12" s="279" t="s">
        <v>37</v>
      </c>
      <c r="Z12" s="85">
        <f>Z7/5</f>
        <v>0.97399999999999953</v>
      </c>
      <c r="AB12" s="279" t="s">
        <v>37</v>
      </c>
      <c r="AC12" s="85">
        <f>AC7/5</f>
        <v>3.1999999999999848E-2</v>
      </c>
      <c r="AE12" s="279" t="s">
        <v>37</v>
      </c>
      <c r="AF12" s="85">
        <f>AF7/5</f>
        <v>1.4799999999999982</v>
      </c>
      <c r="AH12" s="279" t="s">
        <v>37</v>
      </c>
      <c r="AI12" s="85">
        <f>AI7/5</f>
        <v>0.11400000000000006</v>
      </c>
      <c r="AK12" s="279" t="s">
        <v>37</v>
      </c>
      <c r="AL12" s="85">
        <f>AL7/5</f>
        <v>0.48799999999999955</v>
      </c>
      <c r="AN12" s="279" t="s">
        <v>37</v>
      </c>
      <c r="AO12" s="85">
        <f>AO7/5</f>
        <v>1.5900000000000021</v>
      </c>
      <c r="AQ12" s="279" t="s">
        <v>37</v>
      </c>
      <c r="AR12" s="85">
        <f>AR7/5</f>
        <v>0.26400000000000007</v>
      </c>
      <c r="AT12" s="279" t="s">
        <v>37</v>
      </c>
      <c r="AU12" s="85">
        <f>AU7/5</f>
        <v>1.6320000000000021</v>
      </c>
      <c r="AW12" s="279" t="s">
        <v>37</v>
      </c>
      <c r="AX12" s="85">
        <f>AX7/5</f>
        <v>0.70799999999999985</v>
      </c>
      <c r="AZ12" s="314" t="s">
        <v>37</v>
      </c>
      <c r="BA12" s="318">
        <f>BA6/5</f>
        <v>0.63799999999999957</v>
      </c>
    </row>
    <row r="13" spans="1:57" x14ac:dyDescent="0.3">
      <c r="A13" s="279" t="s">
        <v>38</v>
      </c>
      <c r="B13" s="85">
        <f t="shared" ref="B13:B14" si="1">B8/5</f>
        <v>0.82550468291872936</v>
      </c>
      <c r="D13" s="279" t="s">
        <v>38</v>
      </c>
      <c r="E13" s="85">
        <f t="shared" ref="E13:E14" si="2">E8/5</f>
        <v>-0.15600000000000022</v>
      </c>
      <c r="G13" s="279" t="s">
        <v>38</v>
      </c>
      <c r="H13" s="85">
        <f t="shared" ref="H13:H14" si="3">H8/5</f>
        <v>-1.4734443592200011</v>
      </c>
      <c r="J13" s="279" t="s">
        <v>38</v>
      </c>
      <c r="K13" s="85">
        <f t="shared" ref="K13:K14" si="4">K8/5</f>
        <v>1.6600000000000024</v>
      </c>
      <c r="M13" s="279" t="s">
        <v>38</v>
      </c>
      <c r="N13" s="85">
        <f t="shared" ref="N13:N14" si="5">N8/5</f>
        <v>-5.2000000000000136E-2</v>
      </c>
      <c r="P13" s="279" t="s">
        <v>38</v>
      </c>
      <c r="Q13" s="85">
        <f t="shared" ref="Q13:Q14" si="6">Q8/5</f>
        <v>-0.20800000000000002</v>
      </c>
      <c r="S13" s="279" t="s">
        <v>38</v>
      </c>
      <c r="T13" s="85">
        <f t="shared" ref="T13:T14" si="7">T8/5</f>
        <v>0.66000000000000081</v>
      </c>
      <c r="V13" s="279" t="s">
        <v>38</v>
      </c>
      <c r="W13" s="85">
        <f t="shared" ref="W13:W14" si="8">W8/5</f>
        <v>-2.7999999999999935E-2</v>
      </c>
      <c r="Y13" s="279" t="s">
        <v>38</v>
      </c>
      <c r="Z13" s="85">
        <f t="shared" ref="Z13:Z14" si="9">Z8/5</f>
        <v>0.82399999999999951</v>
      </c>
      <c r="AB13" s="279" t="s">
        <v>38</v>
      </c>
      <c r="AC13" s="85">
        <f t="shared" ref="AC13:AC14" si="10">AC8/5</f>
        <v>0.13599999999999995</v>
      </c>
      <c r="AE13" s="279" t="s">
        <v>38</v>
      </c>
      <c r="AF13" s="85">
        <f t="shared" ref="AF13:AF14" si="11">AF8/5</f>
        <v>1.9419999999999988</v>
      </c>
      <c r="AH13" s="279" t="s">
        <v>38</v>
      </c>
      <c r="AI13" s="85">
        <f t="shared" ref="AI13:AI14" si="12">AI8/5</f>
        <v>0.8640000000000001</v>
      </c>
      <c r="AK13" s="279" t="s">
        <v>38</v>
      </c>
      <c r="AL13" s="85">
        <f t="shared" ref="AL13:AL14" si="13">AL8/5</f>
        <v>0.53199999999999936</v>
      </c>
      <c r="AN13" s="279" t="s">
        <v>38</v>
      </c>
      <c r="AO13" s="85">
        <f t="shared" ref="AO13:AO14" si="14">AO8/5</f>
        <v>1.6620000000000004</v>
      </c>
      <c r="AQ13" s="279" t="s">
        <v>38</v>
      </c>
      <c r="AR13" s="85">
        <f t="shared" ref="AR13:AR14" si="15">AR8/5</f>
        <v>0.31400000000000006</v>
      </c>
      <c r="AT13" s="279" t="s">
        <v>38</v>
      </c>
      <c r="AU13" s="85">
        <f t="shared" ref="AU13:AU14" si="16">AU8/5</f>
        <v>1.1280000000000001</v>
      </c>
      <c r="AW13" s="279" t="s">
        <v>38</v>
      </c>
      <c r="AX13" s="85">
        <f t="shared" ref="AX13:AX14" si="17">AX8/5</f>
        <v>0.99600000000000077</v>
      </c>
      <c r="AZ13" s="314" t="s">
        <v>38</v>
      </c>
      <c r="BA13" s="318">
        <f t="shared" ref="BA13:BA14" si="18">BA8/5</f>
        <v>0</v>
      </c>
    </row>
    <row r="14" spans="1:57" x14ac:dyDescent="0.3">
      <c r="A14" s="279" t="s">
        <v>39</v>
      </c>
      <c r="B14" s="85">
        <f t="shared" si="1"/>
        <v>1.0011038799645491</v>
      </c>
      <c r="D14" s="279" t="s">
        <v>39</v>
      </c>
      <c r="E14" s="85">
        <f t="shared" si="2"/>
        <v>0.54600000000000004</v>
      </c>
      <c r="G14" s="279" t="s">
        <v>39</v>
      </c>
      <c r="H14" s="85">
        <f t="shared" si="3"/>
        <v>0.37729128122000188</v>
      </c>
      <c r="J14" s="279" t="s">
        <v>39</v>
      </c>
      <c r="K14" s="85">
        <f t="shared" si="4"/>
        <v>-1.8750124999999997</v>
      </c>
      <c r="M14" s="279" t="s">
        <v>39</v>
      </c>
      <c r="N14" s="85">
        <f t="shared" si="5"/>
        <v>3.6000000000000122E-2</v>
      </c>
      <c r="P14" s="279" t="s">
        <v>39</v>
      </c>
      <c r="Q14" s="85">
        <f t="shared" si="6"/>
        <v>0.37999999999999989</v>
      </c>
      <c r="S14" s="279" t="s">
        <v>39</v>
      </c>
      <c r="T14" s="85">
        <f t="shared" si="7"/>
        <v>0.99000000000000055</v>
      </c>
      <c r="V14" s="279" t="s">
        <v>39</v>
      </c>
      <c r="W14" s="85">
        <f t="shared" si="8"/>
        <v>0.24399999999999994</v>
      </c>
      <c r="Y14" s="279" t="s">
        <v>39</v>
      </c>
      <c r="Z14" s="85">
        <f t="shared" si="9"/>
        <v>1.4200000000000004</v>
      </c>
      <c r="AB14" s="279" t="s">
        <v>39</v>
      </c>
      <c r="AC14" s="85">
        <f t="shared" si="10"/>
        <v>0.45000000000000018</v>
      </c>
      <c r="AE14" s="279" t="s">
        <v>39</v>
      </c>
      <c r="AF14" s="85">
        <f t="shared" si="11"/>
        <v>1.6100000000000023</v>
      </c>
      <c r="AH14" s="279" t="s">
        <v>39</v>
      </c>
      <c r="AI14" s="85">
        <f t="shared" si="12"/>
        <v>1.0700000000000016</v>
      </c>
      <c r="AK14" s="279" t="s">
        <v>39</v>
      </c>
      <c r="AL14" s="85">
        <f t="shared" si="13"/>
        <v>0.37000000000000027</v>
      </c>
      <c r="AN14" s="279" t="s">
        <v>39</v>
      </c>
      <c r="AO14" s="85">
        <f t="shared" si="14"/>
        <v>1.3859999999999986</v>
      </c>
      <c r="AQ14" s="279" t="s">
        <v>39</v>
      </c>
      <c r="AR14" s="85">
        <f t="shared" si="15"/>
        <v>0</v>
      </c>
      <c r="AT14" s="279" t="s">
        <v>39</v>
      </c>
      <c r="AU14" s="85">
        <f t="shared" si="16"/>
        <v>1.6400000000000006</v>
      </c>
      <c r="AW14" s="279" t="s">
        <v>39</v>
      </c>
      <c r="AX14" s="85">
        <f t="shared" si="17"/>
        <v>0.54599999999999937</v>
      </c>
      <c r="AZ14" s="314" t="s">
        <v>39</v>
      </c>
      <c r="BA14" s="318">
        <f t="shared" si="18"/>
        <v>0</v>
      </c>
    </row>
    <row r="16" spans="1:57" x14ac:dyDescent="0.3">
      <c r="D16" s="485" t="s">
        <v>61</v>
      </c>
      <c r="E16" s="486"/>
      <c r="F16" s="486"/>
      <c r="G16" s="486"/>
      <c r="H16" s="486"/>
      <c r="I16" s="486"/>
      <c r="J16" s="486"/>
      <c r="K16" s="486"/>
      <c r="L16" s="486"/>
      <c r="M16" s="486"/>
      <c r="N16" s="486"/>
    </row>
  </sheetData>
  <mergeCells count="40">
    <mergeCell ref="AE2:AF2"/>
    <mergeCell ref="A2:B2"/>
    <mergeCell ref="D2:E2"/>
    <mergeCell ref="G2:H2"/>
    <mergeCell ref="J2:K2"/>
    <mergeCell ref="M2:N2"/>
    <mergeCell ref="P2:Q2"/>
    <mergeCell ref="S2:T2"/>
    <mergeCell ref="V2:W2"/>
    <mergeCell ref="Y2:Z2"/>
    <mergeCell ref="AB2:AC2"/>
    <mergeCell ref="AH2:AI2"/>
    <mergeCell ref="AZ2:BA2"/>
    <mergeCell ref="AZ1:BA1"/>
    <mergeCell ref="AK2:AL2"/>
    <mergeCell ref="AN2:AO2"/>
    <mergeCell ref="AQ2:AR2"/>
    <mergeCell ref="AT2:AU2"/>
    <mergeCell ref="AW2:AX2"/>
    <mergeCell ref="A11:B11"/>
    <mergeCell ref="D11:E11"/>
    <mergeCell ref="G11:H11"/>
    <mergeCell ref="J11:K11"/>
    <mergeCell ref="M11:N11"/>
    <mergeCell ref="AQ11:AR11"/>
    <mergeCell ref="P11:Q11"/>
    <mergeCell ref="S11:T11"/>
    <mergeCell ref="V11:W11"/>
    <mergeCell ref="Y11:Z11"/>
    <mergeCell ref="AB11:AC11"/>
    <mergeCell ref="D16:N16"/>
    <mergeCell ref="AE11:AF11"/>
    <mergeCell ref="AH11:AI11"/>
    <mergeCell ref="AK11:AL11"/>
    <mergeCell ref="AN11:AO11"/>
    <mergeCell ref="BD4:BD5"/>
    <mergeCell ref="BE4:BE5"/>
    <mergeCell ref="BC7:BD7"/>
    <mergeCell ref="AT11:AU11"/>
    <mergeCell ref="AW11:AX11"/>
  </mergeCells>
  <phoneticPr fontId="2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8630-B3ED-43CB-9431-D2609DE642AB}">
  <dimension ref="A1:B108"/>
  <sheetViews>
    <sheetView workbookViewId="0">
      <selection activeCell="C119" sqref="C119"/>
    </sheetView>
  </sheetViews>
  <sheetFormatPr baseColWidth="10" defaultRowHeight="14.4" x14ac:dyDescent="0.3"/>
  <sheetData>
    <row r="1" spans="1:2" ht="28.8" x14ac:dyDescent="0.3">
      <c r="A1" s="95" t="s">
        <v>1</v>
      </c>
      <c r="B1" s="95" t="s">
        <v>2</v>
      </c>
    </row>
    <row r="2" spans="1:2" x14ac:dyDescent="0.3">
      <c r="A2" s="206">
        <v>40190</v>
      </c>
      <c r="B2" s="114">
        <v>89.7</v>
      </c>
    </row>
    <row r="3" spans="1:2" x14ac:dyDescent="0.3">
      <c r="A3" s="206">
        <v>40242</v>
      </c>
      <c r="B3" s="114">
        <v>91.01</v>
      </c>
    </row>
    <row r="4" spans="1:2" x14ac:dyDescent="0.3">
      <c r="A4" s="206">
        <v>40244</v>
      </c>
      <c r="B4" s="114">
        <v>91.02</v>
      </c>
    </row>
    <row r="5" spans="1:2" x14ac:dyDescent="0.3">
      <c r="A5" s="206">
        <v>40245</v>
      </c>
      <c r="B5" s="114">
        <v>91.02</v>
      </c>
    </row>
    <row r="6" spans="1:2" x14ac:dyDescent="0.3">
      <c r="A6" s="206">
        <v>40253</v>
      </c>
      <c r="B6" s="114">
        <v>91.06</v>
      </c>
    </row>
    <row r="7" spans="1:2" x14ac:dyDescent="0.3">
      <c r="A7" s="206">
        <v>40269</v>
      </c>
      <c r="B7" s="114">
        <v>91.14</v>
      </c>
    </row>
    <row r="8" spans="1:2" x14ac:dyDescent="0.3">
      <c r="A8" s="206">
        <v>40278</v>
      </c>
      <c r="B8" s="114">
        <v>91.19</v>
      </c>
    </row>
    <row r="9" spans="1:2" x14ac:dyDescent="0.3">
      <c r="A9" s="206">
        <v>40283</v>
      </c>
      <c r="B9" s="114">
        <v>91.22</v>
      </c>
    </row>
    <row r="10" spans="1:2" x14ac:dyDescent="0.3">
      <c r="A10" s="206">
        <v>40284</v>
      </c>
      <c r="B10" s="114">
        <v>91.2</v>
      </c>
    </row>
    <row r="11" spans="1:2" x14ac:dyDescent="0.3">
      <c r="A11" s="206">
        <v>40501</v>
      </c>
      <c r="B11" s="114">
        <v>92.19</v>
      </c>
    </row>
    <row r="12" spans="1:2" x14ac:dyDescent="0.3">
      <c r="A12" s="206">
        <v>40502</v>
      </c>
      <c r="B12" s="114">
        <v>92.2</v>
      </c>
    </row>
    <row r="13" spans="1:2" x14ac:dyDescent="0.3">
      <c r="A13" s="206">
        <v>40503</v>
      </c>
      <c r="B13" s="114">
        <v>92.2</v>
      </c>
    </row>
    <row r="14" spans="1:2" x14ac:dyDescent="0.3">
      <c r="A14" s="206">
        <v>40504</v>
      </c>
      <c r="B14" s="114">
        <v>92.2</v>
      </c>
    </row>
    <row r="15" spans="1:2" x14ac:dyDescent="0.3">
      <c r="A15" s="206">
        <v>40505</v>
      </c>
      <c r="B15" s="114">
        <v>92.2</v>
      </c>
    </row>
    <row r="16" spans="1:2" x14ac:dyDescent="0.3">
      <c r="A16" s="206">
        <v>40506</v>
      </c>
      <c r="B16" s="114">
        <v>92.2</v>
      </c>
    </row>
    <row r="17" spans="1:2" x14ac:dyDescent="0.3">
      <c r="A17" s="206">
        <v>40507</v>
      </c>
      <c r="B17" s="114">
        <v>92.21</v>
      </c>
    </row>
    <row r="18" spans="1:2" x14ac:dyDescent="0.3">
      <c r="A18" s="206">
        <v>40531</v>
      </c>
      <c r="B18" s="114">
        <v>92.33</v>
      </c>
    </row>
    <row r="19" spans="1:2" x14ac:dyDescent="0.3">
      <c r="A19" s="206">
        <v>40540</v>
      </c>
      <c r="B19" s="114">
        <v>92.37</v>
      </c>
    </row>
    <row r="20" spans="1:2" x14ac:dyDescent="0.3">
      <c r="A20" s="206">
        <v>40541</v>
      </c>
      <c r="B20" s="114">
        <v>92.37</v>
      </c>
    </row>
    <row r="21" spans="1:2" x14ac:dyDescent="0.3">
      <c r="A21" s="206">
        <v>40542</v>
      </c>
      <c r="B21" s="114">
        <v>92.36</v>
      </c>
    </row>
    <row r="22" spans="1:2" x14ac:dyDescent="0.3">
      <c r="A22" s="206">
        <v>40543</v>
      </c>
      <c r="B22" s="114">
        <v>92.39</v>
      </c>
    </row>
    <row r="23" spans="1:2" x14ac:dyDescent="0.3">
      <c r="A23" s="206">
        <v>40544</v>
      </c>
      <c r="B23" s="114">
        <v>92.4</v>
      </c>
    </row>
    <row r="24" spans="1:2" x14ac:dyDescent="0.3">
      <c r="A24" s="206">
        <v>40745</v>
      </c>
      <c r="B24" s="114">
        <v>91.55</v>
      </c>
    </row>
    <row r="25" spans="1:2" x14ac:dyDescent="0.3">
      <c r="A25" s="206">
        <v>40777</v>
      </c>
      <c r="B25" s="114">
        <v>91.34</v>
      </c>
    </row>
    <row r="26" spans="1:2" x14ac:dyDescent="0.3">
      <c r="A26" s="206">
        <v>40814</v>
      </c>
      <c r="B26" s="114">
        <v>91.29</v>
      </c>
    </row>
    <row r="27" spans="1:2" x14ac:dyDescent="0.3">
      <c r="A27" s="206">
        <v>40834</v>
      </c>
      <c r="B27" s="114">
        <v>91.3</v>
      </c>
    </row>
    <row r="28" spans="1:2" x14ac:dyDescent="0.3">
      <c r="A28" s="206">
        <v>40864</v>
      </c>
      <c r="B28" s="114">
        <v>91.3</v>
      </c>
    </row>
    <row r="29" spans="1:2" x14ac:dyDescent="0.3">
      <c r="A29" s="206">
        <v>40889</v>
      </c>
      <c r="B29" s="114">
        <v>91.3</v>
      </c>
    </row>
    <row r="30" spans="1:2" x14ac:dyDescent="0.3">
      <c r="A30" s="206">
        <v>40911</v>
      </c>
      <c r="B30" s="114">
        <v>91.3</v>
      </c>
    </row>
    <row r="31" spans="1:2" x14ac:dyDescent="0.3">
      <c r="A31" s="206">
        <v>40967</v>
      </c>
      <c r="B31" s="114">
        <v>91.25</v>
      </c>
    </row>
    <row r="32" spans="1:2" x14ac:dyDescent="0.3">
      <c r="A32" s="206">
        <v>41017</v>
      </c>
      <c r="B32" s="114">
        <v>91</v>
      </c>
    </row>
    <row r="33" spans="1:2" x14ac:dyDescent="0.3">
      <c r="A33" s="206">
        <v>41072</v>
      </c>
      <c r="B33" s="114">
        <v>91.15</v>
      </c>
    </row>
    <row r="34" spans="1:2" x14ac:dyDescent="0.3">
      <c r="A34" s="206">
        <v>41191</v>
      </c>
      <c r="B34" s="114">
        <v>91.34</v>
      </c>
    </row>
    <row r="35" spans="1:2" x14ac:dyDescent="0.3">
      <c r="A35" s="206">
        <v>41235</v>
      </c>
      <c r="B35" s="114">
        <v>91.31</v>
      </c>
    </row>
    <row r="36" spans="1:2" x14ac:dyDescent="0.3">
      <c r="A36" s="206">
        <v>41278</v>
      </c>
      <c r="B36" s="114">
        <v>91.52</v>
      </c>
    </row>
    <row r="37" spans="1:2" x14ac:dyDescent="0.3">
      <c r="A37" s="206">
        <v>41368</v>
      </c>
      <c r="B37" s="114">
        <v>91.88</v>
      </c>
    </row>
    <row r="38" spans="1:2" x14ac:dyDescent="0.3">
      <c r="A38" s="206">
        <v>41401</v>
      </c>
      <c r="B38" s="114">
        <v>91.95</v>
      </c>
    </row>
    <row r="39" spans="1:2" x14ac:dyDescent="0.3">
      <c r="A39" s="206">
        <v>41432</v>
      </c>
      <c r="B39" s="114">
        <v>92.42</v>
      </c>
    </row>
    <row r="40" spans="1:2" x14ac:dyDescent="0.3">
      <c r="A40" s="206">
        <v>41471</v>
      </c>
      <c r="B40" s="114">
        <v>92.41</v>
      </c>
    </row>
    <row r="41" spans="1:2" x14ac:dyDescent="0.3">
      <c r="A41" s="206">
        <v>41506</v>
      </c>
      <c r="B41" s="114">
        <v>92.5</v>
      </c>
    </row>
    <row r="42" spans="1:2" x14ac:dyDescent="0.3">
      <c r="A42" s="206">
        <v>41537</v>
      </c>
      <c r="B42" s="114">
        <v>92.81</v>
      </c>
    </row>
    <row r="43" spans="1:2" x14ac:dyDescent="0.3">
      <c r="A43" s="206">
        <v>41555</v>
      </c>
      <c r="B43" s="114">
        <v>92.76</v>
      </c>
    </row>
    <row r="44" spans="1:2" x14ac:dyDescent="0.3">
      <c r="A44" s="206">
        <v>41604</v>
      </c>
      <c r="B44" s="114">
        <v>93.1</v>
      </c>
    </row>
    <row r="45" spans="1:2" x14ac:dyDescent="0.3">
      <c r="A45" s="206">
        <v>41617</v>
      </c>
      <c r="B45" s="114">
        <v>93.15</v>
      </c>
    </row>
    <row r="46" spans="1:2" x14ac:dyDescent="0.3">
      <c r="A46" s="206">
        <v>41647</v>
      </c>
      <c r="B46" s="114">
        <v>93.35</v>
      </c>
    </row>
    <row r="47" spans="1:2" x14ac:dyDescent="0.3">
      <c r="A47" s="206">
        <v>41683</v>
      </c>
      <c r="B47" s="114">
        <v>93.17</v>
      </c>
    </row>
    <row r="48" spans="1:2" x14ac:dyDescent="0.3">
      <c r="A48" s="206">
        <v>41731</v>
      </c>
      <c r="B48" s="114">
        <v>93.8</v>
      </c>
    </row>
    <row r="49" spans="1:2" x14ac:dyDescent="0.3">
      <c r="A49" s="206">
        <v>41764</v>
      </c>
      <c r="B49" s="114">
        <v>94.03</v>
      </c>
    </row>
    <row r="50" spans="1:2" x14ac:dyDescent="0.3">
      <c r="A50" s="206">
        <v>41793</v>
      </c>
      <c r="B50" s="114">
        <v>94.15</v>
      </c>
    </row>
    <row r="51" spans="1:2" x14ac:dyDescent="0.3">
      <c r="A51" s="206">
        <v>41830</v>
      </c>
      <c r="B51" s="114">
        <v>94.24</v>
      </c>
    </row>
    <row r="52" spans="1:2" x14ac:dyDescent="0.3">
      <c r="A52" s="206">
        <v>41877</v>
      </c>
      <c r="B52" s="114">
        <v>94.42</v>
      </c>
    </row>
    <row r="53" spans="1:2" x14ac:dyDescent="0.3">
      <c r="A53" s="206">
        <v>41906</v>
      </c>
      <c r="B53" s="114">
        <v>94.73</v>
      </c>
    </row>
    <row r="54" spans="1:2" x14ac:dyDescent="0.3">
      <c r="A54" s="206">
        <v>41976</v>
      </c>
      <c r="B54" s="114">
        <v>95.01</v>
      </c>
    </row>
    <row r="55" spans="1:2" x14ac:dyDescent="0.3">
      <c r="A55" s="206">
        <v>42009</v>
      </c>
      <c r="B55" s="114">
        <v>95.42</v>
      </c>
    </row>
    <row r="56" spans="1:2" x14ac:dyDescent="0.3">
      <c r="A56" s="206">
        <v>42035</v>
      </c>
      <c r="B56" s="114">
        <v>95.58</v>
      </c>
    </row>
    <row r="57" spans="1:2" x14ac:dyDescent="0.3">
      <c r="A57" s="206">
        <v>42063</v>
      </c>
      <c r="B57" s="114">
        <v>95.68</v>
      </c>
    </row>
    <row r="58" spans="1:2" x14ac:dyDescent="0.3">
      <c r="A58" s="206">
        <v>42087</v>
      </c>
      <c r="B58" s="114">
        <v>95.86</v>
      </c>
    </row>
    <row r="59" spans="1:2" x14ac:dyDescent="0.3">
      <c r="A59" s="206">
        <v>42157</v>
      </c>
      <c r="B59" s="114">
        <v>96</v>
      </c>
    </row>
    <row r="60" spans="1:2" x14ac:dyDescent="0.3">
      <c r="A60" s="206">
        <v>42220</v>
      </c>
      <c r="B60" s="114">
        <v>96.2</v>
      </c>
    </row>
    <row r="61" spans="1:2" x14ac:dyDescent="0.3">
      <c r="A61" s="206">
        <v>42255</v>
      </c>
      <c r="B61" s="114">
        <v>96.39</v>
      </c>
    </row>
    <row r="62" spans="1:2" x14ac:dyDescent="0.3">
      <c r="A62" s="206">
        <v>42292</v>
      </c>
      <c r="B62" s="114">
        <v>96.68</v>
      </c>
    </row>
    <row r="63" spans="1:2" x14ac:dyDescent="0.3">
      <c r="A63" s="206">
        <v>42353</v>
      </c>
      <c r="B63" s="114">
        <v>97.1</v>
      </c>
    </row>
    <row r="64" spans="1:2" x14ac:dyDescent="0.3">
      <c r="A64" s="206">
        <v>42387</v>
      </c>
      <c r="B64" s="114">
        <v>97.4</v>
      </c>
    </row>
    <row r="65" spans="1:2" x14ac:dyDescent="0.3">
      <c r="A65" s="206">
        <v>42429</v>
      </c>
      <c r="B65" s="114">
        <v>97.6</v>
      </c>
    </row>
    <row r="66" spans="1:2" x14ac:dyDescent="0.3">
      <c r="A66" s="206">
        <v>42471</v>
      </c>
      <c r="B66" s="114">
        <v>97.71</v>
      </c>
    </row>
    <row r="67" spans="1:2" x14ac:dyDescent="0.3">
      <c r="A67" s="206">
        <v>42494</v>
      </c>
      <c r="B67" s="114">
        <v>97.82</v>
      </c>
    </row>
    <row r="68" spans="1:2" x14ac:dyDescent="0.3">
      <c r="A68" s="206">
        <v>42591</v>
      </c>
      <c r="B68" s="114">
        <v>98.1</v>
      </c>
    </row>
    <row r="69" spans="1:2" x14ac:dyDescent="0.3">
      <c r="A69" s="206">
        <v>42686</v>
      </c>
      <c r="B69" s="114">
        <v>98.6</v>
      </c>
    </row>
    <row r="70" spans="1:2" x14ac:dyDescent="0.3">
      <c r="A70" s="206">
        <v>42784</v>
      </c>
      <c r="B70" s="114">
        <v>98.93</v>
      </c>
    </row>
    <row r="71" spans="1:2" x14ac:dyDescent="0.3">
      <c r="A71" s="206">
        <v>42852</v>
      </c>
      <c r="B71" s="114">
        <v>99.56</v>
      </c>
    </row>
    <row r="72" spans="1:2" x14ac:dyDescent="0.3">
      <c r="A72" s="206">
        <v>42888</v>
      </c>
      <c r="B72" s="114">
        <v>99.69</v>
      </c>
    </row>
    <row r="73" spans="1:2" x14ac:dyDescent="0.3">
      <c r="A73" s="206">
        <v>42955</v>
      </c>
      <c r="B73" s="114">
        <v>99.99</v>
      </c>
    </row>
    <row r="74" spans="1:2" x14ac:dyDescent="0.3">
      <c r="A74" s="228">
        <v>42557</v>
      </c>
      <c r="B74" s="114">
        <v>98.61</v>
      </c>
    </row>
    <row r="75" spans="1:2" x14ac:dyDescent="0.3">
      <c r="A75" s="228">
        <v>42663</v>
      </c>
      <c r="B75" s="114">
        <v>98.43</v>
      </c>
    </row>
    <row r="76" spans="1:2" x14ac:dyDescent="0.3">
      <c r="A76" s="228">
        <v>42774</v>
      </c>
      <c r="B76" s="114">
        <v>98.93</v>
      </c>
    </row>
    <row r="77" spans="1:2" x14ac:dyDescent="0.3">
      <c r="A77" s="228">
        <v>43048</v>
      </c>
      <c r="B77" s="114">
        <v>100.45</v>
      </c>
    </row>
    <row r="78" spans="1:2" x14ac:dyDescent="0.3">
      <c r="A78" s="228">
        <v>43069</v>
      </c>
      <c r="B78" s="114">
        <v>101.03</v>
      </c>
    </row>
    <row r="79" spans="1:2" x14ac:dyDescent="0.3">
      <c r="A79" s="228">
        <v>43123</v>
      </c>
      <c r="B79" s="114">
        <v>100.79</v>
      </c>
    </row>
    <row r="80" spans="1:2" x14ac:dyDescent="0.3">
      <c r="A80" s="228">
        <v>43263</v>
      </c>
      <c r="B80" s="114">
        <v>101.74</v>
      </c>
    </row>
    <row r="81" spans="1:2" x14ac:dyDescent="0.3">
      <c r="A81" s="228">
        <v>43297</v>
      </c>
      <c r="B81" s="114">
        <v>101.85</v>
      </c>
    </row>
    <row r="82" spans="1:2" x14ac:dyDescent="0.3">
      <c r="A82" s="228">
        <v>43348</v>
      </c>
      <c r="B82" s="114">
        <v>102.19</v>
      </c>
    </row>
    <row r="83" spans="1:2" x14ac:dyDescent="0.3">
      <c r="A83" s="228">
        <v>43558</v>
      </c>
      <c r="B83" s="114">
        <v>103.08</v>
      </c>
    </row>
    <row r="84" spans="1:2" x14ac:dyDescent="0.3">
      <c r="A84" s="206">
        <v>43697</v>
      </c>
      <c r="B84" s="114">
        <v>103.9</v>
      </c>
    </row>
    <row r="85" spans="1:2" x14ac:dyDescent="0.3">
      <c r="A85" s="206">
        <v>43759</v>
      </c>
      <c r="B85" s="114">
        <v>105.76</v>
      </c>
    </row>
    <row r="86" spans="1:2" x14ac:dyDescent="0.3">
      <c r="A86" s="206">
        <v>43914</v>
      </c>
      <c r="B86" s="114">
        <v>105.38</v>
      </c>
    </row>
    <row r="87" spans="1:2" x14ac:dyDescent="0.3">
      <c r="A87" s="241">
        <v>43963</v>
      </c>
      <c r="B87" s="96">
        <v>106.46</v>
      </c>
    </row>
    <row r="88" spans="1:2" x14ac:dyDescent="0.3">
      <c r="A88" s="241" t="s">
        <v>29</v>
      </c>
      <c r="B88" s="96">
        <v>106.77</v>
      </c>
    </row>
    <row r="89" spans="1:2" x14ac:dyDescent="0.3">
      <c r="A89" s="241">
        <v>44160</v>
      </c>
      <c r="B89" s="96">
        <v>107.11</v>
      </c>
    </row>
    <row r="90" spans="1:2" x14ac:dyDescent="0.3">
      <c r="A90" s="239">
        <v>44489</v>
      </c>
      <c r="B90" s="125">
        <v>107.32</v>
      </c>
    </row>
    <row r="91" spans="1:2" x14ac:dyDescent="0.3">
      <c r="A91" s="206">
        <v>44525</v>
      </c>
      <c r="B91" s="114">
        <v>109.36</v>
      </c>
    </row>
    <row r="92" spans="1:2" x14ac:dyDescent="0.3">
      <c r="A92" s="206">
        <v>44526</v>
      </c>
      <c r="B92" s="114">
        <v>109.36</v>
      </c>
    </row>
    <row r="93" spans="1:2" x14ac:dyDescent="0.3">
      <c r="A93" s="206">
        <v>44609</v>
      </c>
      <c r="B93" s="114">
        <v>108.6</v>
      </c>
    </row>
    <row r="94" spans="1:2" x14ac:dyDescent="0.3">
      <c r="A94" s="206">
        <v>44768</v>
      </c>
      <c r="B94" s="114">
        <v>110.17</v>
      </c>
    </row>
    <row r="95" spans="1:2" x14ac:dyDescent="0.3">
      <c r="A95" s="206">
        <v>44778</v>
      </c>
      <c r="B95" s="114">
        <v>110.41</v>
      </c>
    </row>
    <row r="96" spans="1:2" x14ac:dyDescent="0.3">
      <c r="A96" s="206">
        <v>44785</v>
      </c>
      <c r="B96" s="125">
        <v>110.33</v>
      </c>
    </row>
    <row r="97" spans="1:2" x14ac:dyDescent="0.3">
      <c r="A97" s="206">
        <v>44791</v>
      </c>
      <c r="B97" s="114">
        <v>110.49</v>
      </c>
    </row>
    <row r="98" spans="1:2" x14ac:dyDescent="0.3">
      <c r="A98" s="206">
        <v>44797</v>
      </c>
      <c r="B98" s="114">
        <v>110.23</v>
      </c>
    </row>
    <row r="99" spans="1:2" x14ac:dyDescent="0.3">
      <c r="A99" s="206">
        <v>44802</v>
      </c>
      <c r="B99" s="114">
        <v>110.5</v>
      </c>
    </row>
    <row r="100" spans="1:2" x14ac:dyDescent="0.3">
      <c r="A100" s="206">
        <v>44844</v>
      </c>
      <c r="B100" s="114">
        <v>110.78</v>
      </c>
    </row>
    <row r="101" spans="1:2" x14ac:dyDescent="0.3">
      <c r="A101" s="241">
        <v>44964</v>
      </c>
      <c r="B101" s="96">
        <v>111.03</v>
      </c>
    </row>
    <row r="102" spans="1:2" x14ac:dyDescent="0.3">
      <c r="A102" s="241">
        <v>45088</v>
      </c>
      <c r="B102" s="96">
        <v>111.79</v>
      </c>
    </row>
    <row r="103" spans="1:2" x14ac:dyDescent="0.3">
      <c r="A103" s="241">
        <v>45256</v>
      </c>
      <c r="B103" s="96">
        <v>112.2</v>
      </c>
    </row>
    <row r="104" spans="1:2" x14ac:dyDescent="0.3">
      <c r="A104" s="240">
        <v>45292</v>
      </c>
      <c r="B104" s="98">
        <v>112.5</v>
      </c>
    </row>
    <row r="105" spans="1:2" x14ac:dyDescent="0.3">
      <c r="A105" s="240">
        <v>45449</v>
      </c>
      <c r="B105" s="98">
        <v>113.6</v>
      </c>
    </row>
    <row r="106" spans="1:2" x14ac:dyDescent="0.3">
      <c r="A106" s="240">
        <v>45638</v>
      </c>
      <c r="B106" s="98">
        <v>112.44</v>
      </c>
    </row>
    <row r="107" spans="1:2" x14ac:dyDescent="0.3">
      <c r="A107" s="240">
        <v>45751</v>
      </c>
      <c r="B107" s="98">
        <v>114.39</v>
      </c>
    </row>
    <row r="108" spans="1:2" x14ac:dyDescent="0.3">
      <c r="A108" s="199">
        <v>45948</v>
      </c>
      <c r="B108" s="96">
        <v>115.37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7F34-A5D5-4126-A73E-687799E5817B}">
  <dimension ref="A1:R34"/>
  <sheetViews>
    <sheetView topLeftCell="A18" workbookViewId="0">
      <selection activeCell="C9" sqref="C9"/>
    </sheetView>
  </sheetViews>
  <sheetFormatPr baseColWidth="10" defaultRowHeight="14.4" x14ac:dyDescent="0.3"/>
  <cols>
    <col min="2" max="2" width="24.6640625" customWidth="1"/>
    <col min="3" max="3" width="39.44140625" customWidth="1"/>
    <col min="4" max="4" width="23.33203125" customWidth="1"/>
    <col min="5" max="5" width="34.77734375" customWidth="1"/>
    <col min="6" max="6" width="32.77734375" customWidth="1"/>
    <col min="7" max="7" width="27" customWidth="1"/>
    <col min="8" max="8" width="34.21875" customWidth="1"/>
    <col min="9" max="9" width="34" customWidth="1"/>
    <col min="10" max="10" width="46.77734375" customWidth="1"/>
    <col min="11" max="11" width="45.88671875" customWidth="1"/>
    <col min="12" max="12" width="39.5546875" customWidth="1"/>
    <col min="13" max="13" width="31.109375" customWidth="1"/>
    <col min="14" max="14" width="44" customWidth="1"/>
    <col min="15" max="15" width="25.109375" customWidth="1"/>
    <col min="16" max="16" width="25.21875" customWidth="1"/>
    <col min="17" max="17" width="23.21875" customWidth="1"/>
    <col min="18" max="18" width="32.109375" customWidth="1"/>
  </cols>
  <sheetData>
    <row r="1" spans="1:18" s="156" customFormat="1" x14ac:dyDescent="0.3">
      <c r="B1" s="157" t="s">
        <v>0</v>
      </c>
      <c r="C1" s="157" t="s">
        <v>4</v>
      </c>
      <c r="D1" s="157" t="s">
        <v>6</v>
      </c>
      <c r="E1" s="157" t="s">
        <v>20</v>
      </c>
      <c r="F1" s="157" t="s">
        <v>7</v>
      </c>
      <c r="G1" s="157" t="s">
        <v>21</v>
      </c>
      <c r="H1" s="157" t="s">
        <v>8</v>
      </c>
      <c r="I1" s="157" t="s">
        <v>9</v>
      </c>
      <c r="J1" s="157" t="s">
        <v>10</v>
      </c>
      <c r="K1" s="157" t="s">
        <v>11</v>
      </c>
      <c r="L1" s="157" t="s">
        <v>12</v>
      </c>
      <c r="M1" s="157" t="s">
        <v>13</v>
      </c>
      <c r="N1" s="157" t="s">
        <v>14</v>
      </c>
      <c r="O1" s="157" t="s">
        <v>17</v>
      </c>
      <c r="P1" s="157" t="s">
        <v>18</v>
      </c>
      <c r="Q1" s="157" t="s">
        <v>19</v>
      </c>
      <c r="R1" s="157" t="s">
        <v>24</v>
      </c>
    </row>
    <row r="2" spans="1:18" s="164" customFormat="1" ht="28.8" x14ac:dyDescent="0.3">
      <c r="A2" s="95" t="s">
        <v>1</v>
      </c>
      <c r="B2" s="163" t="s">
        <v>2</v>
      </c>
      <c r="C2" s="97" t="s">
        <v>2</v>
      </c>
      <c r="D2" s="97" t="s">
        <v>2</v>
      </c>
      <c r="E2" s="97" t="s">
        <v>2</v>
      </c>
      <c r="F2" s="97" t="s">
        <v>2</v>
      </c>
      <c r="G2" s="97" t="s">
        <v>2</v>
      </c>
      <c r="H2" s="97" t="s">
        <v>2</v>
      </c>
      <c r="I2" s="120" t="s">
        <v>2</v>
      </c>
      <c r="J2" s="120" t="s">
        <v>2</v>
      </c>
      <c r="K2" s="120" t="s">
        <v>2</v>
      </c>
      <c r="L2" s="97" t="s">
        <v>2</v>
      </c>
      <c r="M2" s="97" t="s">
        <v>2</v>
      </c>
      <c r="N2" s="97" t="s">
        <v>2</v>
      </c>
      <c r="O2" s="97" t="s">
        <v>2</v>
      </c>
      <c r="P2" s="97" t="s">
        <v>2</v>
      </c>
      <c r="Q2" s="97" t="s">
        <v>2</v>
      </c>
      <c r="R2" s="97" t="s">
        <v>2</v>
      </c>
    </row>
    <row r="3" spans="1:18" x14ac:dyDescent="0.3">
      <c r="A3" s="84">
        <v>40330</v>
      </c>
      <c r="B3" s="85">
        <v>34.07</v>
      </c>
      <c r="C3" s="96">
        <v>10.55</v>
      </c>
      <c r="D3" s="96">
        <v>3.04</v>
      </c>
      <c r="E3" s="131">
        <v>71.78</v>
      </c>
      <c r="F3" s="153">
        <v>5.71</v>
      </c>
      <c r="G3" s="116">
        <v>5.61</v>
      </c>
      <c r="H3" s="114">
        <v>37.630000000000003</v>
      </c>
      <c r="I3" s="114">
        <v>2.7</v>
      </c>
      <c r="J3" s="86">
        <v>43.63</v>
      </c>
      <c r="K3" s="154">
        <v>7.55</v>
      </c>
      <c r="L3" s="114">
        <v>91.2</v>
      </c>
      <c r="M3" s="114">
        <v>59.72</v>
      </c>
      <c r="N3" s="140">
        <v>36.450000000000003</v>
      </c>
      <c r="O3" s="142">
        <v>62.6</v>
      </c>
      <c r="P3" s="1">
        <v>13</v>
      </c>
      <c r="Q3" s="142">
        <v>66.87</v>
      </c>
      <c r="R3" s="140">
        <v>33.75</v>
      </c>
    </row>
    <row r="4" spans="1:18" x14ac:dyDescent="0.3">
      <c r="A4" s="84">
        <v>40513</v>
      </c>
      <c r="B4" s="85">
        <v>34.549999999999997</v>
      </c>
      <c r="C4" s="96">
        <v>10.52</v>
      </c>
      <c r="D4" s="96">
        <v>4.45</v>
      </c>
      <c r="E4" s="131">
        <v>71.900000000000006</v>
      </c>
      <c r="F4" s="153">
        <v>5.18</v>
      </c>
      <c r="G4" s="116">
        <v>4.66</v>
      </c>
      <c r="H4" s="111">
        <v>38.130000000000003</v>
      </c>
      <c r="I4" s="111">
        <v>2.72</v>
      </c>
      <c r="J4" s="86">
        <v>44.21</v>
      </c>
      <c r="K4" s="154">
        <v>7.6</v>
      </c>
      <c r="L4" s="114">
        <v>92.39</v>
      </c>
      <c r="M4" s="114">
        <v>58.85</v>
      </c>
      <c r="N4" s="140">
        <v>35.44</v>
      </c>
      <c r="O4" s="142">
        <v>62.92</v>
      </c>
      <c r="P4" s="72">
        <v>11.6</v>
      </c>
      <c r="Q4" s="142">
        <v>67.239999999999995</v>
      </c>
      <c r="R4" s="140">
        <v>33.9</v>
      </c>
    </row>
    <row r="5" spans="1:18" x14ac:dyDescent="0.3">
      <c r="A5" s="84">
        <v>40695</v>
      </c>
      <c r="B5" s="85">
        <v>34.54</v>
      </c>
      <c r="C5" s="96">
        <v>10.43</v>
      </c>
      <c r="D5" s="96">
        <v>5.86</v>
      </c>
      <c r="E5" s="131">
        <v>71.59</v>
      </c>
      <c r="F5" s="153">
        <v>4.7699999999999996</v>
      </c>
      <c r="G5" s="116">
        <v>4.8499999999999996</v>
      </c>
      <c r="H5" s="111">
        <v>38.521000000000001</v>
      </c>
      <c r="I5" s="111">
        <v>2.75</v>
      </c>
      <c r="J5" s="86">
        <v>44.49</v>
      </c>
      <c r="K5" s="154">
        <v>7.65</v>
      </c>
      <c r="L5" s="114">
        <v>92.43</v>
      </c>
      <c r="M5" s="114">
        <v>57.99</v>
      </c>
      <c r="N5" s="140">
        <v>34.49</v>
      </c>
      <c r="O5" s="142">
        <v>62.9</v>
      </c>
      <c r="P5" s="1">
        <v>10.43</v>
      </c>
      <c r="Q5" s="142">
        <v>67.94</v>
      </c>
      <c r="R5" s="140">
        <v>34.39</v>
      </c>
    </row>
    <row r="6" spans="1:18" x14ac:dyDescent="0.3">
      <c r="A6" s="84">
        <v>40878</v>
      </c>
      <c r="B6" s="85">
        <v>34.049999999999997</v>
      </c>
      <c r="C6" s="96">
        <v>10.39</v>
      </c>
      <c r="D6" s="96">
        <v>7.26</v>
      </c>
      <c r="E6" s="131">
        <v>71.7</v>
      </c>
      <c r="F6" s="153">
        <v>4.5999999999999996</v>
      </c>
      <c r="G6" s="116">
        <v>4.76</v>
      </c>
      <c r="H6" s="111">
        <v>39.520000000000003</v>
      </c>
      <c r="I6" s="111">
        <v>2.7749999999999999</v>
      </c>
      <c r="J6" s="86">
        <v>43.95</v>
      </c>
      <c r="K6" s="154">
        <v>6.94</v>
      </c>
      <c r="L6" s="114">
        <v>91.3</v>
      </c>
      <c r="M6" s="114">
        <v>52.6</v>
      </c>
      <c r="N6" s="140">
        <v>34.29</v>
      </c>
      <c r="O6" s="142">
        <v>63.8</v>
      </c>
      <c r="P6" s="72">
        <v>10.55</v>
      </c>
      <c r="Q6" s="142">
        <v>67.400000000000006</v>
      </c>
      <c r="R6" s="140">
        <v>34.54</v>
      </c>
    </row>
    <row r="7" spans="1:18" x14ac:dyDescent="0.3">
      <c r="A7" s="84">
        <v>41061</v>
      </c>
      <c r="B7" s="85">
        <v>34.799999999999997</v>
      </c>
      <c r="C7" s="96">
        <v>10.42</v>
      </c>
      <c r="D7" s="1">
        <v>8.66</v>
      </c>
      <c r="E7" s="131">
        <v>71.650000000000006</v>
      </c>
      <c r="F7" s="153">
        <v>4.6500000000000004</v>
      </c>
      <c r="G7" s="116">
        <v>4.7</v>
      </c>
      <c r="H7" s="114">
        <v>39.04</v>
      </c>
      <c r="I7" s="114">
        <v>2.8</v>
      </c>
      <c r="J7" s="86">
        <v>43.95</v>
      </c>
      <c r="K7" s="154">
        <v>6.85</v>
      </c>
      <c r="L7" s="114">
        <v>91.15</v>
      </c>
      <c r="M7" s="114">
        <v>58.05</v>
      </c>
      <c r="N7" s="141">
        <v>35.35</v>
      </c>
      <c r="O7" s="142">
        <v>63.24</v>
      </c>
      <c r="P7" s="1">
        <v>11</v>
      </c>
      <c r="Q7" s="142">
        <v>68</v>
      </c>
      <c r="R7" s="140">
        <v>34.64</v>
      </c>
    </row>
    <row r="8" spans="1:18" x14ac:dyDescent="0.3">
      <c r="A8" s="84">
        <v>41244</v>
      </c>
      <c r="B8" s="85">
        <v>34.72</v>
      </c>
      <c r="C8" s="96">
        <v>10.34</v>
      </c>
      <c r="D8" s="102">
        <v>10.07</v>
      </c>
      <c r="E8" s="131">
        <v>71.599999999999994</v>
      </c>
      <c r="F8" s="153">
        <v>4.3499999999999996</v>
      </c>
      <c r="G8" s="116">
        <v>4.9400000000000004</v>
      </c>
      <c r="H8" s="114">
        <v>40.44</v>
      </c>
      <c r="I8" s="114">
        <v>3.16</v>
      </c>
      <c r="J8" s="86">
        <v>45.76</v>
      </c>
      <c r="K8" s="113">
        <v>6.94</v>
      </c>
      <c r="L8" s="114">
        <v>91.52</v>
      </c>
      <c r="M8" s="114">
        <v>58.32</v>
      </c>
      <c r="N8" s="141">
        <v>36.125</v>
      </c>
      <c r="O8" s="142">
        <v>65</v>
      </c>
      <c r="P8" s="4">
        <v>10.94</v>
      </c>
      <c r="Q8" s="142">
        <v>69.099999999999994</v>
      </c>
      <c r="R8" s="140">
        <v>34.74</v>
      </c>
    </row>
    <row r="9" spans="1:18" x14ac:dyDescent="0.3">
      <c r="A9" s="84">
        <v>41426</v>
      </c>
      <c r="B9" s="85">
        <v>35.5</v>
      </c>
      <c r="C9" s="98">
        <v>10.16</v>
      </c>
      <c r="D9" s="1">
        <v>11.48</v>
      </c>
      <c r="E9" s="131">
        <v>71.75</v>
      </c>
      <c r="F9" s="153">
        <v>4.8499999999999996</v>
      </c>
      <c r="G9" s="116">
        <v>5.36</v>
      </c>
      <c r="H9" s="114">
        <v>40.78</v>
      </c>
      <c r="I9" s="114">
        <v>3</v>
      </c>
      <c r="J9" s="86">
        <v>46.37</v>
      </c>
      <c r="K9" s="154">
        <v>7.03</v>
      </c>
      <c r="L9" s="114">
        <v>92.42</v>
      </c>
      <c r="M9" s="114">
        <v>59.36</v>
      </c>
      <c r="N9" s="141">
        <v>36.97</v>
      </c>
      <c r="O9" s="142">
        <v>65.7</v>
      </c>
      <c r="P9" s="1">
        <v>11.56</v>
      </c>
      <c r="Q9" s="142">
        <v>69.790000000000006</v>
      </c>
      <c r="R9" s="140">
        <v>35.24</v>
      </c>
    </row>
    <row r="10" spans="1:18" x14ac:dyDescent="0.3">
      <c r="A10" s="84">
        <v>41609</v>
      </c>
      <c r="B10" s="85">
        <v>35.85</v>
      </c>
      <c r="C10" s="98">
        <v>9.4600000000000009</v>
      </c>
      <c r="D10" s="1">
        <v>10.130000000000001</v>
      </c>
      <c r="E10" s="131">
        <v>72.14</v>
      </c>
      <c r="F10" s="153">
        <v>4.91</v>
      </c>
      <c r="G10" s="116">
        <v>4.7300000000000004</v>
      </c>
      <c r="H10" s="114">
        <v>41.04</v>
      </c>
      <c r="I10" s="114">
        <v>2.62</v>
      </c>
      <c r="J10" s="86">
        <v>46.98</v>
      </c>
      <c r="K10" s="113">
        <v>7.18</v>
      </c>
      <c r="L10" s="114">
        <v>93.35</v>
      </c>
      <c r="M10" s="114">
        <v>58.1</v>
      </c>
      <c r="N10" s="141">
        <v>37.15</v>
      </c>
      <c r="O10" s="142">
        <v>66.52</v>
      </c>
      <c r="P10" s="1">
        <v>11.37</v>
      </c>
      <c r="Q10" s="142">
        <v>70.790000000000006</v>
      </c>
      <c r="R10" s="116">
        <v>35.72</v>
      </c>
    </row>
    <row r="11" spans="1:18" x14ac:dyDescent="0.3">
      <c r="A11" s="84">
        <v>41791</v>
      </c>
      <c r="B11" s="86">
        <v>36.979999999999997</v>
      </c>
      <c r="C11" s="99">
        <v>9.4499999999999993</v>
      </c>
      <c r="D11" s="1">
        <v>9.57</v>
      </c>
      <c r="E11" s="131">
        <v>72.599999999999994</v>
      </c>
      <c r="F11" s="153">
        <v>5.05</v>
      </c>
      <c r="G11" s="116">
        <v>5.48</v>
      </c>
      <c r="H11" s="114">
        <v>41.56</v>
      </c>
      <c r="I11" s="114">
        <v>2.94</v>
      </c>
      <c r="J11" s="86">
        <v>47.32</v>
      </c>
      <c r="K11" s="113">
        <v>7.33</v>
      </c>
      <c r="L11" s="114">
        <v>94.15</v>
      </c>
      <c r="M11" s="114">
        <v>59.2</v>
      </c>
      <c r="N11" s="140">
        <v>37.909999999999997</v>
      </c>
      <c r="O11" s="142">
        <v>67.319999999999993</v>
      </c>
      <c r="P11" s="1">
        <v>11.32</v>
      </c>
      <c r="Q11" s="142">
        <v>71.52</v>
      </c>
      <c r="R11" s="140">
        <v>36.270000000000003</v>
      </c>
    </row>
    <row r="12" spans="1:18" x14ac:dyDescent="0.3">
      <c r="A12" s="84">
        <v>41974</v>
      </c>
      <c r="B12" s="86">
        <v>36.979999999999997</v>
      </c>
      <c r="C12" s="99">
        <v>9.7100000000000009</v>
      </c>
      <c r="D12" s="1">
        <v>9.8699999999999992</v>
      </c>
      <c r="E12" s="131">
        <v>73.349999999999994</v>
      </c>
      <c r="F12" s="111">
        <v>5.47</v>
      </c>
      <c r="G12" s="116">
        <v>5.61</v>
      </c>
      <c r="H12" s="114">
        <v>42.1</v>
      </c>
      <c r="I12" s="114">
        <v>3</v>
      </c>
      <c r="J12" s="86">
        <v>47.66</v>
      </c>
      <c r="K12" s="113">
        <v>7.51</v>
      </c>
      <c r="L12" s="114">
        <v>95.01</v>
      </c>
      <c r="M12" s="114">
        <v>56.4</v>
      </c>
      <c r="N12" s="140">
        <v>37.65</v>
      </c>
      <c r="O12" s="144">
        <v>67.989999999999995</v>
      </c>
      <c r="P12" s="1">
        <v>11.22</v>
      </c>
      <c r="Q12" s="142">
        <v>72.55</v>
      </c>
      <c r="R12" s="140">
        <v>36.97</v>
      </c>
    </row>
    <row r="13" spans="1:18" x14ac:dyDescent="0.3">
      <c r="A13" s="84">
        <v>42156</v>
      </c>
      <c r="B13" s="86">
        <v>38.76</v>
      </c>
      <c r="C13" s="99">
        <v>10.55</v>
      </c>
      <c r="D13" s="1">
        <v>12.9</v>
      </c>
      <c r="E13" s="131">
        <v>73.790000000000006</v>
      </c>
      <c r="F13" s="153">
        <v>5.89</v>
      </c>
      <c r="G13" s="116">
        <v>5.73</v>
      </c>
      <c r="H13" s="114">
        <v>42.51</v>
      </c>
      <c r="I13" s="114">
        <v>3.3</v>
      </c>
      <c r="J13" s="86">
        <v>47.86</v>
      </c>
      <c r="K13" s="154">
        <v>7.63</v>
      </c>
      <c r="L13" s="114">
        <v>96</v>
      </c>
      <c r="M13" s="114">
        <v>59.58</v>
      </c>
      <c r="N13" s="140">
        <v>38</v>
      </c>
      <c r="O13" s="144">
        <v>68.64</v>
      </c>
      <c r="P13" s="76">
        <v>12.02</v>
      </c>
      <c r="Q13" s="142">
        <v>73.5</v>
      </c>
      <c r="R13" s="140">
        <v>37.22</v>
      </c>
    </row>
    <row r="14" spans="1:18" x14ac:dyDescent="0.3">
      <c r="A14" s="84">
        <v>42339</v>
      </c>
      <c r="B14" s="86">
        <v>39.69</v>
      </c>
      <c r="C14" s="99">
        <v>11.026</v>
      </c>
      <c r="D14" s="1">
        <v>12.32</v>
      </c>
      <c r="E14" s="131">
        <v>74.489999999999995</v>
      </c>
      <c r="F14" s="153">
        <v>5.36</v>
      </c>
      <c r="G14" s="116">
        <v>5.61</v>
      </c>
      <c r="H14" s="114">
        <v>42.9</v>
      </c>
      <c r="I14" s="114">
        <v>3.26</v>
      </c>
      <c r="J14" s="86">
        <v>48.63</v>
      </c>
      <c r="K14" s="113">
        <v>7.28</v>
      </c>
      <c r="L14" s="114">
        <v>97.4</v>
      </c>
      <c r="M14" s="114">
        <v>60.38</v>
      </c>
      <c r="N14" s="116">
        <v>38.54</v>
      </c>
      <c r="O14" s="144">
        <v>70.59</v>
      </c>
      <c r="P14" s="76">
        <v>12.59</v>
      </c>
      <c r="Q14" s="142">
        <v>74.400000000000006</v>
      </c>
      <c r="R14" s="140">
        <v>37.97</v>
      </c>
    </row>
    <row r="15" spans="1:18" x14ac:dyDescent="0.3">
      <c r="A15" s="84">
        <v>42522</v>
      </c>
      <c r="B15" s="86">
        <v>40.65</v>
      </c>
      <c r="C15" s="99">
        <v>9.76</v>
      </c>
      <c r="D15" s="1">
        <v>11.27</v>
      </c>
      <c r="E15" s="131">
        <v>75.56</v>
      </c>
      <c r="F15" s="153">
        <v>5.63</v>
      </c>
      <c r="G15" s="116">
        <v>6.68</v>
      </c>
      <c r="H15" s="114">
        <v>43.65</v>
      </c>
      <c r="I15" s="114">
        <v>3.04</v>
      </c>
      <c r="J15" s="86">
        <v>49.31</v>
      </c>
      <c r="K15" s="113">
        <v>6.93</v>
      </c>
      <c r="L15" s="114">
        <v>97.82</v>
      </c>
      <c r="M15" s="114">
        <v>60.73</v>
      </c>
      <c r="N15" s="116">
        <v>39.340000000000003</v>
      </c>
      <c r="O15" s="144">
        <v>70.88</v>
      </c>
      <c r="P15" s="1">
        <v>13.39</v>
      </c>
      <c r="Q15" s="142">
        <v>75.44</v>
      </c>
      <c r="R15" s="140">
        <v>38.130000000000003</v>
      </c>
    </row>
    <row r="16" spans="1:18" x14ac:dyDescent="0.3">
      <c r="A16" s="84">
        <v>42705</v>
      </c>
      <c r="B16" s="86">
        <v>41.1</v>
      </c>
      <c r="C16" s="99">
        <v>9.7349999999999994</v>
      </c>
      <c r="D16" s="1">
        <v>9.4600000000000009</v>
      </c>
      <c r="E16" s="131">
        <v>75.760000000000005</v>
      </c>
      <c r="F16" s="153">
        <v>5.86</v>
      </c>
      <c r="G16" s="116">
        <v>6.96</v>
      </c>
      <c r="H16" s="114">
        <v>43.64</v>
      </c>
      <c r="I16" s="114">
        <v>3.33</v>
      </c>
      <c r="J16" s="86">
        <v>50.28</v>
      </c>
      <c r="K16" s="154">
        <v>6.58</v>
      </c>
      <c r="L16" s="114">
        <v>97.4</v>
      </c>
      <c r="M16" s="114">
        <v>60.83</v>
      </c>
      <c r="N16" s="116">
        <v>39.979999999999997</v>
      </c>
      <c r="O16" s="144">
        <v>71.53</v>
      </c>
      <c r="P16" s="76">
        <v>13.36</v>
      </c>
      <c r="Q16" s="142">
        <v>76.34</v>
      </c>
      <c r="R16" s="140">
        <v>38.979999999999997</v>
      </c>
    </row>
    <row r="17" spans="1:18" x14ac:dyDescent="0.3">
      <c r="A17" s="84">
        <v>42887</v>
      </c>
      <c r="B17" s="86">
        <v>41.93</v>
      </c>
      <c r="C17" s="100">
        <v>9.7230000000000008</v>
      </c>
      <c r="D17" s="1">
        <v>8.8699999999999992</v>
      </c>
      <c r="E17" s="131">
        <v>76.47</v>
      </c>
      <c r="F17" s="153">
        <v>5.92</v>
      </c>
      <c r="G17" s="116">
        <v>5.33</v>
      </c>
      <c r="H17" s="114">
        <v>43.45</v>
      </c>
      <c r="I17" s="114">
        <v>3.06</v>
      </c>
      <c r="J17" s="86">
        <v>50.73</v>
      </c>
      <c r="K17" s="154">
        <v>6.9</v>
      </c>
      <c r="L17" s="114">
        <v>99.99</v>
      </c>
      <c r="M17" s="114">
        <v>61.41</v>
      </c>
      <c r="N17" s="116">
        <v>39.9</v>
      </c>
      <c r="O17" s="144">
        <v>72.319999999999993</v>
      </c>
      <c r="P17" s="76">
        <v>13.57</v>
      </c>
      <c r="Q17" s="142">
        <v>75.77</v>
      </c>
      <c r="R17" s="140">
        <v>39.21</v>
      </c>
    </row>
    <row r="18" spans="1:18" x14ac:dyDescent="0.3">
      <c r="A18" s="84">
        <v>43070</v>
      </c>
      <c r="B18" s="86">
        <v>41.99</v>
      </c>
      <c r="C18" s="101">
        <v>9.73</v>
      </c>
      <c r="D18" s="1">
        <v>7.11</v>
      </c>
      <c r="E18" s="131">
        <v>77.11</v>
      </c>
      <c r="F18" s="153">
        <v>5.4</v>
      </c>
      <c r="G18" s="116">
        <v>4.71</v>
      </c>
      <c r="H18" s="96">
        <v>43.973999999999997</v>
      </c>
      <c r="I18" s="96">
        <v>3.17</v>
      </c>
      <c r="J18" s="86">
        <v>50.82</v>
      </c>
      <c r="K18" s="154">
        <v>6.91</v>
      </c>
      <c r="L18" s="114">
        <v>100.79</v>
      </c>
      <c r="M18" s="114">
        <v>62.03</v>
      </c>
      <c r="N18" s="116">
        <v>39.409999999999997</v>
      </c>
      <c r="O18" s="144">
        <v>73.819999999999993</v>
      </c>
      <c r="P18" s="76">
        <v>13.54</v>
      </c>
      <c r="Q18" s="76">
        <v>76.650000000000006</v>
      </c>
      <c r="R18" s="140">
        <v>39.61</v>
      </c>
    </row>
    <row r="19" spans="1:18" x14ac:dyDescent="0.3">
      <c r="A19" s="84">
        <v>43252</v>
      </c>
      <c r="B19" s="87">
        <v>43.05</v>
      </c>
      <c r="C19" s="96">
        <v>9.7370000000000001</v>
      </c>
      <c r="D19" s="1">
        <v>6.49</v>
      </c>
      <c r="E19" s="113">
        <v>78.06</v>
      </c>
      <c r="F19" s="101">
        <v>5.46</v>
      </c>
      <c r="G19" s="101">
        <v>5.74</v>
      </c>
      <c r="H19" s="96">
        <v>44.05</v>
      </c>
      <c r="I19" s="96">
        <v>3.1040000000000001</v>
      </c>
      <c r="J19" s="86">
        <v>51.17</v>
      </c>
      <c r="K19" s="113">
        <v>6.923</v>
      </c>
      <c r="L19" s="114">
        <v>101.74</v>
      </c>
      <c r="M19" s="114">
        <v>62.26</v>
      </c>
      <c r="N19" s="111">
        <v>40.19</v>
      </c>
      <c r="O19" s="144">
        <v>74.75</v>
      </c>
      <c r="P19" s="76">
        <v>13.75</v>
      </c>
      <c r="Q19" s="76">
        <v>77.56</v>
      </c>
      <c r="R19" s="76">
        <v>40.18</v>
      </c>
    </row>
    <row r="20" spans="1:18" x14ac:dyDescent="0.3">
      <c r="A20" s="84">
        <v>43435</v>
      </c>
      <c r="B20" s="87">
        <v>43.6</v>
      </c>
      <c r="C20" s="96">
        <v>9.74</v>
      </c>
      <c r="D20" s="1">
        <v>5.46</v>
      </c>
      <c r="E20" s="113">
        <v>79.03</v>
      </c>
      <c r="F20" s="101">
        <v>5.52</v>
      </c>
      <c r="G20" s="101">
        <v>5.67</v>
      </c>
      <c r="H20" s="96">
        <v>44.32</v>
      </c>
      <c r="I20" s="96">
        <v>3.17</v>
      </c>
      <c r="J20" s="96">
        <v>51.88</v>
      </c>
      <c r="K20" s="113">
        <v>6.9359999999999999</v>
      </c>
      <c r="L20" s="114">
        <v>102.19</v>
      </c>
      <c r="M20" s="114">
        <v>62.36</v>
      </c>
      <c r="N20" s="111">
        <v>40.14</v>
      </c>
      <c r="O20" s="144">
        <v>75.08</v>
      </c>
      <c r="P20" s="76">
        <v>13.72</v>
      </c>
      <c r="Q20" s="76">
        <v>78.459999999999994</v>
      </c>
      <c r="R20" s="76">
        <v>40.659999999999997</v>
      </c>
    </row>
    <row r="21" spans="1:18" x14ac:dyDescent="0.3">
      <c r="A21" s="84">
        <v>43617</v>
      </c>
      <c r="B21" s="87">
        <v>44.7</v>
      </c>
      <c r="C21" s="96">
        <v>9.75</v>
      </c>
      <c r="D21" s="1">
        <v>5.63</v>
      </c>
      <c r="E21" s="131">
        <v>79.98</v>
      </c>
      <c r="F21" s="153">
        <v>5.58</v>
      </c>
      <c r="G21" s="116">
        <v>5.85</v>
      </c>
      <c r="H21" s="96">
        <v>44.39</v>
      </c>
      <c r="I21" s="114">
        <v>3.23</v>
      </c>
      <c r="J21" s="86">
        <v>51.89</v>
      </c>
      <c r="K21" s="154">
        <v>6.95</v>
      </c>
      <c r="L21" s="114">
        <v>103.9</v>
      </c>
      <c r="M21" s="114">
        <v>66.06</v>
      </c>
      <c r="N21" s="116">
        <v>40.090000000000003</v>
      </c>
      <c r="O21" s="142">
        <v>76.040000000000006</v>
      </c>
      <c r="P21" s="72">
        <v>13.91</v>
      </c>
      <c r="Q21" s="144">
        <v>79.36</v>
      </c>
      <c r="R21" s="76">
        <v>41.14</v>
      </c>
    </row>
    <row r="22" spans="1:18" x14ac:dyDescent="0.3">
      <c r="A22" s="84">
        <v>43800</v>
      </c>
      <c r="B22" s="87">
        <v>45.25</v>
      </c>
      <c r="C22" s="98">
        <v>9.7579999999999991</v>
      </c>
      <c r="D22" s="96">
        <v>5.8</v>
      </c>
      <c r="E22" s="131">
        <v>81.53</v>
      </c>
      <c r="F22" s="153">
        <v>6.18</v>
      </c>
      <c r="G22" s="116">
        <v>6.4</v>
      </c>
      <c r="H22" s="114">
        <v>44.47</v>
      </c>
      <c r="I22" s="114">
        <v>3.22</v>
      </c>
      <c r="J22" s="111">
        <v>52.901000000000003</v>
      </c>
      <c r="K22" s="113">
        <v>7.11</v>
      </c>
      <c r="L22" s="114">
        <v>105.76</v>
      </c>
      <c r="M22" s="114">
        <v>65.11</v>
      </c>
      <c r="N22" s="116">
        <v>40.4</v>
      </c>
      <c r="O22" s="144">
        <v>76.95</v>
      </c>
      <c r="P22" s="76">
        <v>13.99</v>
      </c>
      <c r="Q22" s="76">
        <v>80.27</v>
      </c>
      <c r="R22" s="76">
        <v>41.69</v>
      </c>
    </row>
    <row r="23" spans="1:18" x14ac:dyDescent="0.3">
      <c r="A23" s="84">
        <v>43983</v>
      </c>
      <c r="B23" s="87">
        <v>46.35</v>
      </c>
      <c r="C23" s="96">
        <v>9.5350000000000001</v>
      </c>
      <c r="D23" s="96">
        <v>5.97</v>
      </c>
      <c r="E23" s="124">
        <v>81.99</v>
      </c>
      <c r="F23" s="153">
        <v>5.52</v>
      </c>
      <c r="G23" s="116">
        <v>4.57</v>
      </c>
      <c r="H23" s="114">
        <v>53.37</v>
      </c>
      <c r="I23" s="114">
        <v>3.1</v>
      </c>
      <c r="J23" s="86">
        <v>53.42</v>
      </c>
      <c r="K23" s="154">
        <v>7.27</v>
      </c>
      <c r="L23" s="113">
        <v>105.57</v>
      </c>
      <c r="M23" s="114">
        <v>64.900000000000006</v>
      </c>
      <c r="N23" s="116">
        <v>41.47</v>
      </c>
      <c r="O23" s="11">
        <v>78.989999999999995</v>
      </c>
      <c r="P23" s="96">
        <v>14.11</v>
      </c>
      <c r="Q23" s="76">
        <v>80.5</v>
      </c>
      <c r="R23" s="76">
        <v>42.11</v>
      </c>
    </row>
    <row r="24" spans="1:18" x14ac:dyDescent="0.3">
      <c r="A24" s="84">
        <v>44166</v>
      </c>
      <c r="B24" s="87">
        <v>46.9</v>
      </c>
      <c r="C24" s="96">
        <v>9.4860000000000007</v>
      </c>
      <c r="D24" s="96">
        <v>6.14</v>
      </c>
      <c r="E24" s="124">
        <v>82.45</v>
      </c>
      <c r="F24" s="96">
        <v>5.66</v>
      </c>
      <c r="G24" s="96">
        <v>5.73</v>
      </c>
      <c r="H24" s="114">
        <v>45.17</v>
      </c>
      <c r="I24" s="111">
        <v>3.19</v>
      </c>
      <c r="J24" s="86">
        <v>52.87</v>
      </c>
      <c r="K24" s="113">
        <v>7.07</v>
      </c>
      <c r="L24" s="114">
        <v>105.38</v>
      </c>
      <c r="M24" s="111">
        <v>64.59</v>
      </c>
      <c r="N24" s="11">
        <v>41.21</v>
      </c>
      <c r="O24" s="11">
        <v>79.849999999999994</v>
      </c>
      <c r="P24" s="11">
        <v>14.07</v>
      </c>
      <c r="Q24" s="11">
        <v>81.400000000000006</v>
      </c>
      <c r="R24" s="11">
        <v>42.76</v>
      </c>
    </row>
    <row r="25" spans="1:18" x14ac:dyDescent="0.3">
      <c r="A25" s="84">
        <v>44348</v>
      </c>
      <c r="B25" s="87">
        <v>47</v>
      </c>
      <c r="C25" s="96">
        <v>9.4359999999999999</v>
      </c>
      <c r="D25" s="96">
        <v>6.31</v>
      </c>
      <c r="E25" s="131">
        <v>82.9</v>
      </c>
      <c r="F25" s="111">
        <v>5.81</v>
      </c>
      <c r="G25" s="111">
        <v>5.84</v>
      </c>
      <c r="H25" s="111">
        <v>45.2</v>
      </c>
      <c r="I25" s="111">
        <v>3.13</v>
      </c>
      <c r="J25" s="111">
        <v>54.27</v>
      </c>
      <c r="K25" s="154">
        <v>6.89</v>
      </c>
      <c r="L25" s="125">
        <v>107.32</v>
      </c>
      <c r="M25" s="114">
        <v>64.599999999999994</v>
      </c>
      <c r="N25" s="116">
        <v>42.14</v>
      </c>
      <c r="O25" s="144">
        <v>80.97</v>
      </c>
      <c r="P25" s="11">
        <v>14.28</v>
      </c>
      <c r="Q25" s="11">
        <v>81.93</v>
      </c>
      <c r="R25" s="11">
        <v>43.08</v>
      </c>
    </row>
    <row r="26" spans="1:18" x14ac:dyDescent="0.3">
      <c r="A26" s="84">
        <v>44531</v>
      </c>
      <c r="B26" s="87">
        <v>47.1</v>
      </c>
      <c r="C26" s="96">
        <v>9.3870000000000005</v>
      </c>
      <c r="D26" s="96">
        <v>6.48</v>
      </c>
      <c r="E26" s="124">
        <v>83.37</v>
      </c>
      <c r="F26" s="111">
        <v>5.95</v>
      </c>
      <c r="G26" s="111">
        <v>5.77</v>
      </c>
      <c r="H26" s="111">
        <v>45.42</v>
      </c>
      <c r="I26" s="111">
        <v>3.19</v>
      </c>
      <c r="J26" s="111">
        <v>54.94</v>
      </c>
      <c r="K26" s="154">
        <v>7.43</v>
      </c>
      <c r="L26" s="114">
        <v>108.6</v>
      </c>
      <c r="M26" s="114">
        <v>65.430000000000007</v>
      </c>
      <c r="N26" s="111">
        <v>41.71</v>
      </c>
      <c r="O26" s="145">
        <v>84.4</v>
      </c>
      <c r="P26" s="76">
        <v>14.25</v>
      </c>
      <c r="Q26" s="76">
        <v>82.83</v>
      </c>
      <c r="R26" s="76">
        <v>43.81</v>
      </c>
    </row>
    <row r="27" spans="1:18" x14ac:dyDescent="0.3">
      <c r="A27" s="84">
        <v>44713</v>
      </c>
      <c r="B27" s="86">
        <v>47.17</v>
      </c>
      <c r="C27" s="101">
        <v>9.33</v>
      </c>
      <c r="D27" s="101">
        <v>6.65</v>
      </c>
      <c r="E27" s="131">
        <v>83.83</v>
      </c>
      <c r="F27" s="111">
        <v>5.81</v>
      </c>
      <c r="G27" s="111">
        <v>5.87</v>
      </c>
      <c r="H27" s="111">
        <v>45.62</v>
      </c>
      <c r="I27" s="111">
        <v>3.1360000000000001</v>
      </c>
      <c r="J27" s="86">
        <v>54.87</v>
      </c>
      <c r="K27" s="113">
        <v>8.0280000000000005</v>
      </c>
      <c r="L27" s="114">
        <v>110.17</v>
      </c>
      <c r="M27" s="114">
        <v>65.540000000000006</v>
      </c>
      <c r="N27" s="111">
        <v>42.29</v>
      </c>
      <c r="O27" s="111">
        <v>82.15</v>
      </c>
      <c r="P27" s="93">
        <v>14.46</v>
      </c>
      <c r="Q27" s="93">
        <v>83.37</v>
      </c>
      <c r="R27" s="140">
        <v>44.04</v>
      </c>
    </row>
    <row r="28" spans="1:18" x14ac:dyDescent="0.3">
      <c r="A28" s="84">
        <v>44896</v>
      </c>
      <c r="B28" s="87">
        <v>47.7</v>
      </c>
      <c r="C28" s="96">
        <v>9.2880000000000003</v>
      </c>
      <c r="D28" s="96">
        <v>6.82</v>
      </c>
      <c r="E28" s="124">
        <v>84.6</v>
      </c>
      <c r="F28" s="96">
        <v>5.67</v>
      </c>
      <c r="G28" s="96">
        <v>5.8</v>
      </c>
      <c r="H28" s="96">
        <v>45.82</v>
      </c>
      <c r="I28" s="96">
        <v>3.1890000000000001</v>
      </c>
      <c r="J28" s="86">
        <v>56.76</v>
      </c>
      <c r="K28" s="154">
        <v>8.6300000000000008</v>
      </c>
      <c r="L28" s="114">
        <v>110.78</v>
      </c>
      <c r="M28" s="131">
        <v>67.06</v>
      </c>
      <c r="N28" s="126">
        <v>42.19</v>
      </c>
      <c r="O28" s="126">
        <v>83.01</v>
      </c>
      <c r="P28" s="126">
        <v>14.44</v>
      </c>
      <c r="Q28" s="126">
        <v>84.27</v>
      </c>
      <c r="R28" s="140">
        <v>44.86</v>
      </c>
    </row>
    <row r="29" spans="1:18" x14ac:dyDescent="0.3">
      <c r="A29" s="84">
        <v>45078</v>
      </c>
      <c r="B29" s="96">
        <v>47.988999999999997</v>
      </c>
      <c r="C29" s="96">
        <v>9.2390000000000008</v>
      </c>
      <c r="D29" s="96">
        <v>7.02</v>
      </c>
      <c r="E29" s="124">
        <v>85.17</v>
      </c>
      <c r="F29" s="96">
        <v>5.52</v>
      </c>
      <c r="G29" s="96">
        <v>5.91</v>
      </c>
      <c r="H29" s="96">
        <v>46.03</v>
      </c>
      <c r="I29" s="96">
        <v>3.18</v>
      </c>
      <c r="J29" s="96">
        <v>56.311</v>
      </c>
      <c r="K29" s="155">
        <v>8.35</v>
      </c>
      <c r="L29" s="124">
        <v>111.72</v>
      </c>
      <c r="M29" s="114">
        <v>67.77</v>
      </c>
      <c r="N29" s="111">
        <v>42.76</v>
      </c>
      <c r="O29" s="111">
        <v>83.24</v>
      </c>
      <c r="P29" s="111">
        <v>14.63</v>
      </c>
      <c r="Q29" s="111">
        <v>84.81</v>
      </c>
      <c r="R29" s="150">
        <v>44.18</v>
      </c>
    </row>
    <row r="30" spans="1:18" x14ac:dyDescent="0.3">
      <c r="A30" s="84">
        <v>45261</v>
      </c>
      <c r="B30" s="96">
        <v>48.27</v>
      </c>
      <c r="C30" s="96">
        <v>9.18</v>
      </c>
      <c r="D30" s="96">
        <v>7.12</v>
      </c>
      <c r="E30" s="124">
        <v>85.75</v>
      </c>
      <c r="F30" s="96">
        <v>5.38</v>
      </c>
      <c r="G30" s="96">
        <v>5.84</v>
      </c>
      <c r="H30" s="96">
        <v>46.21</v>
      </c>
      <c r="I30" s="96">
        <v>3.13</v>
      </c>
      <c r="J30" s="96">
        <v>56.978999999999999</v>
      </c>
      <c r="K30" s="124">
        <v>8.07</v>
      </c>
      <c r="L30" s="124">
        <v>112.66</v>
      </c>
      <c r="M30" s="124">
        <v>67.39</v>
      </c>
      <c r="N30" s="124">
        <v>42.66</v>
      </c>
      <c r="O30" s="124">
        <v>84.1</v>
      </c>
      <c r="P30" s="124">
        <v>14.6</v>
      </c>
      <c r="Q30" s="124">
        <v>85.71</v>
      </c>
      <c r="R30" s="124">
        <v>44.93</v>
      </c>
    </row>
    <row r="31" spans="1:18" x14ac:dyDescent="0.3">
      <c r="A31" s="84">
        <v>45444</v>
      </c>
      <c r="B31" s="96">
        <v>48.558</v>
      </c>
      <c r="C31" s="96">
        <v>9.1300000000000008</v>
      </c>
      <c r="D31" s="96">
        <v>7.33</v>
      </c>
      <c r="E31" s="124">
        <v>86.33</v>
      </c>
      <c r="F31" s="153">
        <v>5.24</v>
      </c>
      <c r="G31" s="118">
        <v>5.95</v>
      </c>
      <c r="H31" s="96">
        <v>46.43</v>
      </c>
      <c r="I31" s="96">
        <v>3.16</v>
      </c>
      <c r="J31" s="96">
        <v>57.33</v>
      </c>
      <c r="K31" s="124">
        <v>7.79</v>
      </c>
      <c r="L31" s="85">
        <v>113.6</v>
      </c>
      <c r="M31" s="114">
        <v>68.680000000000007</v>
      </c>
      <c r="N31" s="111">
        <v>43.22</v>
      </c>
      <c r="O31" s="111">
        <v>83.91</v>
      </c>
      <c r="P31" s="111">
        <v>14.82</v>
      </c>
      <c r="Q31" s="111">
        <v>86.27</v>
      </c>
      <c r="R31" s="111">
        <v>44.25</v>
      </c>
    </row>
    <row r="32" spans="1:18" x14ac:dyDescent="0.3">
      <c r="A32" s="84">
        <v>45627</v>
      </c>
      <c r="B32" s="158">
        <v>48.844000000000001</v>
      </c>
      <c r="C32" s="158">
        <v>9.09</v>
      </c>
      <c r="D32" s="158">
        <v>7.57</v>
      </c>
      <c r="E32" s="159">
        <v>86.91</v>
      </c>
      <c r="F32" s="158">
        <v>5.0999999999999996</v>
      </c>
      <c r="G32" s="117">
        <v>5.94</v>
      </c>
      <c r="H32" s="150">
        <v>46.7</v>
      </c>
      <c r="I32" s="150">
        <v>3.1829999999999998</v>
      </c>
      <c r="J32" s="160">
        <v>58.32</v>
      </c>
      <c r="K32" s="161">
        <v>7.51</v>
      </c>
      <c r="L32" s="85">
        <v>112.44</v>
      </c>
      <c r="M32" s="114">
        <v>67.61</v>
      </c>
      <c r="N32" s="117">
        <v>42.87</v>
      </c>
      <c r="O32" s="145">
        <v>84.4</v>
      </c>
      <c r="P32" s="93">
        <v>14.79</v>
      </c>
      <c r="Q32" s="93">
        <v>87.29</v>
      </c>
      <c r="R32" s="99">
        <v>45</v>
      </c>
    </row>
    <row r="33" spans="1:18" x14ac:dyDescent="0.3">
      <c r="A33" s="84">
        <v>45809</v>
      </c>
      <c r="B33" s="162">
        <f>(B34+B32)/2</f>
        <v>48.987000000000002</v>
      </c>
      <c r="C33" s="162">
        <f t="shared" ref="C33:I33" si="0">(C34+C32)/2</f>
        <v>9.1050000000000004</v>
      </c>
      <c r="D33" s="162">
        <f t="shared" si="0"/>
        <v>7.6850000000000005</v>
      </c>
      <c r="E33" s="162">
        <f t="shared" si="0"/>
        <v>87.484999999999999</v>
      </c>
      <c r="F33" s="162">
        <f t="shared" si="0"/>
        <v>4.9550000000000001</v>
      </c>
      <c r="G33" s="162">
        <f t="shared" si="0"/>
        <v>5.915</v>
      </c>
      <c r="H33" s="162">
        <f t="shared" si="0"/>
        <v>46.870000000000005</v>
      </c>
      <c r="I33" s="162">
        <f t="shared" si="0"/>
        <v>3.1905000000000001</v>
      </c>
      <c r="J33" s="162">
        <f>(J34+J32)/2</f>
        <v>58.67</v>
      </c>
      <c r="K33" s="162">
        <f t="shared" ref="K33" si="1">(K34+K32)/2</f>
        <v>7.59</v>
      </c>
      <c r="L33" s="85">
        <v>114.39</v>
      </c>
      <c r="M33" s="114">
        <v>68.86</v>
      </c>
      <c r="N33" s="96">
        <v>43.6</v>
      </c>
      <c r="O33" s="96">
        <v>84.49</v>
      </c>
      <c r="P33" s="96">
        <v>15.03</v>
      </c>
      <c r="Q33" s="96">
        <v>87.33</v>
      </c>
      <c r="R33" s="101">
        <v>45.2</v>
      </c>
    </row>
    <row r="34" spans="1:18" x14ac:dyDescent="0.3">
      <c r="A34" s="84">
        <v>45992</v>
      </c>
      <c r="B34" s="85">
        <v>49.13</v>
      </c>
      <c r="C34" s="96">
        <v>9.1199999999999992</v>
      </c>
      <c r="D34" s="96">
        <v>7.8</v>
      </c>
      <c r="E34" s="124">
        <v>88.06</v>
      </c>
      <c r="F34" s="96">
        <v>4.8099999999999996</v>
      </c>
      <c r="G34" s="96">
        <v>5.89</v>
      </c>
      <c r="H34" s="96">
        <v>47.04</v>
      </c>
      <c r="I34" s="96">
        <v>3.198</v>
      </c>
      <c r="J34" s="96">
        <v>59.02</v>
      </c>
      <c r="K34" s="124">
        <v>7.67</v>
      </c>
      <c r="L34" s="96">
        <v>115.1</v>
      </c>
      <c r="M34" s="96">
        <v>68.69</v>
      </c>
      <c r="N34" s="114">
        <v>43.72</v>
      </c>
      <c r="O34" s="111">
        <v>85.25</v>
      </c>
      <c r="P34" s="111">
        <v>15.34</v>
      </c>
      <c r="Q34" s="111">
        <v>88.59</v>
      </c>
      <c r="R34" s="99">
        <v>45.94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DC7A-864B-4600-A0C7-4AF405A58F78}">
  <dimension ref="A1:I49"/>
  <sheetViews>
    <sheetView topLeftCell="A6" workbookViewId="0">
      <selection activeCell="E44" sqref="E44"/>
    </sheetView>
  </sheetViews>
  <sheetFormatPr baseColWidth="10" defaultRowHeight="14.4" x14ac:dyDescent="0.3"/>
  <cols>
    <col min="3" max="3" width="13.88671875" customWidth="1"/>
    <col min="5" max="5" width="11.5546875" style="81"/>
    <col min="6" max="6" width="13.77734375" style="81" customWidth="1"/>
    <col min="7" max="7" width="13.88671875" style="81" customWidth="1"/>
    <col min="8" max="9" width="11.5546875" style="81"/>
  </cols>
  <sheetData>
    <row r="1" spans="1:8" x14ac:dyDescent="0.3">
      <c r="A1" s="509" t="s">
        <v>0</v>
      </c>
      <c r="B1" s="510"/>
      <c r="C1" s="511"/>
      <c r="E1" s="529" t="s">
        <v>0</v>
      </c>
      <c r="F1" s="530"/>
      <c r="G1" s="530"/>
    </row>
    <row r="2" spans="1:8" ht="28.8" x14ac:dyDescent="0.3">
      <c r="A2" s="8" t="s">
        <v>1</v>
      </c>
      <c r="B2" s="8" t="s">
        <v>2</v>
      </c>
      <c r="C2" s="8" t="s">
        <v>3</v>
      </c>
      <c r="E2" s="95" t="s">
        <v>1</v>
      </c>
      <c r="F2" s="95" t="s">
        <v>2</v>
      </c>
      <c r="G2" s="95" t="s">
        <v>3</v>
      </c>
    </row>
    <row r="3" spans="1:8" x14ac:dyDescent="0.3">
      <c r="A3" s="79">
        <v>40224</v>
      </c>
      <c r="B3" s="80">
        <v>34.450000000000003</v>
      </c>
      <c r="C3" s="80">
        <v>140.55000000000001</v>
      </c>
      <c r="E3" s="84">
        <v>40330</v>
      </c>
      <c r="F3" s="85">
        <v>34.07</v>
      </c>
      <c r="G3" s="85">
        <v>140.93</v>
      </c>
      <c r="H3" s="81">
        <f>F3+G3</f>
        <v>175</v>
      </c>
    </row>
    <row r="4" spans="1:8" x14ac:dyDescent="0.3">
      <c r="A4" s="79">
        <v>40235</v>
      </c>
      <c r="B4" s="80">
        <v>34.979999999999997</v>
      </c>
      <c r="C4" s="80">
        <v>140.02000000000001</v>
      </c>
      <c r="E4" s="84">
        <v>40513</v>
      </c>
      <c r="F4" s="85">
        <v>34.549999999999997</v>
      </c>
      <c r="G4" s="85">
        <v>140.44999999999999</v>
      </c>
      <c r="H4" s="81">
        <f t="shared" ref="H4:H33" si="0">F4+G4</f>
        <v>175</v>
      </c>
    </row>
    <row r="5" spans="1:8" x14ac:dyDescent="0.3">
      <c r="A5" s="79">
        <v>40287</v>
      </c>
      <c r="B5" s="80">
        <v>33.85</v>
      </c>
      <c r="C5" s="80">
        <v>141.15</v>
      </c>
      <c r="E5" s="84">
        <v>40695</v>
      </c>
      <c r="F5" s="85">
        <v>34.54</v>
      </c>
      <c r="G5" s="85">
        <v>140.46</v>
      </c>
      <c r="H5" s="81">
        <f t="shared" si="0"/>
        <v>175</v>
      </c>
    </row>
    <row r="6" spans="1:8" x14ac:dyDescent="0.3">
      <c r="A6" s="79">
        <v>40305</v>
      </c>
      <c r="B6" s="80">
        <v>34.869999999999997</v>
      </c>
      <c r="C6" s="80">
        <v>140.13</v>
      </c>
      <c r="E6" s="84">
        <v>40878</v>
      </c>
      <c r="F6" s="85">
        <v>34.049999999999997</v>
      </c>
      <c r="G6" s="85">
        <v>140.94999999999999</v>
      </c>
      <c r="H6" s="81">
        <f t="shared" si="0"/>
        <v>175</v>
      </c>
    </row>
    <row r="7" spans="1:8" x14ac:dyDescent="0.3">
      <c r="A7" s="79">
        <v>40331</v>
      </c>
      <c r="B7" s="80">
        <v>34.07</v>
      </c>
      <c r="C7" s="80">
        <v>140.93</v>
      </c>
      <c r="E7" s="84">
        <v>41061</v>
      </c>
      <c r="F7" s="85">
        <v>34.799999999999997</v>
      </c>
      <c r="G7" s="85">
        <v>140.19999999999999</v>
      </c>
      <c r="H7" s="81">
        <f t="shared" si="0"/>
        <v>175</v>
      </c>
    </row>
    <row r="8" spans="1:8" x14ac:dyDescent="0.3">
      <c r="A8" s="82">
        <v>40417</v>
      </c>
      <c r="B8" s="83">
        <v>34.549999999999997</v>
      </c>
      <c r="C8" s="83">
        <v>140.44999999999999</v>
      </c>
      <c r="E8" s="84">
        <v>41244</v>
      </c>
      <c r="F8" s="85">
        <v>34.72</v>
      </c>
      <c r="G8" s="85">
        <v>140.28</v>
      </c>
      <c r="H8" s="81">
        <f t="shared" si="0"/>
        <v>175</v>
      </c>
    </row>
    <row r="9" spans="1:8" x14ac:dyDescent="0.3">
      <c r="A9" s="9">
        <v>40575</v>
      </c>
      <c r="B9" s="10">
        <v>34.65</v>
      </c>
      <c r="C9" s="10">
        <v>140.35</v>
      </c>
      <c r="E9" s="84">
        <v>41426</v>
      </c>
      <c r="F9" s="85">
        <v>35.5</v>
      </c>
      <c r="G9" s="85">
        <v>139.5</v>
      </c>
      <c r="H9" s="81">
        <f t="shared" si="0"/>
        <v>175</v>
      </c>
    </row>
    <row r="10" spans="1:8" x14ac:dyDescent="0.3">
      <c r="A10" s="9">
        <v>40679</v>
      </c>
      <c r="B10" s="10">
        <v>34.57</v>
      </c>
      <c r="C10" s="10">
        <v>140.43</v>
      </c>
      <c r="E10" s="84">
        <v>41609</v>
      </c>
      <c r="F10" s="85">
        <v>35.85</v>
      </c>
      <c r="G10" s="85">
        <v>139.15</v>
      </c>
      <c r="H10" s="81">
        <f t="shared" si="0"/>
        <v>175</v>
      </c>
    </row>
    <row r="11" spans="1:8" x14ac:dyDescent="0.3">
      <c r="A11" s="82">
        <v>40745</v>
      </c>
      <c r="B11" s="83">
        <v>34.54</v>
      </c>
      <c r="C11" s="83">
        <v>140.46</v>
      </c>
      <c r="E11" s="84">
        <v>41791</v>
      </c>
      <c r="F11" s="86">
        <v>36.979999999999997</v>
      </c>
      <c r="G11" s="86">
        <v>138.02000000000001</v>
      </c>
      <c r="H11" s="81">
        <f t="shared" si="0"/>
        <v>175</v>
      </c>
    </row>
    <row r="12" spans="1:8" x14ac:dyDescent="0.3">
      <c r="A12" s="9">
        <v>40777</v>
      </c>
      <c r="B12" s="10">
        <v>34.39</v>
      </c>
      <c r="C12" s="10">
        <v>140.61000000000001</v>
      </c>
      <c r="E12" s="84">
        <v>41974</v>
      </c>
      <c r="F12" s="86">
        <v>36.979999999999997</v>
      </c>
      <c r="G12" s="86">
        <v>138.02000000000001</v>
      </c>
      <c r="H12" s="81">
        <f t="shared" si="0"/>
        <v>175</v>
      </c>
    </row>
    <row r="13" spans="1:8" x14ac:dyDescent="0.3">
      <c r="A13" s="9">
        <v>40800</v>
      </c>
      <c r="B13" s="10">
        <v>34.1</v>
      </c>
      <c r="C13" s="10">
        <v>140.9</v>
      </c>
      <c r="E13" s="84">
        <v>42156</v>
      </c>
      <c r="F13" s="86">
        <v>38.76</v>
      </c>
      <c r="G13" s="86">
        <v>136.24</v>
      </c>
      <c r="H13" s="81">
        <f t="shared" si="0"/>
        <v>175</v>
      </c>
    </row>
    <row r="14" spans="1:8" x14ac:dyDescent="0.3">
      <c r="A14" s="9">
        <v>40814</v>
      </c>
      <c r="B14" s="10">
        <v>34.19</v>
      </c>
      <c r="C14" s="10">
        <v>140.81</v>
      </c>
      <c r="E14" s="84">
        <v>42339</v>
      </c>
      <c r="F14" s="86">
        <v>39.69</v>
      </c>
      <c r="G14" s="86">
        <v>135.31</v>
      </c>
      <c r="H14" s="81">
        <f t="shared" si="0"/>
        <v>175</v>
      </c>
    </row>
    <row r="15" spans="1:8" x14ac:dyDescent="0.3">
      <c r="A15" s="9">
        <v>40834</v>
      </c>
      <c r="B15" s="10">
        <v>34.15</v>
      </c>
      <c r="C15" s="10">
        <v>140.85</v>
      </c>
      <c r="E15" s="84">
        <v>42522</v>
      </c>
      <c r="F15" s="86">
        <v>40.65</v>
      </c>
      <c r="G15" s="86">
        <v>134.35</v>
      </c>
      <c r="H15" s="81">
        <f t="shared" si="0"/>
        <v>175</v>
      </c>
    </row>
    <row r="16" spans="1:8" x14ac:dyDescent="0.3">
      <c r="A16" s="82">
        <v>40864</v>
      </c>
      <c r="B16" s="83">
        <v>34.049999999999997</v>
      </c>
      <c r="C16" s="83">
        <v>140.94999999999999</v>
      </c>
      <c r="E16" s="84">
        <v>42705</v>
      </c>
      <c r="F16" s="86">
        <v>41.1</v>
      </c>
      <c r="G16" s="86">
        <v>133.9</v>
      </c>
      <c r="H16" s="81">
        <f t="shared" si="0"/>
        <v>175</v>
      </c>
    </row>
    <row r="17" spans="1:8" x14ac:dyDescent="0.3">
      <c r="A17" s="9">
        <v>40911</v>
      </c>
      <c r="B17" s="10">
        <v>34.35</v>
      </c>
      <c r="C17" s="9">
        <v>140.65</v>
      </c>
      <c r="E17" s="84">
        <v>42887</v>
      </c>
      <c r="F17" s="86">
        <v>41.93</v>
      </c>
      <c r="G17" s="86">
        <v>133.07</v>
      </c>
      <c r="H17" s="81">
        <f t="shared" si="0"/>
        <v>175</v>
      </c>
    </row>
    <row r="18" spans="1:8" x14ac:dyDescent="0.3">
      <c r="A18" s="9">
        <v>40963</v>
      </c>
      <c r="B18" s="10">
        <v>34.6</v>
      </c>
      <c r="C18" s="9">
        <v>140.4</v>
      </c>
      <c r="E18" s="84">
        <v>43070</v>
      </c>
      <c r="F18" s="86">
        <v>41.99</v>
      </c>
      <c r="G18" s="86">
        <v>133.01</v>
      </c>
      <c r="H18" s="81">
        <f t="shared" si="0"/>
        <v>175</v>
      </c>
    </row>
    <row r="19" spans="1:8" x14ac:dyDescent="0.3">
      <c r="A19" s="82">
        <v>41073</v>
      </c>
      <c r="B19" s="83">
        <v>34.799999999999997</v>
      </c>
      <c r="C19" s="83">
        <v>140.19999999999999</v>
      </c>
      <c r="E19" s="84">
        <v>43252</v>
      </c>
      <c r="F19" s="87">
        <v>43.05</v>
      </c>
      <c r="G19" s="87">
        <v>131.94999999999999</v>
      </c>
      <c r="H19" s="81">
        <f t="shared" si="0"/>
        <v>175</v>
      </c>
    </row>
    <row r="20" spans="1:8" x14ac:dyDescent="0.3">
      <c r="A20" s="9">
        <v>41098</v>
      </c>
      <c r="B20" s="10">
        <v>34.799999999999997</v>
      </c>
      <c r="C20" s="10">
        <v>140.19999999999999</v>
      </c>
      <c r="E20" s="84">
        <v>43435</v>
      </c>
      <c r="F20" s="87">
        <v>43.6</v>
      </c>
      <c r="G20" s="87">
        <v>131.4</v>
      </c>
      <c r="H20" s="81">
        <f t="shared" si="0"/>
        <v>175</v>
      </c>
    </row>
    <row r="21" spans="1:8" x14ac:dyDescent="0.3">
      <c r="A21" s="9">
        <v>41191</v>
      </c>
      <c r="B21" s="10">
        <v>35.49</v>
      </c>
      <c r="C21" s="10">
        <v>139.51</v>
      </c>
      <c r="E21" s="84">
        <v>43617</v>
      </c>
      <c r="F21" s="87">
        <v>44.7</v>
      </c>
      <c r="G21" s="87">
        <v>130.30000000000001</v>
      </c>
      <c r="H21" s="81">
        <f t="shared" si="0"/>
        <v>175</v>
      </c>
    </row>
    <row r="22" spans="1:8" x14ac:dyDescent="0.3">
      <c r="A22" s="82">
        <v>41228</v>
      </c>
      <c r="B22" s="83">
        <v>34.72</v>
      </c>
      <c r="C22" s="83">
        <v>140.28</v>
      </c>
      <c r="E22" s="84">
        <v>43800</v>
      </c>
      <c r="F22" s="87">
        <v>45.25</v>
      </c>
      <c r="G22" s="87">
        <v>129.75</v>
      </c>
      <c r="H22" s="81">
        <f t="shared" si="0"/>
        <v>175</v>
      </c>
    </row>
    <row r="23" spans="1:8" x14ac:dyDescent="0.3">
      <c r="A23" s="9">
        <v>41278</v>
      </c>
      <c r="B23" s="10">
        <v>35.200000000000003</v>
      </c>
      <c r="C23" s="10">
        <v>139.80000000000001</v>
      </c>
      <c r="E23" s="84">
        <v>43983</v>
      </c>
      <c r="F23" s="87">
        <v>46.35</v>
      </c>
      <c r="G23" s="87">
        <v>128.65</v>
      </c>
      <c r="H23" s="81">
        <f t="shared" si="0"/>
        <v>175</v>
      </c>
    </row>
    <row r="24" spans="1:8" x14ac:dyDescent="0.3">
      <c r="A24" s="9">
        <v>41401</v>
      </c>
      <c r="B24" s="10">
        <v>35.43</v>
      </c>
      <c r="C24" s="10">
        <v>139.57</v>
      </c>
      <c r="E24" s="84">
        <v>44166</v>
      </c>
      <c r="F24" s="87">
        <v>46.9</v>
      </c>
      <c r="G24" s="87">
        <v>126.1</v>
      </c>
      <c r="H24" s="81">
        <f t="shared" si="0"/>
        <v>173</v>
      </c>
    </row>
    <row r="25" spans="1:8" x14ac:dyDescent="0.3">
      <c r="A25" s="82">
        <v>41437</v>
      </c>
      <c r="B25" s="83">
        <v>35.5</v>
      </c>
      <c r="C25" s="83">
        <v>139.5</v>
      </c>
      <c r="E25" s="84">
        <v>44348</v>
      </c>
      <c r="F25" s="87">
        <v>47</v>
      </c>
      <c r="G25" s="87">
        <v>128</v>
      </c>
      <c r="H25" s="81">
        <f t="shared" si="0"/>
        <v>175</v>
      </c>
    </row>
    <row r="26" spans="1:8" x14ac:dyDescent="0.3">
      <c r="A26" s="9">
        <v>41471</v>
      </c>
      <c r="B26" s="10">
        <v>35.58</v>
      </c>
      <c r="C26" s="10">
        <v>139.41999999999999</v>
      </c>
      <c r="E26" s="84">
        <v>44531</v>
      </c>
      <c r="F26" s="87">
        <v>47.1</v>
      </c>
      <c r="G26" s="87">
        <v>127.9</v>
      </c>
      <c r="H26" s="81">
        <f t="shared" si="0"/>
        <v>175</v>
      </c>
    </row>
    <row r="27" spans="1:8" x14ac:dyDescent="0.3">
      <c r="A27" s="9">
        <v>41506</v>
      </c>
      <c r="B27" s="10">
        <v>35.549999999999997</v>
      </c>
      <c r="C27" s="10">
        <v>139.44999999999999</v>
      </c>
      <c r="E27" s="84">
        <v>44713</v>
      </c>
      <c r="F27" s="86">
        <v>47.17</v>
      </c>
      <c r="G27" s="86">
        <v>127.83</v>
      </c>
      <c r="H27" s="81">
        <f t="shared" si="0"/>
        <v>175</v>
      </c>
    </row>
    <row r="28" spans="1:8" x14ac:dyDescent="0.3">
      <c r="A28" s="82">
        <v>41617</v>
      </c>
      <c r="B28" s="83">
        <v>35.85</v>
      </c>
      <c r="C28" s="83">
        <v>139.15</v>
      </c>
      <c r="E28" s="84">
        <v>44896</v>
      </c>
      <c r="F28" s="87">
        <v>47.7</v>
      </c>
      <c r="G28" s="87">
        <v>127.3</v>
      </c>
      <c r="H28" s="81">
        <f t="shared" si="0"/>
        <v>175</v>
      </c>
    </row>
    <row r="29" spans="1:8" x14ac:dyDescent="0.3">
      <c r="A29" s="9">
        <v>41647</v>
      </c>
      <c r="B29" s="10">
        <v>36.54</v>
      </c>
      <c r="C29" s="10">
        <v>138.46</v>
      </c>
      <c r="E29" s="84">
        <v>45078</v>
      </c>
      <c r="F29" s="96">
        <v>47.988999999999997</v>
      </c>
      <c r="G29" s="96">
        <f>175-F29</f>
        <v>127.011</v>
      </c>
      <c r="H29" s="81">
        <f t="shared" si="0"/>
        <v>175</v>
      </c>
    </row>
    <row r="30" spans="1:8" x14ac:dyDescent="0.3">
      <c r="A30" s="9">
        <v>41683</v>
      </c>
      <c r="B30" s="10">
        <v>36.72</v>
      </c>
      <c r="C30" s="10">
        <v>138.28</v>
      </c>
      <c r="E30" s="84">
        <v>45261</v>
      </c>
      <c r="F30" s="96">
        <v>48.27</v>
      </c>
      <c r="G30" s="96">
        <f t="shared" ref="G30:G33" si="1">175-F30</f>
        <v>126.72999999999999</v>
      </c>
      <c r="H30" s="81">
        <f t="shared" si="0"/>
        <v>175</v>
      </c>
    </row>
    <row r="31" spans="1:8" x14ac:dyDescent="0.3">
      <c r="A31" s="9">
        <v>41764</v>
      </c>
      <c r="B31" s="10">
        <v>36.950000000000003</v>
      </c>
      <c r="C31" s="10">
        <v>138.05000000000001</v>
      </c>
      <c r="E31" s="84">
        <v>45444</v>
      </c>
      <c r="F31" s="96">
        <v>48.558</v>
      </c>
      <c r="G31" s="96">
        <f t="shared" si="1"/>
        <v>126.44200000000001</v>
      </c>
      <c r="H31" s="81">
        <f t="shared" si="0"/>
        <v>175</v>
      </c>
    </row>
    <row r="32" spans="1:8" x14ac:dyDescent="0.3">
      <c r="A32" s="82">
        <v>41793</v>
      </c>
      <c r="B32" s="83">
        <v>36.979999999999997</v>
      </c>
      <c r="C32" s="83">
        <v>138.02000000000001</v>
      </c>
      <c r="E32" s="84">
        <v>45627</v>
      </c>
      <c r="F32" s="96">
        <v>48.844000000000001</v>
      </c>
      <c r="G32" s="96">
        <f t="shared" si="1"/>
        <v>126.15600000000001</v>
      </c>
      <c r="H32" s="81">
        <f t="shared" si="0"/>
        <v>175</v>
      </c>
    </row>
    <row r="33" spans="1:8" x14ac:dyDescent="0.3">
      <c r="A33" s="9">
        <v>41830</v>
      </c>
      <c r="B33" s="11">
        <v>37.03</v>
      </c>
      <c r="C33" s="10">
        <v>137.97</v>
      </c>
      <c r="E33" s="84">
        <v>45992</v>
      </c>
      <c r="F33" s="85">
        <v>49.13</v>
      </c>
      <c r="G33" s="96">
        <f t="shared" si="1"/>
        <v>125.87</v>
      </c>
      <c r="H33" s="81">
        <f t="shared" si="0"/>
        <v>175</v>
      </c>
    </row>
    <row r="34" spans="1:8" x14ac:dyDescent="0.3">
      <c r="A34" s="82">
        <v>41976</v>
      </c>
      <c r="B34" s="83">
        <v>36.979999999999997</v>
      </c>
      <c r="C34" s="83">
        <v>138.02000000000001</v>
      </c>
    </row>
    <row r="35" spans="1:8" x14ac:dyDescent="0.3">
      <c r="A35" s="82">
        <v>42110</v>
      </c>
      <c r="B35" s="83">
        <v>38.76</v>
      </c>
      <c r="C35" s="83">
        <v>136.24</v>
      </c>
    </row>
    <row r="36" spans="1:8" x14ac:dyDescent="0.3">
      <c r="A36" s="9">
        <v>42009</v>
      </c>
      <c r="B36" s="10">
        <v>38.19</v>
      </c>
      <c r="C36" s="10">
        <v>136.81</v>
      </c>
    </row>
    <row r="37" spans="1:8" x14ac:dyDescent="0.3">
      <c r="A37" s="9">
        <v>42221</v>
      </c>
      <c r="B37" s="10">
        <v>39.17</v>
      </c>
      <c r="C37" s="10">
        <v>135.83000000000001</v>
      </c>
    </row>
    <row r="38" spans="1:8" x14ac:dyDescent="0.3">
      <c r="A38" s="82">
        <v>42353</v>
      </c>
      <c r="B38" s="83">
        <v>39.69</v>
      </c>
      <c r="C38" s="83">
        <v>135.31</v>
      </c>
    </row>
    <row r="39" spans="1:8" x14ac:dyDescent="0.3">
      <c r="A39" s="9">
        <v>42387</v>
      </c>
      <c r="B39" s="10">
        <v>39.93</v>
      </c>
      <c r="C39" s="10">
        <v>135.07</v>
      </c>
    </row>
    <row r="40" spans="1:8" x14ac:dyDescent="0.3">
      <c r="A40" s="9">
        <v>42429</v>
      </c>
      <c r="B40" s="10">
        <v>40.42</v>
      </c>
      <c r="C40" s="10">
        <v>134.58000000000001</v>
      </c>
    </row>
    <row r="41" spans="1:8" x14ac:dyDescent="0.3">
      <c r="A41" s="82">
        <v>42471</v>
      </c>
      <c r="B41" s="83">
        <v>40.65</v>
      </c>
      <c r="C41" s="83">
        <v>134.35</v>
      </c>
    </row>
    <row r="42" spans="1:8" x14ac:dyDescent="0.3">
      <c r="A42" s="9">
        <v>42591</v>
      </c>
      <c r="B42" s="10">
        <v>40.57</v>
      </c>
      <c r="C42" s="10">
        <v>134.43</v>
      </c>
    </row>
    <row r="43" spans="1:8" x14ac:dyDescent="0.3">
      <c r="A43" s="82">
        <v>42702</v>
      </c>
      <c r="B43" s="83">
        <v>41.1</v>
      </c>
      <c r="C43" s="83">
        <v>133.9</v>
      </c>
    </row>
    <row r="44" spans="1:8" x14ac:dyDescent="0.3">
      <c r="A44" s="9">
        <v>42774</v>
      </c>
      <c r="B44" s="10">
        <v>41.59</v>
      </c>
      <c r="C44" s="10">
        <v>133.41</v>
      </c>
    </row>
    <row r="45" spans="1:8" x14ac:dyDescent="0.3">
      <c r="A45" s="9">
        <v>42865</v>
      </c>
      <c r="B45" s="10">
        <v>41.79</v>
      </c>
      <c r="C45" s="10">
        <v>133.21</v>
      </c>
    </row>
    <row r="46" spans="1:8" x14ac:dyDescent="0.3">
      <c r="A46" s="82">
        <v>42887</v>
      </c>
      <c r="B46" s="83">
        <v>41.93</v>
      </c>
      <c r="C46" s="83">
        <v>133.07</v>
      </c>
    </row>
    <row r="47" spans="1:8" x14ac:dyDescent="0.3">
      <c r="A47" s="9">
        <v>42955</v>
      </c>
      <c r="B47" s="10">
        <v>41.8</v>
      </c>
      <c r="C47" s="10">
        <v>133.19999999999999</v>
      </c>
    </row>
    <row r="48" spans="1:8" x14ac:dyDescent="0.3">
      <c r="A48" s="82">
        <v>43048</v>
      </c>
      <c r="B48" s="83">
        <v>41.99</v>
      </c>
      <c r="C48" s="83">
        <v>133.01</v>
      </c>
    </row>
    <row r="49" spans="1:3" x14ac:dyDescent="0.3">
      <c r="A49" s="82">
        <v>44600</v>
      </c>
      <c r="B49" s="83">
        <v>47.17</v>
      </c>
      <c r="C49" s="83">
        <v>127.83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AD2F-8FBA-4C6E-A789-87675B9F5689}">
  <dimension ref="A1:J33"/>
  <sheetViews>
    <sheetView topLeftCell="A12" workbookViewId="0">
      <selection activeCell="J20" sqref="J20"/>
    </sheetView>
  </sheetViews>
  <sheetFormatPr baseColWidth="10" defaultRowHeight="14.4" x14ac:dyDescent="0.3"/>
  <cols>
    <col min="3" max="3" width="12" bestFit="1" customWidth="1"/>
    <col min="5" max="5" width="11.5546875" style="81"/>
    <col min="6" max="6" width="13.77734375" style="100" customWidth="1"/>
    <col min="7" max="7" width="13.88671875" style="100" customWidth="1"/>
  </cols>
  <sheetData>
    <row r="1" spans="1:10" x14ac:dyDescent="0.3">
      <c r="A1" s="509" t="s">
        <v>4</v>
      </c>
      <c r="B1" s="510"/>
      <c r="C1" s="511"/>
      <c r="E1" s="529" t="s">
        <v>4</v>
      </c>
      <c r="F1" s="530"/>
      <c r="G1" s="530"/>
    </row>
    <row r="2" spans="1:10" ht="28.8" x14ac:dyDescent="0.3">
      <c r="A2" s="8" t="s">
        <v>1</v>
      </c>
      <c r="B2" s="8" t="s">
        <v>2</v>
      </c>
      <c r="C2" s="8" t="s">
        <v>3</v>
      </c>
      <c r="E2" s="95" t="s">
        <v>1</v>
      </c>
      <c r="F2" s="97" t="s">
        <v>2</v>
      </c>
      <c r="G2" s="97" t="s">
        <v>3</v>
      </c>
    </row>
    <row r="3" spans="1:10" x14ac:dyDescent="0.3">
      <c r="A3" s="13">
        <v>41401</v>
      </c>
      <c r="B3" s="10">
        <v>10.16</v>
      </c>
      <c r="C3" s="10">
        <v>187.84</v>
      </c>
      <c r="E3" s="84">
        <v>40330</v>
      </c>
      <c r="F3" s="96">
        <v>10.55</v>
      </c>
      <c r="G3" s="101">
        <f t="shared" ref="G3:G10" si="0">198-F3</f>
        <v>187.45</v>
      </c>
      <c r="H3">
        <v>198</v>
      </c>
    </row>
    <row r="4" spans="1:10" x14ac:dyDescent="0.3">
      <c r="A4" s="13">
        <v>41506</v>
      </c>
      <c r="B4" s="10">
        <v>10.34</v>
      </c>
      <c r="C4" s="10">
        <v>187.66</v>
      </c>
      <c r="E4" s="84">
        <v>40513</v>
      </c>
      <c r="F4" s="96">
        <v>10.52</v>
      </c>
      <c r="G4" s="101">
        <f t="shared" si="0"/>
        <v>187.48</v>
      </c>
    </row>
    <row r="5" spans="1:10" x14ac:dyDescent="0.3">
      <c r="A5" s="13">
        <v>41556</v>
      </c>
      <c r="B5" s="10">
        <v>9.42</v>
      </c>
      <c r="C5" s="10">
        <v>188.58</v>
      </c>
      <c r="E5" s="84">
        <v>40695</v>
      </c>
      <c r="F5" s="96">
        <v>10.43</v>
      </c>
      <c r="G5" s="101">
        <f t="shared" si="0"/>
        <v>187.57</v>
      </c>
    </row>
    <row r="6" spans="1:10" x14ac:dyDescent="0.3">
      <c r="A6" s="13">
        <v>41617</v>
      </c>
      <c r="B6" s="10">
        <v>9.5500000000000007</v>
      </c>
      <c r="C6" s="10">
        <v>188.45</v>
      </c>
      <c r="E6" s="84">
        <v>40878</v>
      </c>
      <c r="F6" s="96">
        <v>10.39</v>
      </c>
      <c r="G6" s="101">
        <f t="shared" si="0"/>
        <v>187.61</v>
      </c>
    </row>
    <row r="7" spans="1:10" x14ac:dyDescent="0.3">
      <c r="A7" s="13">
        <v>41647</v>
      </c>
      <c r="B7" s="10">
        <v>9.4600000000000009</v>
      </c>
      <c r="C7" s="10">
        <v>188.54</v>
      </c>
      <c r="E7" s="84">
        <v>41061</v>
      </c>
      <c r="F7" s="96">
        <v>10.42</v>
      </c>
      <c r="G7" s="101">
        <f t="shared" si="0"/>
        <v>187.58</v>
      </c>
    </row>
    <row r="8" spans="1:10" x14ac:dyDescent="0.3">
      <c r="A8" s="13">
        <v>41683</v>
      </c>
      <c r="B8" s="10">
        <v>9.89</v>
      </c>
      <c r="C8" s="10">
        <v>188.11</v>
      </c>
      <c r="E8" s="84">
        <v>41244</v>
      </c>
      <c r="F8" s="96">
        <v>10.34</v>
      </c>
      <c r="G8" s="101">
        <f t="shared" si="0"/>
        <v>187.66</v>
      </c>
    </row>
    <row r="9" spans="1:10" x14ac:dyDescent="0.3">
      <c r="A9" s="13">
        <v>41764</v>
      </c>
      <c r="B9" s="10">
        <v>9.83</v>
      </c>
      <c r="C9" s="10">
        <v>188.17</v>
      </c>
      <c r="E9" s="84">
        <v>41426</v>
      </c>
      <c r="F9" s="98">
        <v>10.16</v>
      </c>
      <c r="G9" s="99">
        <f t="shared" si="0"/>
        <v>187.84</v>
      </c>
      <c r="H9">
        <f>F9+G9</f>
        <v>198</v>
      </c>
      <c r="J9">
        <f>F9-F10</f>
        <v>0.69999999999999929</v>
      </c>
    </row>
    <row r="10" spans="1:10" x14ac:dyDescent="0.3">
      <c r="A10" s="13">
        <v>41793</v>
      </c>
      <c r="B10" s="10">
        <v>9.4499999999999993</v>
      </c>
      <c r="C10" s="10">
        <v>188.55</v>
      </c>
      <c r="E10" s="84">
        <v>41609</v>
      </c>
      <c r="F10" s="98">
        <v>9.4600000000000009</v>
      </c>
      <c r="G10" s="99">
        <f t="shared" si="0"/>
        <v>188.54</v>
      </c>
      <c r="H10">
        <f>F10+G10</f>
        <v>198</v>
      </c>
    </row>
    <row r="11" spans="1:10" x14ac:dyDescent="0.3">
      <c r="A11" s="13">
        <v>41830</v>
      </c>
      <c r="B11" s="10">
        <v>9.52</v>
      </c>
      <c r="C11" s="10">
        <v>188.48</v>
      </c>
      <c r="E11" s="84">
        <v>41791</v>
      </c>
      <c r="F11" s="99">
        <v>9.4499999999999993</v>
      </c>
      <c r="G11" s="99">
        <f>198-F11</f>
        <v>188.55</v>
      </c>
      <c r="H11">
        <f t="shared" ref="H11:H33" si="1">F11+G11</f>
        <v>198</v>
      </c>
    </row>
    <row r="12" spans="1:10" x14ac:dyDescent="0.3">
      <c r="A12" s="13">
        <v>41877</v>
      </c>
      <c r="B12" s="10">
        <v>10.35</v>
      </c>
      <c r="C12" s="10">
        <v>187.65</v>
      </c>
      <c r="E12" s="84">
        <v>41974</v>
      </c>
      <c r="F12" s="99">
        <v>9.7100000000000009</v>
      </c>
      <c r="G12" s="99">
        <f t="shared" ref="G12:G33" si="2">198-F12</f>
        <v>188.29</v>
      </c>
      <c r="H12">
        <f t="shared" si="1"/>
        <v>198</v>
      </c>
    </row>
    <row r="13" spans="1:10" x14ac:dyDescent="0.3">
      <c r="A13" s="13">
        <v>41906</v>
      </c>
      <c r="B13" s="10">
        <v>10.75</v>
      </c>
      <c r="C13" s="10">
        <v>187.25</v>
      </c>
      <c r="E13" s="84">
        <v>42156</v>
      </c>
      <c r="F13" s="99">
        <v>10.55</v>
      </c>
      <c r="G13" s="99">
        <f>198-F13</f>
        <v>187.45</v>
      </c>
      <c r="H13">
        <f t="shared" si="1"/>
        <v>198</v>
      </c>
    </row>
    <row r="14" spans="1:10" x14ac:dyDescent="0.3">
      <c r="A14" s="13">
        <v>41936</v>
      </c>
      <c r="B14" s="10">
        <v>10.42</v>
      </c>
      <c r="C14" s="10">
        <v>187.58</v>
      </c>
      <c r="E14" s="84">
        <v>42339</v>
      </c>
      <c r="F14" s="99">
        <v>11.026</v>
      </c>
      <c r="G14" s="99">
        <f t="shared" si="2"/>
        <v>186.97399999999999</v>
      </c>
      <c r="H14">
        <f t="shared" si="1"/>
        <v>198</v>
      </c>
    </row>
    <row r="15" spans="1:10" x14ac:dyDescent="0.3">
      <c r="A15" s="13">
        <v>41976</v>
      </c>
      <c r="B15" s="10">
        <v>9.7100000000000009</v>
      </c>
      <c r="C15" s="10">
        <v>188.29</v>
      </c>
      <c r="E15" s="84">
        <v>42522</v>
      </c>
      <c r="F15" s="99">
        <v>9.76</v>
      </c>
      <c r="G15" s="99">
        <f t="shared" si="2"/>
        <v>188.24</v>
      </c>
      <c r="H15">
        <f t="shared" si="1"/>
        <v>198</v>
      </c>
    </row>
    <row r="16" spans="1:10" x14ac:dyDescent="0.3">
      <c r="A16" s="13">
        <v>42009</v>
      </c>
      <c r="B16" s="14">
        <f>AVERAGE(B13:B15,B17:B19)</f>
        <v>10.648333333333335</v>
      </c>
      <c r="C16" s="10">
        <v>198</v>
      </c>
      <c r="E16" s="84">
        <v>42705</v>
      </c>
      <c r="F16" s="99">
        <v>9.7349999999999994</v>
      </c>
      <c r="G16" s="99">
        <f t="shared" si="2"/>
        <v>188.26499999999999</v>
      </c>
      <c r="H16">
        <f t="shared" si="1"/>
        <v>198</v>
      </c>
    </row>
    <row r="17" spans="1:8" x14ac:dyDescent="0.3">
      <c r="A17" s="13">
        <v>42157</v>
      </c>
      <c r="B17" s="10">
        <v>10.55</v>
      </c>
      <c r="C17" s="10">
        <v>187.45</v>
      </c>
      <c r="E17" s="84">
        <v>42887</v>
      </c>
      <c r="F17" s="100">
        <v>9.7230000000000008</v>
      </c>
      <c r="G17" s="99">
        <f t="shared" si="2"/>
        <v>188.27699999999999</v>
      </c>
      <c r="H17">
        <f t="shared" si="1"/>
        <v>198</v>
      </c>
    </row>
    <row r="18" spans="1:8" x14ac:dyDescent="0.3">
      <c r="A18" s="13">
        <v>42220</v>
      </c>
      <c r="B18" s="10">
        <v>11.2</v>
      </c>
      <c r="C18" s="10">
        <v>186.8</v>
      </c>
      <c r="E18" s="84">
        <v>43070</v>
      </c>
      <c r="F18" s="101">
        <v>9.73</v>
      </c>
      <c r="G18" s="101">
        <f t="shared" si="2"/>
        <v>188.27</v>
      </c>
      <c r="H18">
        <f t="shared" si="1"/>
        <v>198</v>
      </c>
    </row>
    <row r="19" spans="1:8" x14ac:dyDescent="0.3">
      <c r="A19" s="13">
        <v>42255</v>
      </c>
      <c r="B19" s="10">
        <v>11.26</v>
      </c>
      <c r="C19" s="10">
        <v>186.74</v>
      </c>
      <c r="E19" s="84">
        <v>43252</v>
      </c>
      <c r="F19" s="96">
        <v>9.7370000000000001</v>
      </c>
      <c r="G19" s="101">
        <f t="shared" si="2"/>
        <v>188.26300000000001</v>
      </c>
      <c r="H19">
        <f t="shared" si="1"/>
        <v>198</v>
      </c>
    </row>
    <row r="20" spans="1:8" x14ac:dyDescent="0.3">
      <c r="A20" s="13">
        <v>42292</v>
      </c>
      <c r="B20" s="10">
        <v>11.25</v>
      </c>
      <c r="C20" s="10">
        <v>186.75</v>
      </c>
      <c r="E20" s="84">
        <v>43435</v>
      </c>
      <c r="F20" s="96">
        <v>9.74</v>
      </c>
      <c r="G20" s="101">
        <f t="shared" si="2"/>
        <v>188.26</v>
      </c>
      <c r="H20">
        <f t="shared" si="1"/>
        <v>198</v>
      </c>
    </row>
    <row r="21" spans="1:8" x14ac:dyDescent="0.3">
      <c r="A21" s="13">
        <v>42353</v>
      </c>
      <c r="B21" s="15">
        <f>AVERAGE(B18:B20,B23:B24)</f>
        <v>11.026</v>
      </c>
      <c r="C21" s="10">
        <v>198</v>
      </c>
      <c r="E21" s="84">
        <v>43617</v>
      </c>
      <c r="F21" s="96">
        <v>9.75</v>
      </c>
      <c r="G21" s="101">
        <f t="shared" si="2"/>
        <v>188.25</v>
      </c>
      <c r="H21">
        <f t="shared" si="1"/>
        <v>198</v>
      </c>
    </row>
    <row r="22" spans="1:8" x14ac:dyDescent="0.3">
      <c r="A22" s="13">
        <v>42429</v>
      </c>
      <c r="B22" s="15">
        <f>AVERAGE(B20,B234)</f>
        <v>11.25</v>
      </c>
      <c r="C22" s="10">
        <v>198</v>
      </c>
      <c r="E22" s="84">
        <v>43800</v>
      </c>
      <c r="F22" s="98">
        <v>9.7579999999999991</v>
      </c>
      <c r="G22" s="99">
        <f t="shared" si="2"/>
        <v>188.24199999999999</v>
      </c>
      <c r="H22">
        <f t="shared" si="1"/>
        <v>198</v>
      </c>
    </row>
    <row r="23" spans="1:8" x14ac:dyDescent="0.3">
      <c r="A23" s="13">
        <v>42471</v>
      </c>
      <c r="B23" s="10">
        <v>11.66</v>
      </c>
      <c r="C23" s="10">
        <v>186.34</v>
      </c>
      <c r="E23" s="84">
        <v>43983</v>
      </c>
      <c r="F23" s="96">
        <v>9.5350000000000001</v>
      </c>
      <c r="G23" s="101">
        <f t="shared" si="2"/>
        <v>188.465</v>
      </c>
      <c r="H23">
        <f t="shared" si="1"/>
        <v>198</v>
      </c>
    </row>
    <row r="24" spans="1:8" x14ac:dyDescent="0.3">
      <c r="A24" s="13">
        <v>42557</v>
      </c>
      <c r="B24" s="10">
        <v>9.76</v>
      </c>
      <c r="C24" s="10">
        <v>188.24</v>
      </c>
      <c r="E24" s="84">
        <v>44166</v>
      </c>
      <c r="F24" s="96">
        <v>9.4860000000000007</v>
      </c>
      <c r="G24" s="101">
        <f t="shared" si="2"/>
        <v>188.51400000000001</v>
      </c>
      <c r="H24">
        <f t="shared" si="1"/>
        <v>198</v>
      </c>
    </row>
    <row r="25" spans="1:8" x14ac:dyDescent="0.3">
      <c r="A25" s="13">
        <v>42591</v>
      </c>
      <c r="B25" s="10">
        <v>9.7100000000000009</v>
      </c>
      <c r="C25" s="10">
        <v>188.29</v>
      </c>
      <c r="E25" s="84">
        <v>44348</v>
      </c>
      <c r="F25" s="96">
        <v>9.4359999999999999</v>
      </c>
      <c r="G25" s="101">
        <f t="shared" si="2"/>
        <v>188.56399999999999</v>
      </c>
      <c r="H25">
        <f t="shared" si="1"/>
        <v>198</v>
      </c>
    </row>
    <row r="26" spans="1:8" x14ac:dyDescent="0.3">
      <c r="A26" s="13">
        <v>42768</v>
      </c>
      <c r="B26" s="15">
        <f>AVERAGE(B24:B25)</f>
        <v>9.7349999999999994</v>
      </c>
      <c r="C26" s="10">
        <v>198</v>
      </c>
      <c r="E26" s="84">
        <v>44531</v>
      </c>
      <c r="F26" s="96">
        <v>9.3870000000000005</v>
      </c>
      <c r="G26" s="101">
        <f t="shared" si="2"/>
        <v>188.613</v>
      </c>
      <c r="H26">
        <f t="shared" si="1"/>
        <v>198</v>
      </c>
    </row>
    <row r="27" spans="1:8" x14ac:dyDescent="0.3">
      <c r="A27" s="13">
        <v>42888</v>
      </c>
      <c r="B27" s="16">
        <f t="shared" ref="B27:B29" si="3">AVERAGE(B25:B26)</f>
        <v>9.7225000000000001</v>
      </c>
      <c r="C27" s="10">
        <v>198</v>
      </c>
      <c r="E27" s="84">
        <v>44713</v>
      </c>
      <c r="F27" s="101">
        <v>9.33</v>
      </c>
      <c r="G27" s="101">
        <f t="shared" si="2"/>
        <v>188.67</v>
      </c>
      <c r="H27">
        <f t="shared" si="1"/>
        <v>198</v>
      </c>
    </row>
    <row r="28" spans="1:8" x14ac:dyDescent="0.3">
      <c r="A28" s="13">
        <v>43559</v>
      </c>
      <c r="B28" s="16">
        <f t="shared" si="3"/>
        <v>9.7287499999999998</v>
      </c>
      <c r="C28" s="10">
        <v>198</v>
      </c>
      <c r="E28" s="84">
        <v>44896</v>
      </c>
      <c r="F28" s="96">
        <v>9.2880000000000003</v>
      </c>
      <c r="G28" s="101">
        <f t="shared" si="2"/>
        <v>188.71199999999999</v>
      </c>
      <c r="H28">
        <f t="shared" si="1"/>
        <v>198</v>
      </c>
    </row>
    <row r="29" spans="1:8" x14ac:dyDescent="0.3">
      <c r="A29" s="13">
        <v>43590</v>
      </c>
      <c r="B29" s="16">
        <f t="shared" si="3"/>
        <v>9.7256250000000009</v>
      </c>
      <c r="C29" s="10">
        <v>198</v>
      </c>
      <c r="E29" s="84">
        <v>45078</v>
      </c>
      <c r="F29" s="96">
        <v>9.2390000000000008</v>
      </c>
      <c r="G29" s="101">
        <f t="shared" si="2"/>
        <v>188.761</v>
      </c>
      <c r="H29">
        <f t="shared" si="1"/>
        <v>198</v>
      </c>
    </row>
    <row r="30" spans="1:8" x14ac:dyDescent="0.3">
      <c r="A30" s="13">
        <v>43559</v>
      </c>
      <c r="B30" s="10">
        <v>9.82</v>
      </c>
      <c r="C30" s="10">
        <v>188.18</v>
      </c>
      <c r="E30" s="84">
        <v>45261</v>
      </c>
      <c r="F30" s="96">
        <v>9.18</v>
      </c>
      <c r="G30" s="101">
        <f t="shared" si="2"/>
        <v>188.82</v>
      </c>
      <c r="H30">
        <f t="shared" si="1"/>
        <v>198</v>
      </c>
    </row>
    <row r="31" spans="1:8" x14ac:dyDescent="0.3">
      <c r="A31" s="2">
        <v>43588</v>
      </c>
      <c r="B31" s="12">
        <f>AVERAGE(B28:B30)</f>
        <v>9.7581249999999997</v>
      </c>
      <c r="C31" s="1">
        <v>198</v>
      </c>
      <c r="E31" s="84">
        <v>45444</v>
      </c>
      <c r="F31" s="96">
        <v>9.1300000000000008</v>
      </c>
      <c r="G31" s="101">
        <f t="shared" si="2"/>
        <v>188.87</v>
      </c>
      <c r="H31">
        <f t="shared" si="1"/>
        <v>198</v>
      </c>
    </row>
    <row r="32" spans="1:8" x14ac:dyDescent="0.3">
      <c r="E32" s="84">
        <v>45627</v>
      </c>
      <c r="F32" s="96">
        <v>9.09</v>
      </c>
      <c r="G32" s="101">
        <f t="shared" si="2"/>
        <v>188.91</v>
      </c>
      <c r="H32">
        <f t="shared" si="1"/>
        <v>198</v>
      </c>
    </row>
    <row r="33" spans="5:8" x14ac:dyDescent="0.3">
      <c r="E33" s="84">
        <v>45992</v>
      </c>
      <c r="F33" s="96">
        <v>9.1199999999999992</v>
      </c>
      <c r="G33" s="101">
        <f t="shared" si="2"/>
        <v>188.88</v>
      </c>
      <c r="H33">
        <f t="shared" si="1"/>
        <v>198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49B1-4C7F-4241-A35D-6FF33E78424B}">
  <dimension ref="A1:H33"/>
  <sheetViews>
    <sheetView workbookViewId="0">
      <selection activeCell="M23" sqref="M23"/>
    </sheetView>
  </sheetViews>
  <sheetFormatPr baseColWidth="10" defaultRowHeight="14.4" x14ac:dyDescent="0.3"/>
  <cols>
    <col min="2" max="2" width="11" bestFit="1" customWidth="1"/>
    <col min="3" max="3" width="12" bestFit="1" customWidth="1"/>
    <col min="5" max="5" width="11.5546875" style="81"/>
    <col min="6" max="6" width="13.77734375" style="100" customWidth="1"/>
    <col min="7" max="7" width="13.88671875" style="100" customWidth="1"/>
  </cols>
  <sheetData>
    <row r="1" spans="1:8" x14ac:dyDescent="0.3">
      <c r="A1" s="509" t="s">
        <v>6</v>
      </c>
      <c r="B1" s="510"/>
      <c r="C1" s="511"/>
      <c r="E1" s="529" t="s">
        <v>6</v>
      </c>
      <c r="F1" s="530"/>
      <c r="G1" s="530"/>
    </row>
    <row r="2" spans="1:8" ht="28.8" x14ac:dyDescent="0.3">
      <c r="A2" s="8" t="s">
        <v>1</v>
      </c>
      <c r="B2" s="8" t="s">
        <v>2</v>
      </c>
      <c r="C2" s="8" t="s">
        <v>3</v>
      </c>
      <c r="E2" s="95" t="s">
        <v>1</v>
      </c>
      <c r="F2" s="97" t="s">
        <v>2</v>
      </c>
      <c r="G2" s="97" t="s">
        <v>3</v>
      </c>
    </row>
    <row r="3" spans="1:8" x14ac:dyDescent="0.3">
      <c r="A3" s="13">
        <v>41032</v>
      </c>
      <c r="B3" s="10">
        <v>8.67</v>
      </c>
      <c r="C3" s="10">
        <v>192.33</v>
      </c>
      <c r="E3" s="84">
        <v>40330</v>
      </c>
      <c r="F3" s="96">
        <v>3.04</v>
      </c>
      <c r="G3" s="101">
        <f>201-F3</f>
        <v>197.96</v>
      </c>
      <c r="H3">
        <v>198</v>
      </c>
    </row>
    <row r="4" spans="1:8" x14ac:dyDescent="0.3">
      <c r="A4" s="13">
        <v>41506</v>
      </c>
      <c r="B4" s="10">
        <v>11.48</v>
      </c>
      <c r="C4" s="10">
        <v>189.52</v>
      </c>
      <c r="E4" s="84">
        <v>40513</v>
      </c>
      <c r="F4" s="96">
        <v>4.45</v>
      </c>
      <c r="G4" s="101">
        <f t="shared" ref="G4:G8" si="0">201-F4</f>
        <v>196.55</v>
      </c>
    </row>
    <row r="5" spans="1:8" x14ac:dyDescent="0.3">
      <c r="A5" s="13">
        <v>41556</v>
      </c>
      <c r="B5" s="10">
        <v>12.83</v>
      </c>
      <c r="C5" s="10">
        <v>188.17</v>
      </c>
      <c r="E5" s="84">
        <v>40695</v>
      </c>
      <c r="F5" s="96">
        <v>5.86</v>
      </c>
      <c r="G5" s="101">
        <f t="shared" si="0"/>
        <v>195.14</v>
      </c>
    </row>
    <row r="6" spans="1:8" x14ac:dyDescent="0.3">
      <c r="A6" s="13">
        <v>41617</v>
      </c>
      <c r="B6" s="10">
        <v>10.130000000000001</v>
      </c>
      <c r="C6" s="10">
        <v>190.87</v>
      </c>
      <c r="E6" s="84">
        <v>40878</v>
      </c>
      <c r="F6" s="96">
        <v>7.26</v>
      </c>
      <c r="G6" s="101">
        <f t="shared" si="0"/>
        <v>193.74</v>
      </c>
    </row>
    <row r="7" spans="1:8" x14ac:dyDescent="0.3">
      <c r="A7" s="13">
        <v>41683</v>
      </c>
      <c r="B7" s="10">
        <v>11.6</v>
      </c>
      <c r="C7" s="10">
        <v>189.4</v>
      </c>
      <c r="E7" s="84">
        <v>41061</v>
      </c>
      <c r="F7" s="1">
        <v>8.66</v>
      </c>
      <c r="G7" s="1">
        <v>192.33</v>
      </c>
      <c r="H7">
        <f>F7+G7</f>
        <v>200.99</v>
      </c>
    </row>
    <row r="8" spans="1:8" x14ac:dyDescent="0.3">
      <c r="A8" s="13">
        <v>41764</v>
      </c>
      <c r="B8" s="10">
        <v>10.38</v>
      </c>
      <c r="C8" s="10">
        <v>190.62</v>
      </c>
      <c r="E8" s="84">
        <v>41244</v>
      </c>
      <c r="F8" s="102">
        <v>10.07</v>
      </c>
      <c r="G8" s="101">
        <f t="shared" si="0"/>
        <v>190.93</v>
      </c>
    </row>
    <row r="9" spans="1:8" x14ac:dyDescent="0.3">
      <c r="A9" s="13">
        <v>41793</v>
      </c>
      <c r="B9" s="10">
        <v>9.57</v>
      </c>
      <c r="C9" s="10">
        <v>191.43</v>
      </c>
      <c r="E9" s="84">
        <v>41426</v>
      </c>
      <c r="F9" s="1">
        <v>11.48</v>
      </c>
      <c r="G9" s="1">
        <v>189.52</v>
      </c>
      <c r="H9">
        <f>F9+G9</f>
        <v>201</v>
      </c>
    </row>
    <row r="10" spans="1:8" x14ac:dyDescent="0.3">
      <c r="A10" s="13">
        <v>41830</v>
      </c>
      <c r="B10" s="10">
        <v>11.32</v>
      </c>
      <c r="C10" s="10">
        <v>189.68</v>
      </c>
      <c r="E10" s="84">
        <v>41609</v>
      </c>
      <c r="F10" s="1">
        <v>10.130000000000001</v>
      </c>
      <c r="G10" s="1">
        <v>190.87</v>
      </c>
      <c r="H10">
        <f>F10+G10</f>
        <v>201</v>
      </c>
    </row>
    <row r="11" spans="1:8" x14ac:dyDescent="0.3">
      <c r="A11" s="13">
        <v>41877</v>
      </c>
      <c r="B11" s="10">
        <v>13.21</v>
      </c>
      <c r="C11" s="10">
        <v>187.79</v>
      </c>
      <c r="E11" s="84">
        <v>41791</v>
      </c>
      <c r="F11" s="1">
        <v>9.57</v>
      </c>
      <c r="G11" s="1">
        <v>191.43</v>
      </c>
      <c r="H11">
        <f t="shared" ref="H11:H33" si="1">F11+G11</f>
        <v>201</v>
      </c>
    </row>
    <row r="12" spans="1:8" x14ac:dyDescent="0.3">
      <c r="A12" s="13">
        <v>41906</v>
      </c>
      <c r="B12" s="10">
        <v>13.45</v>
      </c>
      <c r="C12" s="10">
        <v>187.55</v>
      </c>
      <c r="E12" s="84">
        <v>41974</v>
      </c>
      <c r="F12" s="1">
        <v>9.8699999999999992</v>
      </c>
      <c r="G12" s="1">
        <v>191.13</v>
      </c>
      <c r="H12">
        <f t="shared" si="1"/>
        <v>201</v>
      </c>
    </row>
    <row r="13" spans="1:8" x14ac:dyDescent="0.3">
      <c r="A13" s="13">
        <v>41976</v>
      </c>
      <c r="B13" s="10">
        <v>9.8699999999999992</v>
      </c>
      <c r="C13" s="10">
        <v>191.13</v>
      </c>
      <c r="E13" s="84">
        <v>42156</v>
      </c>
      <c r="F13" s="1">
        <v>12.9</v>
      </c>
      <c r="G13" s="1">
        <v>188.1</v>
      </c>
      <c r="H13">
        <f t="shared" si="1"/>
        <v>201</v>
      </c>
    </row>
    <row r="14" spans="1:8" x14ac:dyDescent="0.3">
      <c r="A14" s="13">
        <v>42009</v>
      </c>
      <c r="B14" s="10">
        <v>10.99</v>
      </c>
      <c r="C14" s="10">
        <v>190.01</v>
      </c>
      <c r="E14" s="84">
        <v>42339</v>
      </c>
      <c r="F14" s="1">
        <v>12.32</v>
      </c>
      <c r="G14" s="1">
        <v>188.68</v>
      </c>
      <c r="H14">
        <f t="shared" si="1"/>
        <v>201</v>
      </c>
    </row>
    <row r="15" spans="1:8" x14ac:dyDescent="0.3">
      <c r="A15" s="13">
        <v>42157</v>
      </c>
      <c r="B15" s="10">
        <v>12.9</v>
      </c>
      <c r="C15" s="10">
        <v>188.1</v>
      </c>
      <c r="E15" s="84">
        <v>42522</v>
      </c>
      <c r="F15" s="1">
        <v>11.27</v>
      </c>
      <c r="G15" s="1">
        <v>189.73</v>
      </c>
      <c r="H15">
        <f t="shared" si="1"/>
        <v>201</v>
      </c>
    </row>
    <row r="16" spans="1:8" x14ac:dyDescent="0.3">
      <c r="A16" s="13">
        <v>42220</v>
      </c>
      <c r="B16" s="10">
        <v>13.37</v>
      </c>
      <c r="C16" s="10">
        <v>187.63</v>
      </c>
      <c r="E16" s="84">
        <v>42705</v>
      </c>
      <c r="F16" s="1">
        <v>9.4600000000000009</v>
      </c>
      <c r="G16" s="1">
        <v>191.54</v>
      </c>
      <c r="H16">
        <f t="shared" si="1"/>
        <v>201</v>
      </c>
    </row>
    <row r="17" spans="1:8" x14ac:dyDescent="0.3">
      <c r="A17" s="13">
        <v>42255</v>
      </c>
      <c r="B17" s="10">
        <v>12.95</v>
      </c>
      <c r="C17" s="10">
        <v>188.05</v>
      </c>
      <c r="E17" s="84">
        <v>42887</v>
      </c>
      <c r="F17" s="1">
        <v>8.8699999999999992</v>
      </c>
      <c r="G17" s="1">
        <v>192.13</v>
      </c>
      <c r="H17">
        <f t="shared" si="1"/>
        <v>201</v>
      </c>
    </row>
    <row r="18" spans="1:8" x14ac:dyDescent="0.3">
      <c r="A18" s="13">
        <v>42292</v>
      </c>
      <c r="B18" s="10">
        <v>11.98</v>
      </c>
      <c r="C18" s="10">
        <v>189.02</v>
      </c>
      <c r="E18" s="84">
        <v>43070</v>
      </c>
      <c r="F18" s="1">
        <v>7.11</v>
      </c>
      <c r="G18" s="1">
        <v>193.89</v>
      </c>
      <c r="H18">
        <f t="shared" si="1"/>
        <v>201</v>
      </c>
    </row>
    <row r="19" spans="1:8" x14ac:dyDescent="0.3">
      <c r="A19" s="13">
        <v>42353</v>
      </c>
      <c r="B19" s="10">
        <v>12.32</v>
      </c>
      <c r="C19" s="10">
        <v>188.68</v>
      </c>
      <c r="E19" s="84">
        <v>43252</v>
      </c>
      <c r="F19" s="1">
        <v>6.49</v>
      </c>
      <c r="G19" s="1">
        <v>194.51</v>
      </c>
      <c r="H19">
        <f t="shared" si="1"/>
        <v>201</v>
      </c>
    </row>
    <row r="20" spans="1:8" x14ac:dyDescent="0.3">
      <c r="A20" s="13">
        <v>42387</v>
      </c>
      <c r="B20" s="10">
        <v>13.47</v>
      </c>
      <c r="C20" s="10">
        <v>187.53</v>
      </c>
      <c r="E20" s="84">
        <v>43435</v>
      </c>
      <c r="F20" s="1">
        <v>5.46</v>
      </c>
      <c r="G20" s="1">
        <v>195.54</v>
      </c>
      <c r="H20">
        <f t="shared" si="1"/>
        <v>201</v>
      </c>
    </row>
    <row r="21" spans="1:8" x14ac:dyDescent="0.3">
      <c r="A21" s="13">
        <v>42429</v>
      </c>
      <c r="B21" s="10">
        <v>13.02</v>
      </c>
      <c r="C21" s="10">
        <v>187.98</v>
      </c>
      <c r="E21" s="84">
        <v>43617</v>
      </c>
      <c r="F21" s="1">
        <v>5.63</v>
      </c>
      <c r="G21" s="1">
        <v>195.37</v>
      </c>
      <c r="H21">
        <f t="shared" si="1"/>
        <v>201</v>
      </c>
    </row>
    <row r="22" spans="1:8" x14ac:dyDescent="0.3">
      <c r="A22" s="13">
        <v>42471</v>
      </c>
      <c r="B22" s="10">
        <v>12.32</v>
      </c>
      <c r="C22" s="10">
        <v>188.68</v>
      </c>
      <c r="E22" s="84">
        <v>43800</v>
      </c>
      <c r="F22" s="96">
        <v>5.8</v>
      </c>
      <c r="G22" s="101">
        <f t="shared" ref="G22:G33" si="2">201-F22</f>
        <v>195.2</v>
      </c>
      <c r="H22">
        <f t="shared" si="1"/>
        <v>201</v>
      </c>
    </row>
    <row r="23" spans="1:8" x14ac:dyDescent="0.3">
      <c r="A23" s="13">
        <v>42557</v>
      </c>
      <c r="B23" s="10">
        <v>11.27</v>
      </c>
      <c r="C23" s="10">
        <v>189.73</v>
      </c>
      <c r="E23" s="84">
        <v>43983</v>
      </c>
      <c r="F23" s="96">
        <v>5.97</v>
      </c>
      <c r="G23" s="101">
        <f t="shared" si="2"/>
        <v>195.03</v>
      </c>
      <c r="H23">
        <f t="shared" si="1"/>
        <v>201</v>
      </c>
    </row>
    <row r="24" spans="1:8" x14ac:dyDescent="0.3">
      <c r="A24" s="13">
        <v>42591</v>
      </c>
      <c r="B24" s="10">
        <v>10.1</v>
      </c>
      <c r="C24" s="10">
        <v>190.9</v>
      </c>
      <c r="E24" s="84">
        <v>44166</v>
      </c>
      <c r="F24" s="96">
        <v>6.14</v>
      </c>
      <c r="G24" s="101">
        <f t="shared" si="2"/>
        <v>194.86</v>
      </c>
      <c r="H24">
        <f t="shared" si="1"/>
        <v>201</v>
      </c>
    </row>
    <row r="25" spans="1:8" x14ac:dyDescent="0.3">
      <c r="A25" s="13">
        <v>42858</v>
      </c>
      <c r="B25" s="10">
        <v>9.4600000000000009</v>
      </c>
      <c r="C25" s="10">
        <v>191.54</v>
      </c>
      <c r="E25" s="84">
        <v>44348</v>
      </c>
      <c r="F25" s="96">
        <v>6.31</v>
      </c>
      <c r="G25" s="101">
        <f t="shared" si="2"/>
        <v>194.69</v>
      </c>
      <c r="H25">
        <f t="shared" si="1"/>
        <v>201</v>
      </c>
    </row>
    <row r="26" spans="1:8" x14ac:dyDescent="0.3">
      <c r="A26" s="13">
        <v>42888</v>
      </c>
      <c r="B26" s="10">
        <v>8.8699999999999992</v>
      </c>
      <c r="C26" s="10">
        <v>192.13</v>
      </c>
      <c r="E26" s="84">
        <v>44531</v>
      </c>
      <c r="F26" s="96">
        <v>6.48</v>
      </c>
      <c r="G26" s="101">
        <f t="shared" si="2"/>
        <v>194.52</v>
      </c>
      <c r="H26">
        <f t="shared" si="1"/>
        <v>201</v>
      </c>
    </row>
    <row r="27" spans="1:8" x14ac:dyDescent="0.3">
      <c r="A27" s="13">
        <v>43122</v>
      </c>
      <c r="B27" s="10">
        <v>7.11</v>
      </c>
      <c r="C27" s="10">
        <v>193.89</v>
      </c>
      <c r="E27" s="84">
        <v>44713</v>
      </c>
      <c r="F27" s="101">
        <v>6.65</v>
      </c>
      <c r="G27" s="101">
        <f t="shared" si="2"/>
        <v>194.35</v>
      </c>
      <c r="H27">
        <f t="shared" si="1"/>
        <v>201</v>
      </c>
    </row>
    <row r="28" spans="1:8" x14ac:dyDescent="0.3">
      <c r="A28" s="13">
        <v>43263</v>
      </c>
      <c r="B28" s="10">
        <v>6.49</v>
      </c>
      <c r="C28" s="10">
        <v>194.51</v>
      </c>
      <c r="E28" s="84">
        <v>44896</v>
      </c>
      <c r="F28" s="96">
        <v>6.82</v>
      </c>
      <c r="G28" s="101">
        <f t="shared" si="2"/>
        <v>194.18</v>
      </c>
      <c r="H28">
        <f t="shared" si="1"/>
        <v>201</v>
      </c>
    </row>
    <row r="29" spans="1:8" x14ac:dyDescent="0.3">
      <c r="A29" s="13">
        <v>43297</v>
      </c>
      <c r="B29" s="10">
        <v>6.07</v>
      </c>
      <c r="C29" s="10">
        <v>194.93</v>
      </c>
      <c r="E29" s="84">
        <v>45078</v>
      </c>
      <c r="F29" s="96">
        <v>7.02</v>
      </c>
      <c r="G29" s="101">
        <f t="shared" si="2"/>
        <v>193.98</v>
      </c>
      <c r="H29">
        <f t="shared" si="1"/>
        <v>201</v>
      </c>
    </row>
    <row r="30" spans="1:8" x14ac:dyDescent="0.3">
      <c r="A30" s="13">
        <v>43559</v>
      </c>
      <c r="B30" s="10">
        <v>5.46</v>
      </c>
      <c r="C30" s="10">
        <v>195.54</v>
      </c>
      <c r="E30" s="84">
        <v>45261</v>
      </c>
      <c r="F30" s="96">
        <v>7.12</v>
      </c>
      <c r="G30" s="101">
        <f t="shared" si="2"/>
        <v>193.88</v>
      </c>
      <c r="H30">
        <f t="shared" si="1"/>
        <v>201</v>
      </c>
    </row>
    <row r="31" spans="1:8" x14ac:dyDescent="0.3">
      <c r="A31" s="13">
        <v>43588</v>
      </c>
      <c r="B31" s="10">
        <v>5.63</v>
      </c>
      <c r="C31" s="10">
        <v>195.37</v>
      </c>
      <c r="E31" s="84">
        <v>45444</v>
      </c>
      <c r="F31" s="96">
        <v>7.33</v>
      </c>
      <c r="G31" s="101">
        <f t="shared" si="2"/>
        <v>193.67</v>
      </c>
      <c r="H31">
        <f t="shared" si="1"/>
        <v>201</v>
      </c>
    </row>
    <row r="32" spans="1:8" x14ac:dyDescent="0.3">
      <c r="E32" s="84">
        <v>45627</v>
      </c>
      <c r="F32" s="96">
        <v>7.57</v>
      </c>
      <c r="G32" s="101">
        <f t="shared" si="2"/>
        <v>193.43</v>
      </c>
      <c r="H32">
        <f t="shared" si="1"/>
        <v>201</v>
      </c>
    </row>
    <row r="33" spans="5:8" x14ac:dyDescent="0.3">
      <c r="E33" s="84">
        <v>45992</v>
      </c>
      <c r="F33" s="96">
        <v>7.8</v>
      </c>
      <c r="G33" s="101">
        <f t="shared" si="2"/>
        <v>193.2</v>
      </c>
      <c r="H33">
        <f t="shared" si="1"/>
        <v>201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6B74-28B1-4251-83D4-CEFBC7FA798C}">
  <dimension ref="A1:H64"/>
  <sheetViews>
    <sheetView topLeftCell="A14" workbookViewId="0">
      <selection activeCell="M22" sqref="M22"/>
    </sheetView>
  </sheetViews>
  <sheetFormatPr baseColWidth="10" defaultRowHeight="14.4" x14ac:dyDescent="0.3"/>
  <cols>
    <col min="3" max="3" width="12.88671875" customWidth="1"/>
    <col min="7" max="7" width="13.5546875" customWidth="1"/>
  </cols>
  <sheetData>
    <row r="1" spans="1:8" ht="15" thickBot="1" x14ac:dyDescent="0.35">
      <c r="A1" s="515" t="s">
        <v>20</v>
      </c>
      <c r="B1" s="516"/>
      <c r="C1" s="517"/>
      <c r="E1" s="529" t="s">
        <v>20</v>
      </c>
      <c r="F1" s="530"/>
      <c r="G1" s="530"/>
    </row>
    <row r="2" spans="1:8" ht="29.4" thickBot="1" x14ac:dyDescent="0.35">
      <c r="A2" s="18" t="s">
        <v>1</v>
      </c>
      <c r="B2" s="19" t="s">
        <v>2</v>
      </c>
      <c r="C2" s="19" t="s">
        <v>3</v>
      </c>
      <c r="E2" s="103" t="s">
        <v>1</v>
      </c>
      <c r="F2" s="104" t="s">
        <v>2</v>
      </c>
      <c r="G2" s="104" t="s">
        <v>3</v>
      </c>
    </row>
    <row r="3" spans="1:8" ht="15" thickBot="1" x14ac:dyDescent="0.35">
      <c r="A3" s="20">
        <v>40224</v>
      </c>
      <c r="B3" s="21">
        <v>72.08</v>
      </c>
      <c r="C3" s="21">
        <v>180.92</v>
      </c>
      <c r="E3" s="84">
        <v>40330</v>
      </c>
      <c r="F3" s="105">
        <v>71.78</v>
      </c>
      <c r="G3" s="105">
        <v>181.22</v>
      </c>
      <c r="H3" s="109">
        <f>F3+G3</f>
        <v>253</v>
      </c>
    </row>
    <row r="4" spans="1:8" ht="15" thickBot="1" x14ac:dyDescent="0.35">
      <c r="A4" s="20">
        <v>40235</v>
      </c>
      <c r="B4" s="21">
        <v>72.5</v>
      </c>
      <c r="C4" s="21">
        <v>180.5</v>
      </c>
      <c r="E4" s="84">
        <v>40513</v>
      </c>
      <c r="F4" s="105">
        <v>71.900000000000006</v>
      </c>
      <c r="G4" s="105">
        <v>181.1</v>
      </c>
      <c r="H4" s="109">
        <f t="shared" ref="H4:H33" si="0">F4+G4</f>
        <v>253</v>
      </c>
    </row>
    <row r="5" spans="1:8" ht="15" thickBot="1" x14ac:dyDescent="0.35">
      <c r="A5" s="20">
        <v>40242</v>
      </c>
      <c r="B5" s="21">
        <v>72.5</v>
      </c>
      <c r="C5" s="21">
        <v>180.5</v>
      </c>
      <c r="E5" s="84">
        <v>40695</v>
      </c>
      <c r="F5" s="105">
        <v>71.59</v>
      </c>
      <c r="G5" s="105">
        <v>181.41</v>
      </c>
      <c r="H5" s="109">
        <f t="shared" si="0"/>
        <v>253</v>
      </c>
    </row>
    <row r="6" spans="1:8" ht="15" thickBot="1" x14ac:dyDescent="0.35">
      <c r="A6" s="20">
        <v>40287</v>
      </c>
      <c r="B6" s="21">
        <v>71.98</v>
      </c>
      <c r="C6" s="21">
        <v>181.02</v>
      </c>
      <c r="E6" s="84">
        <v>40878</v>
      </c>
      <c r="F6" s="105">
        <v>71.7</v>
      </c>
      <c r="G6" s="105">
        <v>181.3</v>
      </c>
      <c r="H6" s="109">
        <f t="shared" si="0"/>
        <v>253</v>
      </c>
    </row>
    <row r="7" spans="1:8" ht="15" thickBot="1" x14ac:dyDescent="0.35">
      <c r="A7" s="20">
        <v>40331</v>
      </c>
      <c r="B7" s="21">
        <v>71.78</v>
      </c>
      <c r="C7" s="21">
        <v>181.22</v>
      </c>
      <c r="E7" s="84">
        <v>41061</v>
      </c>
      <c r="F7" s="105">
        <v>71.650000000000006</v>
      </c>
      <c r="G7" s="105">
        <v>181.35</v>
      </c>
      <c r="H7" s="109">
        <f t="shared" si="0"/>
        <v>253</v>
      </c>
    </row>
    <row r="8" spans="1:8" ht="15" thickBot="1" x14ac:dyDescent="0.35">
      <c r="A8" s="20">
        <v>40312</v>
      </c>
      <c r="B8" s="21">
        <v>71.760000000000005</v>
      </c>
      <c r="C8" s="21">
        <v>181.24</v>
      </c>
      <c r="E8" s="84">
        <v>41244</v>
      </c>
      <c r="F8" s="105">
        <v>71.599999999999994</v>
      </c>
      <c r="G8" s="105">
        <v>181.4</v>
      </c>
      <c r="H8" s="109">
        <f t="shared" si="0"/>
        <v>253</v>
      </c>
    </row>
    <row r="9" spans="1:8" ht="15" thickBot="1" x14ac:dyDescent="0.35">
      <c r="A9" s="20">
        <v>40393</v>
      </c>
      <c r="B9" s="21">
        <v>71.900000000000006</v>
      </c>
      <c r="C9" s="21">
        <v>181.1</v>
      </c>
      <c r="E9" s="84">
        <v>41426</v>
      </c>
      <c r="F9" s="105">
        <v>71.75</v>
      </c>
      <c r="G9" s="105">
        <v>181.25</v>
      </c>
      <c r="H9" s="109">
        <f t="shared" si="0"/>
        <v>253</v>
      </c>
    </row>
    <row r="10" spans="1:8" ht="15" thickBot="1" x14ac:dyDescent="0.35">
      <c r="A10" s="20">
        <v>40417</v>
      </c>
      <c r="B10" s="21">
        <v>71.900000000000006</v>
      </c>
      <c r="C10" s="21">
        <v>181.1</v>
      </c>
      <c r="E10" s="84">
        <v>41609</v>
      </c>
      <c r="F10" s="105">
        <v>72.14</v>
      </c>
      <c r="G10" s="105">
        <v>180.86</v>
      </c>
      <c r="H10" s="109">
        <f t="shared" si="0"/>
        <v>253</v>
      </c>
    </row>
    <row r="11" spans="1:8" ht="15" thickBot="1" x14ac:dyDescent="0.35">
      <c r="A11" s="20">
        <v>40575</v>
      </c>
      <c r="B11" s="21">
        <v>71.52</v>
      </c>
      <c r="C11" s="21">
        <v>181.48</v>
      </c>
      <c r="E11" s="84">
        <v>41791</v>
      </c>
      <c r="F11" s="105">
        <v>72.599999999999994</v>
      </c>
      <c r="G11" s="105">
        <v>180.4</v>
      </c>
      <c r="H11" s="109">
        <f t="shared" si="0"/>
        <v>253</v>
      </c>
    </row>
    <row r="12" spans="1:8" ht="15" thickBot="1" x14ac:dyDescent="0.35">
      <c r="A12" s="20">
        <v>40745</v>
      </c>
      <c r="B12" s="21">
        <v>71.59</v>
      </c>
      <c r="C12" s="21">
        <v>181.41</v>
      </c>
      <c r="E12" s="84">
        <v>41974</v>
      </c>
      <c r="F12" s="105">
        <v>73.349999999999994</v>
      </c>
      <c r="G12" s="105">
        <v>179.65</v>
      </c>
      <c r="H12" s="109">
        <f t="shared" si="0"/>
        <v>253</v>
      </c>
    </row>
    <row r="13" spans="1:8" ht="15" thickBot="1" x14ac:dyDescent="0.35">
      <c r="A13" s="20">
        <v>40777</v>
      </c>
      <c r="B13" s="21">
        <v>71.7</v>
      </c>
      <c r="C13" s="21">
        <v>181.3</v>
      </c>
      <c r="E13" s="84">
        <v>42156</v>
      </c>
      <c r="F13" s="105">
        <v>73.790000000000006</v>
      </c>
      <c r="G13" s="105">
        <v>179.21</v>
      </c>
      <c r="H13" s="109">
        <f t="shared" si="0"/>
        <v>253</v>
      </c>
    </row>
    <row r="14" spans="1:8" ht="15" thickBot="1" x14ac:dyDescent="0.35">
      <c r="A14" s="20">
        <v>40814</v>
      </c>
      <c r="B14" s="21">
        <v>71.64</v>
      </c>
      <c r="C14" s="21">
        <v>181.36</v>
      </c>
      <c r="E14" s="84">
        <v>42339</v>
      </c>
      <c r="F14" s="105">
        <v>74.489999999999995</v>
      </c>
      <c r="G14" s="105">
        <v>178.51</v>
      </c>
      <c r="H14" s="109">
        <f t="shared" si="0"/>
        <v>253</v>
      </c>
    </row>
    <row r="15" spans="1:8" ht="15" thickBot="1" x14ac:dyDescent="0.35">
      <c r="A15" s="20">
        <v>40834</v>
      </c>
      <c r="B15" s="21">
        <v>71.55</v>
      </c>
      <c r="C15" s="21">
        <v>181.45</v>
      </c>
      <c r="E15" s="84">
        <v>42522</v>
      </c>
      <c r="F15" s="105">
        <v>75.56</v>
      </c>
      <c r="G15" s="105">
        <v>177.44</v>
      </c>
      <c r="H15" s="109">
        <f t="shared" si="0"/>
        <v>253</v>
      </c>
    </row>
    <row r="16" spans="1:8" ht="15" thickBot="1" x14ac:dyDescent="0.35">
      <c r="A16" s="20">
        <v>40864</v>
      </c>
      <c r="B16" s="21">
        <v>71.64</v>
      </c>
      <c r="C16" s="21">
        <v>181.36</v>
      </c>
      <c r="E16" s="84">
        <v>42705</v>
      </c>
      <c r="F16" s="105">
        <v>75.760000000000005</v>
      </c>
      <c r="G16" s="105">
        <v>177.24</v>
      </c>
      <c r="H16" s="109">
        <f t="shared" si="0"/>
        <v>253</v>
      </c>
    </row>
    <row r="17" spans="1:8" ht="15" thickBot="1" x14ac:dyDescent="0.35">
      <c r="A17" s="20">
        <v>40889</v>
      </c>
      <c r="B17" s="21">
        <v>71.7</v>
      </c>
      <c r="C17" s="21">
        <v>181.3</v>
      </c>
      <c r="E17" s="84">
        <v>42887</v>
      </c>
      <c r="F17" s="105">
        <v>76.47</v>
      </c>
      <c r="G17" s="105">
        <v>176.53</v>
      </c>
      <c r="H17" s="109">
        <f t="shared" si="0"/>
        <v>253</v>
      </c>
    </row>
    <row r="18" spans="1:8" ht="15" thickBot="1" x14ac:dyDescent="0.35">
      <c r="A18" s="20">
        <v>40934</v>
      </c>
      <c r="B18" s="21">
        <v>71.75</v>
      </c>
      <c r="C18" s="21">
        <v>181.25</v>
      </c>
      <c r="E18" s="84">
        <v>43070</v>
      </c>
      <c r="F18" s="105">
        <v>77.11</v>
      </c>
      <c r="G18" s="105">
        <v>175.89</v>
      </c>
      <c r="H18" s="109">
        <f t="shared" si="0"/>
        <v>253</v>
      </c>
    </row>
    <row r="19" spans="1:8" ht="15" thickBot="1" x14ac:dyDescent="0.35">
      <c r="A19" s="20">
        <v>40967</v>
      </c>
      <c r="B19" s="21">
        <v>71.7</v>
      </c>
      <c r="C19" s="21">
        <v>181.3</v>
      </c>
      <c r="E19" s="84">
        <v>43252</v>
      </c>
      <c r="F19" s="10">
        <v>78.06</v>
      </c>
      <c r="G19" s="10">
        <f>253-F19</f>
        <v>174.94</v>
      </c>
      <c r="H19" s="109">
        <f t="shared" si="0"/>
        <v>253</v>
      </c>
    </row>
    <row r="20" spans="1:8" ht="15" thickBot="1" x14ac:dyDescent="0.35">
      <c r="A20" s="20">
        <v>41031</v>
      </c>
      <c r="B20" s="21">
        <v>71.650000000000006</v>
      </c>
      <c r="C20" s="21">
        <v>181.35</v>
      </c>
      <c r="E20" s="84">
        <v>43435</v>
      </c>
      <c r="F20" s="10">
        <v>79.03</v>
      </c>
      <c r="G20" s="10">
        <f>253-F20</f>
        <v>173.97</v>
      </c>
      <c r="H20" s="109">
        <f t="shared" si="0"/>
        <v>253</v>
      </c>
    </row>
    <row r="21" spans="1:8" ht="15" thickBot="1" x14ac:dyDescent="0.35">
      <c r="A21" s="20">
        <v>41072</v>
      </c>
      <c r="B21" s="21">
        <v>71.650000000000006</v>
      </c>
      <c r="C21" s="21">
        <v>181.35</v>
      </c>
      <c r="E21" s="84">
        <v>43617</v>
      </c>
      <c r="F21" s="105">
        <v>79.98</v>
      </c>
      <c r="G21" s="105">
        <v>173.02</v>
      </c>
      <c r="H21" s="109">
        <f t="shared" si="0"/>
        <v>253</v>
      </c>
    </row>
    <row r="22" spans="1:8" ht="15" thickBot="1" x14ac:dyDescent="0.35">
      <c r="A22" s="20">
        <v>41098</v>
      </c>
      <c r="B22" s="21">
        <v>71.64</v>
      </c>
      <c r="C22" s="21">
        <v>181.36</v>
      </c>
      <c r="E22" s="84">
        <v>43800</v>
      </c>
      <c r="F22" s="105">
        <v>81.53</v>
      </c>
      <c r="G22" s="105">
        <v>171.47</v>
      </c>
      <c r="H22" s="109">
        <f t="shared" si="0"/>
        <v>253</v>
      </c>
    </row>
    <row r="23" spans="1:8" ht="15" thickBot="1" x14ac:dyDescent="0.35">
      <c r="A23" s="20">
        <v>41235</v>
      </c>
      <c r="B23" s="21">
        <v>71.599999999999994</v>
      </c>
      <c r="C23" s="21">
        <v>181.4</v>
      </c>
      <c r="E23" s="84">
        <v>43983</v>
      </c>
      <c r="F23" s="96">
        <v>81.99</v>
      </c>
      <c r="G23" s="10">
        <f>253-F23</f>
        <v>171.01</v>
      </c>
      <c r="H23" s="109">
        <f t="shared" si="0"/>
        <v>253</v>
      </c>
    </row>
    <row r="24" spans="1:8" ht="15" thickBot="1" x14ac:dyDescent="0.35">
      <c r="A24" s="20">
        <v>41278</v>
      </c>
      <c r="B24" s="21">
        <v>71.67</v>
      </c>
      <c r="C24" s="21">
        <v>181.33</v>
      </c>
      <c r="E24" s="84">
        <v>44166</v>
      </c>
      <c r="F24" s="96">
        <v>82.45</v>
      </c>
      <c r="G24" s="10">
        <f>253-F24</f>
        <v>170.55</v>
      </c>
      <c r="H24" s="109">
        <f t="shared" si="0"/>
        <v>253</v>
      </c>
    </row>
    <row r="25" spans="1:8" ht="15" thickBot="1" x14ac:dyDescent="0.35">
      <c r="A25" s="20">
        <v>41368</v>
      </c>
      <c r="B25" s="21">
        <v>71.88</v>
      </c>
      <c r="C25" s="21">
        <v>181.12</v>
      </c>
      <c r="E25" s="84">
        <v>44348</v>
      </c>
      <c r="F25" s="105">
        <v>82.9</v>
      </c>
      <c r="G25" s="106">
        <v>170.1</v>
      </c>
      <c r="H25" s="109">
        <f t="shared" si="0"/>
        <v>253</v>
      </c>
    </row>
    <row r="26" spans="1:8" ht="15" thickBot="1" x14ac:dyDescent="0.35">
      <c r="A26" s="24">
        <v>43588</v>
      </c>
      <c r="B26" s="21">
        <v>71.819999999999993</v>
      </c>
      <c r="C26" s="21">
        <v>181.18</v>
      </c>
      <c r="E26" s="84">
        <v>44531</v>
      </c>
      <c r="F26" s="96">
        <v>83.37</v>
      </c>
      <c r="G26" s="10">
        <f>253-F26</f>
        <v>169.63</v>
      </c>
      <c r="H26" s="109">
        <f t="shared" si="0"/>
        <v>253</v>
      </c>
    </row>
    <row r="27" spans="1:8" ht="15" thickBot="1" x14ac:dyDescent="0.35">
      <c r="A27" s="20">
        <v>41437</v>
      </c>
      <c r="B27" s="21">
        <v>71.75</v>
      </c>
      <c r="C27" s="21">
        <v>181.25</v>
      </c>
      <c r="E27" s="84">
        <v>44713</v>
      </c>
      <c r="F27" s="107">
        <v>83.83</v>
      </c>
      <c r="G27" s="108">
        <v>169.17</v>
      </c>
      <c r="H27" s="109">
        <f t="shared" si="0"/>
        <v>253</v>
      </c>
    </row>
    <row r="28" spans="1:8" ht="15" thickBot="1" x14ac:dyDescent="0.35">
      <c r="A28" s="20">
        <v>41471</v>
      </c>
      <c r="B28" s="21">
        <v>71.739999999999995</v>
      </c>
      <c r="C28" s="21">
        <v>181.26</v>
      </c>
      <c r="E28" s="84">
        <v>44896</v>
      </c>
      <c r="F28" s="96">
        <v>84.6</v>
      </c>
      <c r="G28" s="10">
        <f t="shared" ref="G28:G33" si="1">253-F28</f>
        <v>168.4</v>
      </c>
      <c r="H28" s="109">
        <f t="shared" si="0"/>
        <v>253</v>
      </c>
    </row>
    <row r="29" spans="1:8" ht="15" thickBot="1" x14ac:dyDescent="0.35">
      <c r="A29" s="20">
        <v>41506</v>
      </c>
      <c r="B29" s="21">
        <v>72.02</v>
      </c>
      <c r="C29" s="21">
        <v>180.98</v>
      </c>
      <c r="E29" s="84">
        <v>45078</v>
      </c>
      <c r="F29" s="96">
        <v>85.17</v>
      </c>
      <c r="G29" s="10">
        <f t="shared" si="1"/>
        <v>167.82999999999998</v>
      </c>
      <c r="H29" s="109">
        <f t="shared" si="0"/>
        <v>253</v>
      </c>
    </row>
    <row r="30" spans="1:8" ht="15" thickBot="1" x14ac:dyDescent="0.35">
      <c r="A30" s="20">
        <v>41555</v>
      </c>
      <c r="B30" s="21">
        <v>72.010000000000005</v>
      </c>
      <c r="C30" s="21">
        <v>180.99</v>
      </c>
      <c r="E30" s="84">
        <v>45261</v>
      </c>
      <c r="F30" s="96">
        <v>85.75</v>
      </c>
      <c r="G30" s="10">
        <f t="shared" si="1"/>
        <v>167.25</v>
      </c>
      <c r="H30" s="109">
        <f t="shared" si="0"/>
        <v>253</v>
      </c>
    </row>
    <row r="31" spans="1:8" ht="15" thickBot="1" x14ac:dyDescent="0.35">
      <c r="A31" s="20">
        <v>41556</v>
      </c>
      <c r="B31" s="21">
        <v>71.959999999999994</v>
      </c>
      <c r="C31" s="21">
        <v>181.04</v>
      </c>
      <c r="E31" s="84">
        <v>45444</v>
      </c>
      <c r="F31" s="96">
        <v>86.33</v>
      </c>
      <c r="G31" s="10">
        <f t="shared" si="1"/>
        <v>166.67000000000002</v>
      </c>
      <c r="H31" s="109">
        <f t="shared" si="0"/>
        <v>253</v>
      </c>
    </row>
    <row r="32" spans="1:8" ht="15" thickBot="1" x14ac:dyDescent="0.35">
      <c r="A32" s="20">
        <v>41617</v>
      </c>
      <c r="B32" s="21">
        <v>72.14</v>
      </c>
      <c r="C32" s="21">
        <v>180.86</v>
      </c>
      <c r="E32" s="84">
        <v>45627</v>
      </c>
      <c r="F32" s="96">
        <v>86.91</v>
      </c>
      <c r="G32" s="10">
        <f t="shared" si="1"/>
        <v>166.09</v>
      </c>
      <c r="H32" s="109">
        <f t="shared" si="0"/>
        <v>253</v>
      </c>
    </row>
    <row r="33" spans="1:8" ht="15" thickBot="1" x14ac:dyDescent="0.35">
      <c r="A33" s="20">
        <v>41647</v>
      </c>
      <c r="B33" s="21">
        <v>72.12</v>
      </c>
      <c r="C33" s="21">
        <v>180.88</v>
      </c>
      <c r="E33" s="84">
        <v>45992</v>
      </c>
      <c r="F33" s="96">
        <v>88.06</v>
      </c>
      <c r="G33" s="10">
        <f t="shared" si="1"/>
        <v>164.94</v>
      </c>
      <c r="H33" s="109">
        <f t="shared" si="0"/>
        <v>253</v>
      </c>
    </row>
    <row r="34" spans="1:8" ht="15" thickBot="1" x14ac:dyDescent="0.35">
      <c r="A34" s="20">
        <v>41683</v>
      </c>
      <c r="B34" s="21">
        <v>72.3</v>
      </c>
      <c r="C34" s="21">
        <v>180.7</v>
      </c>
    </row>
    <row r="35" spans="1:8" ht="15" thickBot="1" x14ac:dyDescent="0.35">
      <c r="A35" s="20">
        <v>41764</v>
      </c>
      <c r="B35" s="21">
        <v>72.52</v>
      </c>
      <c r="C35" s="21">
        <v>180.48</v>
      </c>
    </row>
    <row r="36" spans="1:8" ht="15" thickBot="1" x14ac:dyDescent="0.35">
      <c r="A36" s="20">
        <v>41793</v>
      </c>
      <c r="B36" s="21">
        <v>72.599999999999994</v>
      </c>
      <c r="C36" s="21">
        <v>180.4</v>
      </c>
    </row>
    <row r="37" spans="1:8" ht="15" thickBot="1" x14ac:dyDescent="0.35">
      <c r="A37" s="20">
        <v>41830</v>
      </c>
      <c r="B37" s="21">
        <v>72.81</v>
      </c>
      <c r="C37" s="21">
        <v>180.19</v>
      </c>
    </row>
    <row r="38" spans="1:8" ht="15" thickBot="1" x14ac:dyDescent="0.35">
      <c r="A38" s="20">
        <v>41877</v>
      </c>
      <c r="B38" s="21">
        <v>72.84</v>
      </c>
      <c r="C38" s="21">
        <v>180.16</v>
      </c>
    </row>
    <row r="39" spans="1:8" ht="15" thickBot="1" x14ac:dyDescent="0.35">
      <c r="A39" s="20">
        <v>41906</v>
      </c>
      <c r="B39" s="21">
        <v>73.010000000000005</v>
      </c>
      <c r="C39" s="21">
        <v>179.99</v>
      </c>
    </row>
    <row r="40" spans="1:8" ht="15" thickBot="1" x14ac:dyDescent="0.35">
      <c r="A40" s="20">
        <v>41936</v>
      </c>
      <c r="B40" s="21">
        <v>73.069999999999993</v>
      </c>
      <c r="C40" s="21">
        <v>179.93</v>
      </c>
    </row>
    <row r="41" spans="1:8" ht="15" thickBot="1" x14ac:dyDescent="0.35">
      <c r="A41" s="20">
        <v>41976</v>
      </c>
      <c r="B41" s="21">
        <v>72.599999999999994</v>
      </c>
      <c r="C41" s="21">
        <v>180.4</v>
      </c>
    </row>
    <row r="42" spans="1:8" ht="15" thickBot="1" x14ac:dyDescent="0.35">
      <c r="A42" s="20">
        <v>42009</v>
      </c>
      <c r="B42" s="21">
        <v>73.349999999999994</v>
      </c>
      <c r="C42" s="21">
        <v>179.65</v>
      </c>
    </row>
    <row r="43" spans="1:8" ht="15" thickBot="1" x14ac:dyDescent="0.35">
      <c r="A43" s="20">
        <v>42157</v>
      </c>
      <c r="B43" s="21">
        <v>73.790000000000006</v>
      </c>
      <c r="C43" s="21">
        <v>179.21</v>
      </c>
    </row>
    <row r="44" spans="1:8" ht="15" thickBot="1" x14ac:dyDescent="0.35">
      <c r="A44" s="20">
        <v>42220</v>
      </c>
      <c r="B44" s="21">
        <v>74.05</v>
      </c>
      <c r="C44" s="21">
        <v>178.95</v>
      </c>
    </row>
    <row r="45" spans="1:8" ht="15" thickBot="1" x14ac:dyDescent="0.35">
      <c r="A45" s="20">
        <v>42255</v>
      </c>
      <c r="B45" s="21">
        <v>74.17</v>
      </c>
      <c r="C45" s="21">
        <v>178.83</v>
      </c>
    </row>
    <row r="46" spans="1:8" ht="15" thickBot="1" x14ac:dyDescent="0.35">
      <c r="A46" s="20">
        <v>42292</v>
      </c>
      <c r="B46" s="21">
        <v>74.28</v>
      </c>
      <c r="C46" s="21">
        <v>178.72</v>
      </c>
    </row>
    <row r="47" spans="1:8" ht="15" thickBot="1" x14ac:dyDescent="0.35">
      <c r="A47" s="20">
        <v>42353</v>
      </c>
      <c r="B47" s="21">
        <v>74.489999999999995</v>
      </c>
      <c r="C47" s="21">
        <v>178.51</v>
      </c>
    </row>
    <row r="48" spans="1:8" ht="15" thickBot="1" x14ac:dyDescent="0.35">
      <c r="A48" s="20">
        <v>42387</v>
      </c>
      <c r="B48" s="21">
        <v>74.599999999999994</v>
      </c>
      <c r="C48" s="21">
        <v>178.4</v>
      </c>
    </row>
    <row r="49" spans="1:3" ht="15" thickBot="1" x14ac:dyDescent="0.35">
      <c r="A49" s="20">
        <v>42429</v>
      </c>
      <c r="B49" s="21">
        <v>74.87</v>
      </c>
      <c r="C49" s="21">
        <v>178.13</v>
      </c>
    </row>
    <row r="50" spans="1:3" ht="15" thickBot="1" x14ac:dyDescent="0.35">
      <c r="A50" s="20">
        <v>42471</v>
      </c>
      <c r="B50" s="21">
        <v>74.87</v>
      </c>
      <c r="C50" s="21">
        <v>178.13</v>
      </c>
    </row>
    <row r="51" spans="1:3" ht="15" thickBot="1" x14ac:dyDescent="0.35">
      <c r="A51" s="20">
        <v>42557</v>
      </c>
      <c r="B51" s="21">
        <v>75.150000000000006</v>
      </c>
      <c r="C51" s="21">
        <v>177.85</v>
      </c>
    </row>
    <row r="52" spans="1:3" ht="15" thickBot="1" x14ac:dyDescent="0.35">
      <c r="A52" s="20">
        <v>42541</v>
      </c>
      <c r="B52" s="21">
        <v>75.56</v>
      </c>
      <c r="C52" s="21">
        <v>177.44</v>
      </c>
    </row>
    <row r="53" spans="1:3" ht="15" thickBot="1" x14ac:dyDescent="0.35">
      <c r="A53" s="20">
        <v>42591</v>
      </c>
      <c r="B53" s="21">
        <v>75.760000000000005</v>
      </c>
      <c r="C53" s="21">
        <v>177.24</v>
      </c>
    </row>
    <row r="54" spans="1:3" ht="15" thickBot="1" x14ac:dyDescent="0.35">
      <c r="A54" s="20">
        <v>42852</v>
      </c>
      <c r="B54" s="21">
        <v>76.209999999999994</v>
      </c>
      <c r="C54" s="21">
        <v>176.79</v>
      </c>
    </row>
    <row r="55" spans="1:3" ht="15" thickBot="1" x14ac:dyDescent="0.35">
      <c r="A55" s="20">
        <v>42888</v>
      </c>
      <c r="B55" s="21">
        <v>76.290000000000006</v>
      </c>
      <c r="C55" s="21">
        <v>176.71</v>
      </c>
    </row>
    <row r="56" spans="1:3" ht="15" thickBot="1" x14ac:dyDescent="0.35">
      <c r="A56" s="20">
        <v>42902</v>
      </c>
      <c r="B56" s="21">
        <v>76.47</v>
      </c>
      <c r="C56" s="21">
        <v>176.53</v>
      </c>
    </row>
    <row r="57" spans="1:3" ht="15" thickBot="1" x14ac:dyDescent="0.35">
      <c r="A57" s="20">
        <v>42955</v>
      </c>
      <c r="B57" s="21">
        <v>76.569999999999993</v>
      </c>
      <c r="C57" s="21">
        <v>176.43</v>
      </c>
    </row>
    <row r="58" spans="1:3" ht="15" thickBot="1" x14ac:dyDescent="0.35">
      <c r="A58" s="20">
        <v>43048</v>
      </c>
      <c r="B58" s="21">
        <v>76.849999999999994</v>
      </c>
      <c r="C58" s="21">
        <v>176.15</v>
      </c>
    </row>
    <row r="59" spans="1:3" ht="15" thickBot="1" x14ac:dyDescent="0.35">
      <c r="A59" s="20">
        <v>43123</v>
      </c>
      <c r="B59" s="21">
        <v>77.11</v>
      </c>
      <c r="C59" s="21">
        <v>175.89</v>
      </c>
    </row>
    <row r="60" spans="1:3" ht="15" thickBot="1" x14ac:dyDescent="0.35">
      <c r="A60" s="20">
        <v>43559</v>
      </c>
      <c r="B60" s="21">
        <v>79.42</v>
      </c>
      <c r="C60" s="21">
        <v>173.58</v>
      </c>
    </row>
    <row r="61" spans="1:3" ht="15" thickBot="1" x14ac:dyDescent="0.35">
      <c r="A61" s="20">
        <v>43697</v>
      </c>
      <c r="B61" s="21">
        <v>79.98</v>
      </c>
      <c r="C61" s="21">
        <v>173.02</v>
      </c>
    </row>
    <row r="62" spans="1:3" ht="15" thickBot="1" x14ac:dyDescent="0.35">
      <c r="A62" s="20">
        <v>43759</v>
      </c>
      <c r="B62" s="21">
        <v>81.53</v>
      </c>
      <c r="C62" s="21">
        <v>171.47</v>
      </c>
    </row>
    <row r="63" spans="1:3" ht="15" thickBot="1" x14ac:dyDescent="0.35">
      <c r="A63" s="20">
        <v>44440</v>
      </c>
      <c r="B63" s="21">
        <v>82.9</v>
      </c>
      <c r="C63" s="22">
        <v>170.1</v>
      </c>
    </row>
    <row r="64" spans="1:3" ht="15" thickBot="1" x14ac:dyDescent="0.35">
      <c r="A64" s="20">
        <v>44599</v>
      </c>
      <c r="B64" s="23">
        <v>83.83</v>
      </c>
      <c r="C64" s="17">
        <v>169.17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7FFD-31C4-4B7B-8E1B-755DE80EB168}">
  <dimension ref="A1:H121"/>
  <sheetViews>
    <sheetView topLeftCell="A8" workbookViewId="0">
      <selection activeCell="E1" sqref="E1:G33"/>
    </sheetView>
  </sheetViews>
  <sheetFormatPr baseColWidth="10" defaultRowHeight="14.4" x14ac:dyDescent="0.3"/>
  <cols>
    <col min="3" max="3" width="12.6640625" customWidth="1"/>
    <col min="7" max="7" width="13.5546875" customWidth="1"/>
  </cols>
  <sheetData>
    <row r="1" spans="1:8" ht="15" thickBot="1" x14ac:dyDescent="0.35">
      <c r="A1" s="518" t="s">
        <v>7</v>
      </c>
      <c r="B1" s="519"/>
      <c r="C1" s="520"/>
      <c r="E1" s="529" t="s">
        <v>7</v>
      </c>
      <c r="F1" s="530"/>
      <c r="G1" s="530"/>
    </row>
    <row r="2" spans="1:8" ht="29.4" thickBot="1" x14ac:dyDescent="0.35">
      <c r="A2" s="18" t="s">
        <v>1</v>
      </c>
      <c r="B2" s="19" t="s">
        <v>2</v>
      </c>
      <c r="C2" s="19" t="s">
        <v>3</v>
      </c>
      <c r="E2" s="103" t="s">
        <v>1</v>
      </c>
      <c r="F2" s="104" t="s">
        <v>2</v>
      </c>
      <c r="G2" s="104" t="s">
        <v>3</v>
      </c>
    </row>
    <row r="3" spans="1:8" ht="15" thickBot="1" x14ac:dyDescent="0.35">
      <c r="A3" s="25">
        <v>37635</v>
      </c>
      <c r="B3" s="26">
        <v>5</v>
      </c>
      <c r="C3" s="26">
        <v>165</v>
      </c>
      <c r="E3" s="84">
        <v>40330</v>
      </c>
      <c r="F3" s="110">
        <v>5.71</v>
      </c>
      <c r="G3" s="110">
        <v>164.29</v>
      </c>
      <c r="H3" s="109">
        <f>F3+G3</f>
        <v>170</v>
      </c>
    </row>
    <row r="4" spans="1:8" ht="15" thickBot="1" x14ac:dyDescent="0.35">
      <c r="A4" s="25">
        <v>37720</v>
      </c>
      <c r="B4" s="26">
        <v>5.03</v>
      </c>
      <c r="C4" s="26">
        <v>164.97</v>
      </c>
      <c r="E4" s="84">
        <v>40513</v>
      </c>
      <c r="F4" s="110">
        <v>5.18</v>
      </c>
      <c r="G4" s="110">
        <v>164.82</v>
      </c>
      <c r="H4" s="109">
        <f t="shared" ref="H4:H33" si="0">F4+G4</f>
        <v>170</v>
      </c>
    </row>
    <row r="5" spans="1:8" ht="15" thickBot="1" x14ac:dyDescent="0.35">
      <c r="A5" s="25">
        <v>37726</v>
      </c>
      <c r="B5" s="26">
        <v>4.9800000000000004</v>
      </c>
      <c r="C5" s="26">
        <v>165.02</v>
      </c>
      <c r="E5" s="84">
        <v>40695</v>
      </c>
      <c r="F5" s="110">
        <v>4.7699999999999996</v>
      </c>
      <c r="G5" s="110">
        <v>165.23</v>
      </c>
      <c r="H5" s="109">
        <f t="shared" si="0"/>
        <v>170</v>
      </c>
    </row>
    <row r="6" spans="1:8" ht="15" thickBot="1" x14ac:dyDescent="0.35">
      <c r="A6" s="25">
        <v>37732</v>
      </c>
      <c r="B6" s="26">
        <v>5.0999999999999996</v>
      </c>
      <c r="C6" s="26">
        <v>164.9</v>
      </c>
      <c r="E6" s="84">
        <v>40878</v>
      </c>
      <c r="F6" s="110">
        <v>4.5999999999999996</v>
      </c>
      <c r="G6" s="110">
        <v>165.4</v>
      </c>
      <c r="H6" s="109">
        <f t="shared" si="0"/>
        <v>170</v>
      </c>
    </row>
    <row r="7" spans="1:8" ht="15" thickBot="1" x14ac:dyDescent="0.35">
      <c r="A7" s="25">
        <v>37734</v>
      </c>
      <c r="B7" s="26">
        <v>5.0599999999999996</v>
      </c>
      <c r="C7" s="26">
        <v>164.94</v>
      </c>
      <c r="E7" s="84">
        <v>41061</v>
      </c>
      <c r="F7" s="110">
        <v>4.6500000000000004</v>
      </c>
      <c r="G7" s="110">
        <v>165.35</v>
      </c>
      <c r="H7" s="109">
        <f t="shared" si="0"/>
        <v>170</v>
      </c>
    </row>
    <row r="8" spans="1:8" ht="15" thickBot="1" x14ac:dyDescent="0.35">
      <c r="A8" s="25">
        <v>37735</v>
      </c>
      <c r="B8" s="26">
        <v>5.04</v>
      </c>
      <c r="C8" s="26">
        <v>164.96</v>
      </c>
      <c r="E8" s="84">
        <v>41244</v>
      </c>
      <c r="F8" s="110">
        <v>4.3499999999999996</v>
      </c>
      <c r="G8" s="110">
        <v>165.65</v>
      </c>
      <c r="H8" s="109">
        <f t="shared" si="0"/>
        <v>170</v>
      </c>
    </row>
    <row r="9" spans="1:8" ht="15" thickBot="1" x14ac:dyDescent="0.35">
      <c r="A9" s="25">
        <v>37746</v>
      </c>
      <c r="B9" s="26">
        <v>4.45</v>
      </c>
      <c r="C9" s="26">
        <v>165.55</v>
      </c>
      <c r="E9" s="84">
        <v>41426</v>
      </c>
      <c r="F9" s="110">
        <v>4.8499999999999996</v>
      </c>
      <c r="G9" s="110">
        <v>165.15</v>
      </c>
      <c r="H9" s="109">
        <f t="shared" si="0"/>
        <v>170</v>
      </c>
    </row>
    <row r="10" spans="1:8" ht="15" thickBot="1" x14ac:dyDescent="0.35">
      <c r="A10" s="25">
        <v>37749</v>
      </c>
      <c r="B10" s="26">
        <v>5.0199999999999996</v>
      </c>
      <c r="C10" s="26">
        <v>164.98</v>
      </c>
      <c r="E10" s="84">
        <v>41609</v>
      </c>
      <c r="F10" s="110">
        <v>4.91</v>
      </c>
      <c r="G10" s="110">
        <v>165.09</v>
      </c>
      <c r="H10" s="109">
        <f t="shared" si="0"/>
        <v>170</v>
      </c>
    </row>
    <row r="11" spans="1:8" ht="15" thickBot="1" x14ac:dyDescent="0.35">
      <c r="A11" s="25">
        <v>37750</v>
      </c>
      <c r="B11" s="26">
        <v>5.12</v>
      </c>
      <c r="C11" s="26">
        <v>164.88</v>
      </c>
      <c r="E11" s="84">
        <v>41791</v>
      </c>
      <c r="F11" s="110">
        <v>5.05</v>
      </c>
      <c r="G11" s="110">
        <v>164.95</v>
      </c>
      <c r="H11" s="109">
        <f t="shared" si="0"/>
        <v>170</v>
      </c>
    </row>
    <row r="12" spans="1:8" ht="15" thickBot="1" x14ac:dyDescent="0.35">
      <c r="A12" s="25">
        <v>37755</v>
      </c>
      <c r="B12" s="26">
        <v>5.03</v>
      </c>
      <c r="C12" s="26">
        <v>164.97</v>
      </c>
      <c r="E12" s="84">
        <v>41974</v>
      </c>
      <c r="F12" s="111">
        <v>5.47</v>
      </c>
      <c r="G12" s="111">
        <f>170-F12</f>
        <v>164.53</v>
      </c>
      <c r="H12" s="109">
        <f t="shared" si="0"/>
        <v>170</v>
      </c>
    </row>
    <row r="13" spans="1:8" ht="15" thickBot="1" x14ac:dyDescent="0.35">
      <c r="A13" s="25">
        <v>37758</v>
      </c>
      <c r="B13" s="26">
        <v>5</v>
      </c>
      <c r="C13" s="26">
        <v>165</v>
      </c>
      <c r="E13" s="84">
        <v>42156</v>
      </c>
      <c r="F13" s="110">
        <v>5.89</v>
      </c>
      <c r="G13" s="110">
        <v>164.11</v>
      </c>
      <c r="H13" s="109">
        <f t="shared" si="0"/>
        <v>170</v>
      </c>
    </row>
    <row r="14" spans="1:8" ht="15" thickBot="1" x14ac:dyDescent="0.35">
      <c r="A14" s="25">
        <v>37768</v>
      </c>
      <c r="B14" s="26">
        <v>5.12</v>
      </c>
      <c r="C14" s="26">
        <v>164.88</v>
      </c>
      <c r="E14" s="84">
        <v>42339</v>
      </c>
      <c r="F14" s="110">
        <v>5.36</v>
      </c>
      <c r="G14" s="110">
        <v>164.64</v>
      </c>
      <c r="H14" s="109">
        <f t="shared" si="0"/>
        <v>170</v>
      </c>
    </row>
    <row r="15" spans="1:8" ht="15" thickBot="1" x14ac:dyDescent="0.35">
      <c r="A15" s="25">
        <v>37797</v>
      </c>
      <c r="B15" s="26">
        <v>4.96</v>
      </c>
      <c r="C15" s="26">
        <v>165.04</v>
      </c>
      <c r="E15" s="84">
        <v>42522</v>
      </c>
      <c r="F15" s="110">
        <v>5.63</v>
      </c>
      <c r="G15" s="110">
        <v>164.37</v>
      </c>
      <c r="H15" s="109">
        <f t="shared" si="0"/>
        <v>170</v>
      </c>
    </row>
    <row r="16" spans="1:8" ht="15" thickBot="1" x14ac:dyDescent="0.35">
      <c r="A16" s="25">
        <v>37811</v>
      </c>
      <c r="B16" s="26">
        <v>4.8099999999999996</v>
      </c>
      <c r="C16" s="26">
        <v>165.19</v>
      </c>
      <c r="E16" s="84">
        <v>42705</v>
      </c>
      <c r="F16" s="110">
        <v>5.86</v>
      </c>
      <c r="G16" s="110">
        <v>164.14</v>
      </c>
      <c r="H16" s="109">
        <f t="shared" si="0"/>
        <v>170</v>
      </c>
    </row>
    <row r="17" spans="1:8" ht="15" thickBot="1" x14ac:dyDescent="0.35">
      <c r="A17" s="25">
        <v>37817</v>
      </c>
      <c r="B17" s="26">
        <v>4.7</v>
      </c>
      <c r="C17" s="26">
        <v>165.3</v>
      </c>
      <c r="E17" s="84">
        <v>42887</v>
      </c>
      <c r="F17" s="110">
        <v>5.92</v>
      </c>
      <c r="G17" s="110">
        <v>164.08</v>
      </c>
      <c r="H17" s="109">
        <f t="shared" si="0"/>
        <v>170</v>
      </c>
    </row>
    <row r="18" spans="1:8" ht="15" thickBot="1" x14ac:dyDescent="0.35">
      <c r="A18" s="25">
        <v>37824</v>
      </c>
      <c r="B18" s="26">
        <v>4.7300000000000004</v>
      </c>
      <c r="C18" s="26">
        <v>165.27</v>
      </c>
      <c r="E18" s="84">
        <v>43070</v>
      </c>
      <c r="F18" s="110">
        <v>5.4</v>
      </c>
      <c r="G18" s="110">
        <v>164.6</v>
      </c>
      <c r="H18" s="109">
        <f t="shared" si="0"/>
        <v>170</v>
      </c>
    </row>
    <row r="19" spans="1:8" ht="15" thickBot="1" x14ac:dyDescent="0.35">
      <c r="A19" s="25">
        <v>37832</v>
      </c>
      <c r="B19" s="26">
        <v>4.7</v>
      </c>
      <c r="C19" s="26">
        <v>165.3</v>
      </c>
      <c r="E19" s="84">
        <v>43252</v>
      </c>
      <c r="F19" s="101">
        <v>5.46</v>
      </c>
      <c r="G19" s="111">
        <f t="shared" ref="G19:G20" si="1">170-F19</f>
        <v>164.54</v>
      </c>
      <c r="H19" s="109">
        <f t="shared" si="0"/>
        <v>170</v>
      </c>
    </row>
    <row r="20" spans="1:8" ht="15" thickBot="1" x14ac:dyDescent="0.35">
      <c r="A20" s="25">
        <v>37839</v>
      </c>
      <c r="B20" s="26">
        <v>4.7</v>
      </c>
      <c r="C20" s="26">
        <v>165.3</v>
      </c>
      <c r="E20" s="84">
        <v>43435</v>
      </c>
      <c r="F20" s="101">
        <v>5.52</v>
      </c>
      <c r="G20" s="111">
        <f t="shared" si="1"/>
        <v>164.48</v>
      </c>
      <c r="H20" s="109">
        <f t="shared" si="0"/>
        <v>170</v>
      </c>
    </row>
    <row r="21" spans="1:8" ht="15" thickBot="1" x14ac:dyDescent="0.35">
      <c r="A21" s="25">
        <v>37845</v>
      </c>
      <c r="B21" s="26">
        <v>4.7300000000000004</v>
      </c>
      <c r="C21" s="26">
        <v>165.27</v>
      </c>
      <c r="E21" s="84">
        <v>43617</v>
      </c>
      <c r="F21" s="110">
        <v>5.58</v>
      </c>
      <c r="G21" s="110">
        <v>164.42</v>
      </c>
      <c r="H21" s="109">
        <f t="shared" si="0"/>
        <v>170</v>
      </c>
    </row>
    <row r="22" spans="1:8" ht="15" thickBot="1" x14ac:dyDescent="0.35">
      <c r="A22" s="25">
        <v>37873</v>
      </c>
      <c r="B22" s="26">
        <v>4.74</v>
      </c>
      <c r="C22" s="26">
        <v>165.26</v>
      </c>
      <c r="E22" s="84">
        <v>43800</v>
      </c>
      <c r="F22" s="110">
        <v>6.18</v>
      </c>
      <c r="G22" s="110">
        <v>163.82</v>
      </c>
      <c r="H22" s="109">
        <f t="shared" si="0"/>
        <v>170</v>
      </c>
    </row>
    <row r="23" spans="1:8" ht="15" thickBot="1" x14ac:dyDescent="0.35">
      <c r="A23" s="25">
        <v>38009</v>
      </c>
      <c r="B23" s="26">
        <v>4.41</v>
      </c>
      <c r="C23" s="26">
        <v>165.59</v>
      </c>
      <c r="E23" s="84">
        <v>43983</v>
      </c>
      <c r="F23" s="110">
        <v>5.52</v>
      </c>
      <c r="G23" s="110">
        <v>164.48</v>
      </c>
      <c r="H23" s="109">
        <f t="shared" si="0"/>
        <v>170</v>
      </c>
    </row>
    <row r="24" spans="1:8" ht="15" thickBot="1" x14ac:dyDescent="0.35">
      <c r="A24" s="25">
        <v>38016</v>
      </c>
      <c r="B24" s="26">
        <v>4.42</v>
      </c>
      <c r="C24" s="26">
        <v>165.58</v>
      </c>
      <c r="E24" s="84">
        <v>44166</v>
      </c>
      <c r="F24" s="96">
        <v>5.66</v>
      </c>
      <c r="G24" s="111">
        <f t="shared" ref="G24:G25" si="2">170-F24</f>
        <v>164.34</v>
      </c>
      <c r="H24" s="109">
        <f t="shared" si="0"/>
        <v>170</v>
      </c>
    </row>
    <row r="25" spans="1:8" ht="15" thickBot="1" x14ac:dyDescent="0.35">
      <c r="A25" s="25">
        <v>38050</v>
      </c>
      <c r="B25" s="26">
        <v>4.45</v>
      </c>
      <c r="C25" s="26">
        <v>165.55</v>
      </c>
      <c r="E25" s="84">
        <v>44348</v>
      </c>
      <c r="F25" s="111">
        <v>5.81</v>
      </c>
      <c r="G25" s="111">
        <f t="shared" si="2"/>
        <v>164.19</v>
      </c>
      <c r="H25" s="109">
        <f t="shared" si="0"/>
        <v>170</v>
      </c>
    </row>
    <row r="26" spans="1:8" ht="15" thickBot="1" x14ac:dyDescent="0.35">
      <c r="A26" s="25">
        <v>43588</v>
      </c>
      <c r="B26" s="26">
        <v>4.5999999999999996</v>
      </c>
      <c r="C26" s="26">
        <v>165.4</v>
      </c>
      <c r="E26" s="84">
        <v>44531</v>
      </c>
      <c r="F26" s="111">
        <v>5.95</v>
      </c>
      <c r="G26" s="112">
        <f>170-F26</f>
        <v>164.05</v>
      </c>
      <c r="H26" s="109">
        <f t="shared" si="0"/>
        <v>170</v>
      </c>
    </row>
    <row r="27" spans="1:8" ht="15" thickBot="1" x14ac:dyDescent="0.35">
      <c r="A27" s="25">
        <v>38078</v>
      </c>
      <c r="B27" s="26">
        <v>4.8</v>
      </c>
      <c r="C27" s="26">
        <v>165.2</v>
      </c>
      <c r="E27" s="84">
        <v>44713</v>
      </c>
      <c r="F27" s="111">
        <v>5.81</v>
      </c>
      <c r="G27" s="113">
        <f t="shared" ref="G27:G33" si="3">170-F27</f>
        <v>164.19</v>
      </c>
      <c r="H27" s="109">
        <f t="shared" si="0"/>
        <v>170</v>
      </c>
    </row>
    <row r="28" spans="1:8" ht="15" thickBot="1" x14ac:dyDescent="0.35">
      <c r="A28" s="25">
        <v>38090</v>
      </c>
      <c r="B28" s="26">
        <v>4.9000000000000004</v>
      </c>
      <c r="C28" s="26">
        <v>165.1</v>
      </c>
      <c r="E28" s="84">
        <v>44896</v>
      </c>
      <c r="F28" s="96">
        <v>5.67</v>
      </c>
      <c r="G28" s="113">
        <f t="shared" si="3"/>
        <v>164.33</v>
      </c>
      <c r="H28" s="109">
        <f t="shared" si="0"/>
        <v>170</v>
      </c>
    </row>
    <row r="29" spans="1:8" ht="15" thickBot="1" x14ac:dyDescent="0.35">
      <c r="A29" s="25">
        <v>38105</v>
      </c>
      <c r="B29" s="26">
        <v>4.8499999999999996</v>
      </c>
      <c r="C29" s="26">
        <v>165.15</v>
      </c>
      <c r="E29" s="84">
        <v>45078</v>
      </c>
      <c r="F29" s="96">
        <v>5.52</v>
      </c>
      <c r="G29" s="113">
        <f t="shared" si="3"/>
        <v>164.48</v>
      </c>
      <c r="H29" s="109">
        <f t="shared" si="0"/>
        <v>170</v>
      </c>
    </row>
    <row r="30" spans="1:8" ht="15" thickBot="1" x14ac:dyDescent="0.35">
      <c r="A30" s="25">
        <v>38133</v>
      </c>
      <c r="B30" s="26">
        <v>4.53</v>
      </c>
      <c r="C30" s="26">
        <v>165.47</v>
      </c>
      <c r="E30" s="84">
        <v>45261</v>
      </c>
      <c r="F30" s="96">
        <v>5.38</v>
      </c>
      <c r="G30" s="113">
        <f t="shared" si="3"/>
        <v>164.62</v>
      </c>
      <c r="H30" s="109">
        <f t="shared" si="0"/>
        <v>170</v>
      </c>
    </row>
    <row r="31" spans="1:8" ht="15" thickBot="1" x14ac:dyDescent="0.35">
      <c r="A31" s="25">
        <v>38155</v>
      </c>
      <c r="B31" s="26">
        <v>4.6500000000000004</v>
      </c>
      <c r="C31" s="26">
        <v>165.35</v>
      </c>
      <c r="E31" s="84">
        <v>45444</v>
      </c>
      <c r="F31" s="110">
        <v>5.24</v>
      </c>
      <c r="G31" s="112">
        <f t="shared" si="3"/>
        <v>164.76</v>
      </c>
      <c r="H31" s="109">
        <f t="shared" si="0"/>
        <v>170</v>
      </c>
    </row>
    <row r="32" spans="1:8" ht="15" thickBot="1" x14ac:dyDescent="0.35">
      <c r="A32" s="25">
        <v>38161</v>
      </c>
      <c r="B32" s="26">
        <v>4.63</v>
      </c>
      <c r="C32" s="26">
        <v>165.37</v>
      </c>
      <c r="E32" s="84">
        <v>45627</v>
      </c>
      <c r="F32" s="96">
        <v>5.0999999999999996</v>
      </c>
      <c r="G32" s="113">
        <f t="shared" si="3"/>
        <v>164.9</v>
      </c>
      <c r="H32" s="109">
        <f t="shared" si="0"/>
        <v>170</v>
      </c>
    </row>
    <row r="33" spans="1:8" ht="15" thickBot="1" x14ac:dyDescent="0.35">
      <c r="A33" s="25">
        <v>38170</v>
      </c>
      <c r="B33" s="26">
        <v>4.5999999999999996</v>
      </c>
      <c r="C33" s="26">
        <v>165.4</v>
      </c>
      <c r="E33" s="84">
        <v>45992</v>
      </c>
      <c r="F33" s="96">
        <v>4.8099999999999996</v>
      </c>
      <c r="G33" s="113">
        <f t="shared" si="3"/>
        <v>165.19</v>
      </c>
      <c r="H33" s="109">
        <f t="shared" si="0"/>
        <v>170</v>
      </c>
    </row>
    <row r="34" spans="1:8" ht="15" thickBot="1" x14ac:dyDescent="0.35">
      <c r="A34" s="25">
        <v>38197</v>
      </c>
      <c r="B34" s="26">
        <v>4.7</v>
      </c>
      <c r="C34" s="26">
        <v>165.3</v>
      </c>
    </row>
    <row r="35" spans="1:8" ht="15" thickBot="1" x14ac:dyDescent="0.35">
      <c r="A35" s="25">
        <v>38203</v>
      </c>
      <c r="B35" s="26">
        <v>4.67</v>
      </c>
      <c r="C35" s="26">
        <v>165.33</v>
      </c>
    </row>
    <row r="36" spans="1:8" ht="15" thickBot="1" x14ac:dyDescent="0.35">
      <c r="A36" s="25">
        <v>38209</v>
      </c>
      <c r="B36" s="26">
        <v>4.4000000000000004</v>
      </c>
      <c r="C36" s="26">
        <v>165.6</v>
      </c>
    </row>
    <row r="37" spans="1:8" ht="15" thickBot="1" x14ac:dyDescent="0.35">
      <c r="A37" s="25">
        <v>38217</v>
      </c>
      <c r="B37" s="26">
        <v>4.68</v>
      </c>
      <c r="C37" s="26">
        <v>165.32</v>
      </c>
    </row>
    <row r="38" spans="1:8" ht="15" thickBot="1" x14ac:dyDescent="0.35">
      <c r="A38" s="25">
        <v>38230</v>
      </c>
      <c r="B38" s="26">
        <v>4.63</v>
      </c>
      <c r="C38" s="26">
        <v>165.37</v>
      </c>
    </row>
    <row r="39" spans="1:8" ht="15" thickBot="1" x14ac:dyDescent="0.35">
      <c r="A39" s="25">
        <v>38286</v>
      </c>
      <c r="B39" s="26">
        <v>4.58</v>
      </c>
      <c r="C39" s="26">
        <v>165.42</v>
      </c>
    </row>
    <row r="40" spans="1:8" ht="15" thickBot="1" x14ac:dyDescent="0.35">
      <c r="A40" s="25">
        <v>38313</v>
      </c>
      <c r="B40" s="26">
        <v>4.1399999999999997</v>
      </c>
      <c r="C40" s="26">
        <v>165.86</v>
      </c>
    </row>
    <row r="41" spans="1:8" ht="15" thickBot="1" x14ac:dyDescent="0.35">
      <c r="A41" s="25">
        <v>38378</v>
      </c>
      <c r="B41" s="26">
        <v>4.3</v>
      </c>
      <c r="C41" s="26">
        <v>165.7</v>
      </c>
    </row>
    <row r="42" spans="1:8" ht="15" thickBot="1" x14ac:dyDescent="0.35">
      <c r="A42" s="25">
        <v>38404</v>
      </c>
      <c r="B42" s="26">
        <v>4.33</v>
      </c>
      <c r="C42" s="26">
        <v>165.67</v>
      </c>
    </row>
    <row r="43" spans="1:8" ht="15" thickBot="1" x14ac:dyDescent="0.35">
      <c r="A43" s="25">
        <v>38439</v>
      </c>
      <c r="B43" s="26">
        <v>4.41</v>
      </c>
      <c r="C43" s="26">
        <v>165.59</v>
      </c>
    </row>
    <row r="44" spans="1:8" ht="15" thickBot="1" x14ac:dyDescent="0.35">
      <c r="A44" s="25">
        <v>38446</v>
      </c>
      <c r="B44" s="26">
        <v>4.5599999999999996</v>
      </c>
      <c r="C44" s="26">
        <v>165.44</v>
      </c>
    </row>
    <row r="45" spans="1:8" ht="15" thickBot="1" x14ac:dyDescent="0.35">
      <c r="A45" s="25">
        <v>38453</v>
      </c>
      <c r="B45" s="26">
        <v>4.62</v>
      </c>
      <c r="C45" s="26">
        <v>165.38</v>
      </c>
    </row>
    <row r="46" spans="1:8" ht="15" thickBot="1" x14ac:dyDescent="0.35">
      <c r="A46" s="25">
        <v>38467</v>
      </c>
      <c r="B46" s="26">
        <v>4.7</v>
      </c>
      <c r="C46" s="26">
        <v>165.3</v>
      </c>
    </row>
    <row r="47" spans="1:8" ht="15" thickBot="1" x14ac:dyDescent="0.35">
      <c r="A47" s="25">
        <v>38474</v>
      </c>
      <c r="B47" s="26">
        <v>4.75</v>
      </c>
      <c r="C47" s="26">
        <v>165.25</v>
      </c>
    </row>
    <row r="48" spans="1:8" ht="15" thickBot="1" x14ac:dyDescent="0.35">
      <c r="A48" s="25">
        <v>38485</v>
      </c>
      <c r="B48" s="26">
        <v>4.8</v>
      </c>
      <c r="C48" s="26">
        <v>165.2</v>
      </c>
    </row>
    <row r="49" spans="1:3" ht="15" thickBot="1" x14ac:dyDescent="0.35">
      <c r="A49" s="25">
        <v>38592</v>
      </c>
      <c r="B49" s="26">
        <v>5.15</v>
      </c>
      <c r="C49" s="26">
        <v>164.85</v>
      </c>
    </row>
    <row r="50" spans="1:3" ht="15" thickBot="1" x14ac:dyDescent="0.35">
      <c r="A50" s="25">
        <v>38629</v>
      </c>
      <c r="B50" s="26">
        <v>4.8</v>
      </c>
      <c r="C50" s="26">
        <v>165.2</v>
      </c>
    </row>
    <row r="51" spans="1:3" ht="15" thickBot="1" x14ac:dyDescent="0.35">
      <c r="A51" s="25">
        <v>38653</v>
      </c>
      <c r="B51" s="26">
        <v>5.22</v>
      </c>
      <c r="C51" s="26">
        <v>164.78</v>
      </c>
    </row>
    <row r="52" spans="1:3" ht="15" thickBot="1" x14ac:dyDescent="0.35">
      <c r="A52" s="25">
        <v>38665</v>
      </c>
      <c r="B52" s="26">
        <v>5.68</v>
      </c>
      <c r="C52" s="26">
        <v>164.32</v>
      </c>
    </row>
    <row r="53" spans="1:3" ht="15" thickBot="1" x14ac:dyDescent="0.35">
      <c r="A53" s="25">
        <v>38687</v>
      </c>
      <c r="B53" s="26">
        <v>4.6399999999999997</v>
      </c>
      <c r="C53" s="26">
        <v>165.36</v>
      </c>
    </row>
    <row r="54" spans="1:3" ht="15" thickBot="1" x14ac:dyDescent="0.35">
      <c r="A54" s="25">
        <v>38754</v>
      </c>
      <c r="B54" s="26">
        <v>4.46</v>
      </c>
      <c r="C54" s="26">
        <v>165.54</v>
      </c>
    </row>
    <row r="55" spans="1:3" ht="15" thickBot="1" x14ac:dyDescent="0.35">
      <c r="A55" s="25">
        <v>38779</v>
      </c>
      <c r="B55" s="26">
        <v>4.37</v>
      </c>
      <c r="C55" s="26">
        <v>165.63</v>
      </c>
    </row>
    <row r="56" spans="1:3" ht="15" thickBot="1" x14ac:dyDescent="0.35">
      <c r="A56" s="25">
        <v>38817</v>
      </c>
      <c r="B56" s="26">
        <v>4.59</v>
      </c>
      <c r="C56" s="26">
        <v>165.41</v>
      </c>
    </row>
    <row r="57" spans="1:3" ht="15" thickBot="1" x14ac:dyDescent="0.35">
      <c r="A57" s="25">
        <v>38825</v>
      </c>
      <c r="B57" s="26">
        <v>4.53</v>
      </c>
      <c r="C57" s="26">
        <v>165.47</v>
      </c>
    </row>
    <row r="58" spans="1:3" ht="15" thickBot="1" x14ac:dyDescent="0.35">
      <c r="A58" s="25">
        <v>38833</v>
      </c>
      <c r="B58" s="26">
        <v>4.42</v>
      </c>
      <c r="C58" s="26">
        <v>165.58</v>
      </c>
    </row>
    <row r="59" spans="1:3" ht="15" thickBot="1" x14ac:dyDescent="0.35">
      <c r="A59" s="25">
        <v>38844</v>
      </c>
      <c r="B59" s="26">
        <v>4.42</v>
      </c>
      <c r="C59" s="26">
        <v>165.58</v>
      </c>
    </row>
    <row r="60" spans="1:3" ht="15" thickBot="1" x14ac:dyDescent="0.35">
      <c r="A60" s="25">
        <v>38849</v>
      </c>
      <c r="B60" s="26">
        <v>4.3099999999999996</v>
      </c>
      <c r="C60" s="26">
        <v>165.69</v>
      </c>
    </row>
    <row r="61" spans="1:3" ht="15" thickBot="1" x14ac:dyDescent="0.35">
      <c r="A61" s="25">
        <v>38860</v>
      </c>
      <c r="B61" s="26">
        <v>4.46</v>
      </c>
      <c r="C61" s="26">
        <v>165.54</v>
      </c>
    </row>
    <row r="62" spans="1:3" ht="15" thickBot="1" x14ac:dyDescent="0.35">
      <c r="A62" s="25">
        <v>38929</v>
      </c>
      <c r="B62" s="26">
        <v>4.41</v>
      </c>
      <c r="C62" s="26">
        <v>165.59</v>
      </c>
    </row>
    <row r="63" spans="1:3" ht="15" thickBot="1" x14ac:dyDescent="0.35">
      <c r="A63" s="25">
        <v>38960</v>
      </c>
      <c r="B63" s="26">
        <v>4.5</v>
      </c>
      <c r="C63" s="26">
        <v>165.5</v>
      </c>
    </row>
    <row r="64" spans="1:3" ht="15" thickBot="1" x14ac:dyDescent="0.35">
      <c r="A64" s="27">
        <v>39085</v>
      </c>
      <c r="B64" s="26">
        <v>4.4400000000000004</v>
      </c>
      <c r="C64" s="26">
        <v>165.56</v>
      </c>
    </row>
    <row r="65" spans="1:3" ht="15" thickBot="1" x14ac:dyDescent="0.35">
      <c r="A65" s="25">
        <v>39140</v>
      </c>
      <c r="B65" s="26">
        <v>4.57</v>
      </c>
      <c r="C65" s="26">
        <v>165.43</v>
      </c>
    </row>
    <row r="66" spans="1:3" ht="15" thickBot="1" x14ac:dyDescent="0.35">
      <c r="A66" s="25">
        <v>39184</v>
      </c>
      <c r="B66" s="26">
        <v>4.82</v>
      </c>
      <c r="C66" s="26">
        <v>165.18</v>
      </c>
    </row>
    <row r="67" spans="1:3" ht="15" thickBot="1" x14ac:dyDescent="0.35">
      <c r="A67" s="25">
        <v>39213</v>
      </c>
      <c r="B67" s="26">
        <v>4.6100000000000003</v>
      </c>
      <c r="C67" s="26">
        <v>165.39</v>
      </c>
    </row>
    <row r="68" spans="1:3" ht="15" thickBot="1" x14ac:dyDescent="0.35">
      <c r="A68" s="25">
        <v>39231</v>
      </c>
      <c r="B68" s="26">
        <v>4.7699999999999996</v>
      </c>
      <c r="C68" s="26">
        <v>165.23</v>
      </c>
    </row>
    <row r="69" spans="1:3" ht="15" thickBot="1" x14ac:dyDescent="0.35">
      <c r="A69" s="25">
        <v>39253</v>
      </c>
      <c r="B69" s="26">
        <v>4.7</v>
      </c>
      <c r="C69" s="26">
        <v>165.3</v>
      </c>
    </row>
    <row r="70" spans="1:3" ht="15" thickBot="1" x14ac:dyDescent="0.35">
      <c r="A70" s="25">
        <v>39346</v>
      </c>
      <c r="B70" s="26">
        <v>4.54</v>
      </c>
      <c r="C70" s="26">
        <v>165.46</v>
      </c>
    </row>
    <row r="71" spans="1:3" ht="15" thickBot="1" x14ac:dyDescent="0.35">
      <c r="A71" s="25">
        <v>39377</v>
      </c>
      <c r="B71" s="26">
        <v>5.16</v>
      </c>
      <c r="C71" s="26">
        <v>164.84</v>
      </c>
    </row>
    <row r="72" spans="1:3" ht="15" thickBot="1" x14ac:dyDescent="0.35">
      <c r="A72" s="25">
        <v>39492</v>
      </c>
      <c r="B72" s="26">
        <v>4.6900000000000004</v>
      </c>
      <c r="C72" s="26">
        <v>165.31</v>
      </c>
    </row>
    <row r="73" spans="1:3" ht="15" thickBot="1" x14ac:dyDescent="0.35">
      <c r="A73" s="25">
        <v>39538</v>
      </c>
      <c r="B73" s="26">
        <v>4.8099999999999996</v>
      </c>
      <c r="C73" s="26">
        <v>165.19</v>
      </c>
    </row>
    <row r="74" spans="1:3" ht="15" thickBot="1" x14ac:dyDescent="0.35">
      <c r="A74" s="25">
        <v>39612</v>
      </c>
      <c r="B74" s="26">
        <v>5.79</v>
      </c>
      <c r="C74" s="26">
        <v>164.21</v>
      </c>
    </row>
    <row r="75" spans="1:3" ht="15" thickBot="1" x14ac:dyDescent="0.35">
      <c r="A75" s="25">
        <v>39643</v>
      </c>
      <c r="B75" s="26">
        <v>4.72</v>
      </c>
      <c r="C75" s="26">
        <v>165.28</v>
      </c>
    </row>
    <row r="76" spans="1:3" ht="15" thickBot="1" x14ac:dyDescent="0.35">
      <c r="A76" s="25">
        <v>39714</v>
      </c>
      <c r="B76" s="26">
        <v>4.7300000000000004</v>
      </c>
      <c r="C76" s="26">
        <v>165.27</v>
      </c>
    </row>
    <row r="77" spans="1:3" ht="15" thickBot="1" x14ac:dyDescent="0.35">
      <c r="A77" s="25">
        <v>39847</v>
      </c>
      <c r="B77" s="26">
        <v>4.6399999999999997</v>
      </c>
      <c r="C77" s="26">
        <v>165.36</v>
      </c>
    </row>
    <row r="78" spans="1:3" ht="15" thickBot="1" x14ac:dyDescent="0.35">
      <c r="A78" s="25">
        <v>39881</v>
      </c>
      <c r="B78" s="26">
        <v>4.72</v>
      </c>
      <c r="C78" s="26">
        <v>165.28</v>
      </c>
    </row>
    <row r="79" spans="1:3" ht="15" thickBot="1" x14ac:dyDescent="0.35">
      <c r="A79" s="25">
        <v>39939</v>
      </c>
      <c r="B79" s="26">
        <v>5.03</v>
      </c>
      <c r="C79" s="26">
        <v>164.97</v>
      </c>
    </row>
    <row r="80" spans="1:3" ht="15" thickBot="1" x14ac:dyDescent="0.35">
      <c r="A80" s="25">
        <v>40011</v>
      </c>
      <c r="B80" s="26">
        <v>4.9000000000000004</v>
      </c>
      <c r="C80" s="26">
        <v>165.1</v>
      </c>
    </row>
    <row r="81" spans="1:3" ht="15" thickBot="1" x14ac:dyDescent="0.35">
      <c r="A81" s="25">
        <v>40049</v>
      </c>
      <c r="B81" s="26">
        <v>4.8600000000000003</v>
      </c>
      <c r="C81" s="26">
        <v>165.14</v>
      </c>
    </row>
    <row r="82" spans="1:3" ht="15" thickBot="1" x14ac:dyDescent="0.35">
      <c r="A82" s="25">
        <v>40190</v>
      </c>
      <c r="B82" s="26">
        <v>4.59</v>
      </c>
      <c r="C82" s="26">
        <v>165.41</v>
      </c>
    </row>
    <row r="83" spans="1:3" ht="15" thickBot="1" x14ac:dyDescent="0.35">
      <c r="A83" s="25">
        <v>40190</v>
      </c>
      <c r="B83" s="26">
        <v>4.59</v>
      </c>
      <c r="C83" s="26">
        <v>165.41</v>
      </c>
    </row>
    <row r="84" spans="1:3" ht="15" thickBot="1" x14ac:dyDescent="0.35">
      <c r="A84" s="25">
        <v>40238</v>
      </c>
      <c r="B84" s="26">
        <v>6.4</v>
      </c>
      <c r="C84" s="26">
        <v>163.6</v>
      </c>
    </row>
    <row r="85" spans="1:3" ht="15" thickBot="1" x14ac:dyDescent="0.35">
      <c r="A85" s="25">
        <v>40287</v>
      </c>
      <c r="B85" s="26">
        <v>5.76</v>
      </c>
      <c r="C85" s="26">
        <v>164.24</v>
      </c>
    </row>
    <row r="86" spans="1:3" ht="15" thickBot="1" x14ac:dyDescent="0.35">
      <c r="A86" s="25">
        <v>40331</v>
      </c>
      <c r="B86" s="26">
        <v>5.71</v>
      </c>
      <c r="C86" s="26">
        <v>164.29</v>
      </c>
    </row>
    <row r="87" spans="1:3" ht="15" thickBot="1" x14ac:dyDescent="0.35">
      <c r="A87" s="25">
        <v>40393</v>
      </c>
      <c r="B87" s="26">
        <v>5.65</v>
      </c>
      <c r="C87" s="26">
        <v>164.35</v>
      </c>
    </row>
    <row r="88" spans="1:3" ht="15" thickBot="1" x14ac:dyDescent="0.35">
      <c r="A88" s="25">
        <v>40498</v>
      </c>
      <c r="B88" s="26">
        <v>5.18</v>
      </c>
      <c r="C88" s="26">
        <v>164.82</v>
      </c>
    </row>
    <row r="89" spans="1:3" ht="15" thickBot="1" x14ac:dyDescent="0.35">
      <c r="A89" s="25">
        <v>40777</v>
      </c>
      <c r="B89" s="26">
        <v>4.7699999999999996</v>
      </c>
      <c r="C89" s="26">
        <v>165.23</v>
      </c>
    </row>
    <row r="90" spans="1:3" ht="15" thickBot="1" x14ac:dyDescent="0.35">
      <c r="A90" s="25">
        <v>40814</v>
      </c>
      <c r="B90" s="26">
        <v>4.6100000000000003</v>
      </c>
      <c r="C90" s="26">
        <v>165.39</v>
      </c>
    </row>
    <row r="91" spans="1:3" ht="15" thickBot="1" x14ac:dyDescent="0.35">
      <c r="A91" s="25">
        <v>40834</v>
      </c>
      <c r="B91" s="26">
        <v>4.6500000000000004</v>
      </c>
      <c r="C91" s="26">
        <v>165.35</v>
      </c>
    </row>
    <row r="92" spans="1:3" ht="15" thickBot="1" x14ac:dyDescent="0.35">
      <c r="A92" s="25">
        <v>40911</v>
      </c>
      <c r="B92" s="26">
        <v>4.5999999999999996</v>
      </c>
      <c r="C92" s="26">
        <v>165.4</v>
      </c>
    </row>
    <row r="93" spans="1:3" ht="15" thickBot="1" x14ac:dyDescent="0.35">
      <c r="A93" s="25">
        <v>40967</v>
      </c>
      <c r="B93" s="26">
        <v>4.95</v>
      </c>
      <c r="C93" s="26">
        <v>165.05</v>
      </c>
    </row>
    <row r="94" spans="1:3" ht="15" thickBot="1" x14ac:dyDescent="0.35">
      <c r="A94" s="25">
        <v>41011</v>
      </c>
      <c r="B94" s="26">
        <v>5.0999999999999996</v>
      </c>
      <c r="C94" s="26">
        <v>164.9</v>
      </c>
    </row>
    <row r="95" spans="1:3" ht="15" thickBot="1" x14ac:dyDescent="0.35">
      <c r="A95" s="25">
        <v>41072</v>
      </c>
      <c r="B95" s="26">
        <v>4.6500000000000004</v>
      </c>
      <c r="C95" s="26">
        <v>165.35</v>
      </c>
    </row>
    <row r="96" spans="1:3" ht="15" thickBot="1" x14ac:dyDescent="0.35">
      <c r="A96" s="25">
        <v>41278</v>
      </c>
      <c r="B96" s="26">
        <v>4.3499999999999996</v>
      </c>
      <c r="C96" s="26">
        <v>165.65</v>
      </c>
    </row>
    <row r="97" spans="1:3" ht="15" thickBot="1" x14ac:dyDescent="0.35">
      <c r="A97" s="25">
        <v>41401</v>
      </c>
      <c r="B97" s="26">
        <v>4.9000000000000004</v>
      </c>
      <c r="C97" s="26">
        <v>165.1</v>
      </c>
    </row>
    <row r="98" spans="1:3" ht="15" thickBot="1" x14ac:dyDescent="0.35">
      <c r="A98" s="25">
        <v>41438</v>
      </c>
      <c r="B98" s="26">
        <v>4.8499999999999996</v>
      </c>
      <c r="C98" s="26">
        <v>165.15</v>
      </c>
    </row>
    <row r="99" spans="1:3" ht="15" thickBot="1" x14ac:dyDescent="0.35">
      <c r="A99" s="25">
        <v>41472</v>
      </c>
      <c r="B99" s="26">
        <v>4.7</v>
      </c>
      <c r="C99" s="26">
        <v>165.3</v>
      </c>
    </row>
    <row r="100" spans="1:3" ht="15" thickBot="1" x14ac:dyDescent="0.35">
      <c r="A100" s="25">
        <v>41506</v>
      </c>
      <c r="B100" s="26">
        <v>4.5599999999999996</v>
      </c>
      <c r="C100" s="26">
        <v>165.44</v>
      </c>
    </row>
    <row r="101" spans="1:3" ht="15" thickBot="1" x14ac:dyDescent="0.35">
      <c r="A101" s="25">
        <v>41617</v>
      </c>
      <c r="B101" s="26">
        <v>4.49</v>
      </c>
      <c r="C101" s="26">
        <v>165.51</v>
      </c>
    </row>
    <row r="102" spans="1:3" ht="15" thickBot="1" x14ac:dyDescent="0.35">
      <c r="A102" s="25">
        <v>41647</v>
      </c>
      <c r="B102" s="26">
        <v>4.63</v>
      </c>
      <c r="C102" s="26">
        <v>165.37</v>
      </c>
    </row>
    <row r="103" spans="1:3" ht="15" thickBot="1" x14ac:dyDescent="0.35">
      <c r="A103" s="25">
        <v>41683</v>
      </c>
      <c r="B103" s="26">
        <v>4.91</v>
      </c>
      <c r="C103" s="26">
        <v>165.09</v>
      </c>
    </row>
    <row r="104" spans="1:3" ht="15" thickBot="1" x14ac:dyDescent="0.35">
      <c r="A104" s="25">
        <v>42109</v>
      </c>
      <c r="B104" s="26">
        <v>5.56</v>
      </c>
      <c r="C104" s="26">
        <v>164.44</v>
      </c>
    </row>
    <row r="105" spans="1:3" ht="15" thickBot="1" x14ac:dyDescent="0.35">
      <c r="A105" s="25">
        <v>41764</v>
      </c>
      <c r="B105" s="26">
        <v>5.09</v>
      </c>
      <c r="C105" s="26">
        <v>164.91</v>
      </c>
    </row>
    <row r="106" spans="1:3" ht="15" thickBot="1" x14ac:dyDescent="0.35">
      <c r="A106" s="25">
        <v>41793</v>
      </c>
      <c r="B106" s="26">
        <v>5.05</v>
      </c>
      <c r="C106" s="26">
        <v>164.95</v>
      </c>
    </row>
    <row r="107" spans="1:3" ht="15" thickBot="1" x14ac:dyDescent="0.35">
      <c r="A107" s="25">
        <v>42221</v>
      </c>
      <c r="B107" s="26">
        <v>5.89</v>
      </c>
      <c r="C107" s="26">
        <v>164.11</v>
      </c>
    </row>
    <row r="108" spans="1:3" ht="15" thickBot="1" x14ac:dyDescent="0.35">
      <c r="A108" s="25">
        <v>42306</v>
      </c>
      <c r="B108" s="26">
        <v>5.36</v>
      </c>
      <c r="C108" s="26">
        <v>164.64</v>
      </c>
    </row>
    <row r="109" spans="1:3" ht="15" thickBot="1" x14ac:dyDescent="0.35">
      <c r="A109" s="25">
        <v>42387</v>
      </c>
      <c r="B109" s="26">
        <v>5.78</v>
      </c>
      <c r="C109" s="26">
        <v>164.22</v>
      </c>
    </row>
    <row r="110" spans="1:3" ht="15" thickBot="1" x14ac:dyDescent="0.35">
      <c r="A110" s="25">
        <v>42429</v>
      </c>
      <c r="B110" s="26">
        <v>5.63</v>
      </c>
      <c r="C110" s="26">
        <v>164.37</v>
      </c>
    </row>
    <row r="111" spans="1:3" ht="15" thickBot="1" x14ac:dyDescent="0.35">
      <c r="A111" s="25">
        <v>42471</v>
      </c>
      <c r="B111" s="26">
        <v>5.77</v>
      </c>
      <c r="C111" s="26">
        <v>164.23</v>
      </c>
    </row>
    <row r="112" spans="1:3" ht="15" thickBot="1" x14ac:dyDescent="0.35">
      <c r="A112" s="25">
        <v>42611</v>
      </c>
      <c r="B112" s="26">
        <v>5.63</v>
      </c>
      <c r="C112" s="26">
        <v>164.37</v>
      </c>
    </row>
    <row r="113" spans="1:3" ht="15" thickBot="1" x14ac:dyDescent="0.35">
      <c r="A113" s="25">
        <v>42781</v>
      </c>
      <c r="B113" s="26">
        <v>5.86</v>
      </c>
      <c r="C113" s="26">
        <v>164.14</v>
      </c>
    </row>
    <row r="114" spans="1:3" ht="15" thickBot="1" x14ac:dyDescent="0.35">
      <c r="A114" s="25">
        <v>42888</v>
      </c>
      <c r="B114" s="26">
        <v>5.92</v>
      </c>
      <c r="C114" s="26">
        <v>164.08</v>
      </c>
    </row>
    <row r="115" spans="1:3" ht="15" thickBot="1" x14ac:dyDescent="0.35">
      <c r="A115" s="25">
        <v>43011</v>
      </c>
      <c r="B115" s="26">
        <v>5.4</v>
      </c>
      <c r="C115" s="26">
        <v>164.6</v>
      </c>
    </row>
    <row r="116" spans="1:3" ht="15" thickBot="1" x14ac:dyDescent="0.35">
      <c r="A116" s="25">
        <v>43558</v>
      </c>
      <c r="B116" s="26">
        <v>5.58</v>
      </c>
      <c r="C116" s="26">
        <v>164.42</v>
      </c>
    </row>
    <row r="117" spans="1:3" ht="15" thickBot="1" x14ac:dyDescent="0.35">
      <c r="A117" s="25">
        <v>43763</v>
      </c>
      <c r="B117" s="26">
        <v>6.18</v>
      </c>
      <c r="C117" s="26">
        <v>163.82</v>
      </c>
    </row>
    <row r="118" spans="1:3" ht="15" thickBot="1" x14ac:dyDescent="0.35">
      <c r="A118" s="25">
        <v>43952</v>
      </c>
      <c r="B118" s="26">
        <v>5.49</v>
      </c>
      <c r="C118" s="26">
        <v>164.51</v>
      </c>
    </row>
    <row r="119" spans="1:3" ht="15" thickBot="1" x14ac:dyDescent="0.35">
      <c r="A119" s="25">
        <v>43964</v>
      </c>
      <c r="B119" s="26">
        <v>5.52</v>
      </c>
      <c r="C119" s="26">
        <v>164.48</v>
      </c>
    </row>
    <row r="120" spans="1:3" ht="15" thickBot="1" x14ac:dyDescent="0.35">
      <c r="A120" s="25">
        <v>44600</v>
      </c>
      <c r="B120" s="26">
        <v>5.95</v>
      </c>
      <c r="C120" s="28"/>
    </row>
    <row r="121" spans="1:3" x14ac:dyDescent="0.3">
      <c r="A121" s="88">
        <v>45595</v>
      </c>
      <c r="B121" s="89">
        <v>5.24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E357-67A1-4FAD-8DCF-C2224762C6F3}">
  <dimension ref="A1:K121"/>
  <sheetViews>
    <sheetView topLeftCell="A8" workbookViewId="0">
      <selection activeCell="N32" sqref="N32"/>
    </sheetView>
  </sheetViews>
  <sheetFormatPr baseColWidth="10" defaultRowHeight="14.4" x14ac:dyDescent="0.3"/>
  <cols>
    <col min="1" max="1" width="12.77734375" bestFit="1" customWidth="1"/>
    <col min="2" max="2" width="13.5546875" customWidth="1"/>
    <col min="3" max="3" width="16.6640625" bestFit="1" customWidth="1"/>
    <col min="8" max="8" width="13" customWidth="1"/>
  </cols>
  <sheetData>
    <row r="1" spans="1:11" x14ac:dyDescent="0.3">
      <c r="A1" s="521" t="s">
        <v>21</v>
      </c>
      <c r="B1" s="522"/>
      <c r="C1" s="523"/>
      <c r="F1" s="529" t="s">
        <v>21</v>
      </c>
      <c r="G1" s="531"/>
      <c r="H1" s="531"/>
    </row>
    <row r="2" spans="1:11" ht="28.8" x14ac:dyDescent="0.3">
      <c r="A2" s="29" t="s">
        <v>1</v>
      </c>
      <c r="B2" s="8" t="s">
        <v>2</v>
      </c>
      <c r="C2" s="29" t="s">
        <v>3</v>
      </c>
      <c r="F2" s="95" t="s">
        <v>1</v>
      </c>
      <c r="G2" s="97" t="s">
        <v>2</v>
      </c>
      <c r="H2" s="97" t="s">
        <v>3</v>
      </c>
    </row>
    <row r="3" spans="1:11" x14ac:dyDescent="0.3">
      <c r="A3" s="30">
        <v>37635</v>
      </c>
      <c r="B3" s="11">
        <v>4.45</v>
      </c>
      <c r="C3" s="11">
        <v>165.55</v>
      </c>
      <c r="F3" s="84">
        <v>40330</v>
      </c>
      <c r="G3" s="116">
        <v>5.61</v>
      </c>
      <c r="H3" s="116">
        <v>164.39</v>
      </c>
      <c r="I3">
        <f>G3+H3</f>
        <v>170</v>
      </c>
    </row>
    <row r="4" spans="1:11" x14ac:dyDescent="0.3">
      <c r="A4" s="30">
        <v>37720</v>
      </c>
      <c r="B4" s="11">
        <v>4.55</v>
      </c>
      <c r="C4" s="11">
        <v>165.45</v>
      </c>
      <c r="F4" s="84">
        <v>40513</v>
      </c>
      <c r="G4" s="116">
        <v>4.66</v>
      </c>
      <c r="H4" s="116">
        <v>165.34</v>
      </c>
      <c r="I4">
        <f t="shared" ref="I4:I33" si="0">G4+H4</f>
        <v>170</v>
      </c>
    </row>
    <row r="5" spans="1:11" x14ac:dyDescent="0.3">
      <c r="A5" s="30">
        <v>37726</v>
      </c>
      <c r="B5" s="11">
        <v>4.6100000000000003</v>
      </c>
      <c r="C5" s="11">
        <v>165.39</v>
      </c>
      <c r="F5" s="84">
        <v>40695</v>
      </c>
      <c r="G5" s="116">
        <v>4.8499999999999996</v>
      </c>
      <c r="H5" s="116">
        <v>165.15</v>
      </c>
      <c r="I5">
        <f t="shared" si="0"/>
        <v>170</v>
      </c>
      <c r="J5" s="115"/>
      <c r="K5" s="115"/>
    </row>
    <row r="6" spans="1:11" x14ac:dyDescent="0.3">
      <c r="A6" s="30">
        <v>37732</v>
      </c>
      <c r="B6" s="11">
        <v>4.41</v>
      </c>
      <c r="C6" s="11">
        <v>165.59</v>
      </c>
      <c r="F6" s="84">
        <v>40878</v>
      </c>
      <c r="G6" s="116">
        <v>4.76</v>
      </c>
      <c r="H6" s="116">
        <v>165.24</v>
      </c>
      <c r="I6">
        <f t="shared" si="0"/>
        <v>170</v>
      </c>
      <c r="J6" s="115"/>
      <c r="K6" s="115"/>
    </row>
    <row r="7" spans="1:11" x14ac:dyDescent="0.3">
      <c r="A7" s="30">
        <v>37734</v>
      </c>
      <c r="B7" s="11">
        <v>4.5999999999999996</v>
      </c>
      <c r="C7" s="11">
        <v>165.4</v>
      </c>
      <c r="F7" s="84">
        <v>41061</v>
      </c>
      <c r="G7" s="116">
        <v>4.7</v>
      </c>
      <c r="H7" s="116">
        <v>165.3</v>
      </c>
      <c r="I7">
        <f t="shared" si="0"/>
        <v>170</v>
      </c>
    </row>
    <row r="8" spans="1:11" x14ac:dyDescent="0.3">
      <c r="A8" s="30">
        <v>37735</v>
      </c>
      <c r="B8" s="11">
        <v>4.63</v>
      </c>
      <c r="C8" s="11">
        <v>165.37</v>
      </c>
      <c r="F8" s="84">
        <v>41244</v>
      </c>
      <c r="G8" s="116">
        <v>4.9400000000000004</v>
      </c>
      <c r="H8" s="116">
        <v>165.06</v>
      </c>
      <c r="I8">
        <f t="shared" si="0"/>
        <v>170</v>
      </c>
    </row>
    <row r="9" spans="1:11" x14ac:dyDescent="0.3">
      <c r="A9" s="30">
        <v>37746</v>
      </c>
      <c r="B9" s="11">
        <v>4.8600000000000003</v>
      </c>
      <c r="C9" s="11">
        <v>165.14</v>
      </c>
      <c r="F9" s="84">
        <v>41426</v>
      </c>
      <c r="G9" s="116">
        <v>5.36</v>
      </c>
      <c r="H9" s="116">
        <v>164.64</v>
      </c>
      <c r="I9">
        <f t="shared" si="0"/>
        <v>170</v>
      </c>
    </row>
    <row r="10" spans="1:11" x14ac:dyDescent="0.3">
      <c r="A10" s="30">
        <v>37749</v>
      </c>
      <c r="B10" s="11">
        <v>4.99</v>
      </c>
      <c r="C10" s="11">
        <v>165.01</v>
      </c>
      <c r="F10" s="84">
        <v>41609</v>
      </c>
      <c r="G10" s="116">
        <v>4.7300000000000004</v>
      </c>
      <c r="H10" s="116">
        <v>165.27</v>
      </c>
      <c r="I10">
        <f t="shared" si="0"/>
        <v>170</v>
      </c>
    </row>
    <row r="11" spans="1:11" x14ac:dyDescent="0.3">
      <c r="A11" s="30">
        <v>37750</v>
      </c>
      <c r="B11" s="11">
        <v>4.75</v>
      </c>
      <c r="C11" s="11">
        <v>165.25</v>
      </c>
      <c r="F11" s="84">
        <v>41791</v>
      </c>
      <c r="G11" s="116">
        <v>5.48</v>
      </c>
      <c r="H11" s="116">
        <v>164.52</v>
      </c>
      <c r="I11">
        <f t="shared" si="0"/>
        <v>170</v>
      </c>
    </row>
    <row r="12" spans="1:11" x14ac:dyDescent="0.3">
      <c r="A12" s="30">
        <v>37755</v>
      </c>
      <c r="B12" s="11">
        <v>4.45</v>
      </c>
      <c r="C12" s="11">
        <v>165.55</v>
      </c>
      <c r="F12" s="84">
        <v>41974</v>
      </c>
      <c r="G12" s="116">
        <v>5.61</v>
      </c>
      <c r="H12" s="116">
        <v>164.39</v>
      </c>
      <c r="I12">
        <f t="shared" si="0"/>
        <v>170</v>
      </c>
    </row>
    <row r="13" spans="1:11" x14ac:dyDescent="0.3">
      <c r="A13" s="30">
        <v>37758</v>
      </c>
      <c r="B13" s="11">
        <v>4.45</v>
      </c>
      <c r="C13" s="11">
        <v>165.55</v>
      </c>
      <c r="F13" s="84">
        <v>42156</v>
      </c>
      <c r="G13" s="116">
        <v>5.73</v>
      </c>
      <c r="H13" s="116">
        <v>164.27</v>
      </c>
      <c r="I13">
        <f t="shared" si="0"/>
        <v>170</v>
      </c>
    </row>
    <row r="14" spans="1:11" x14ac:dyDescent="0.3">
      <c r="A14" s="30">
        <v>37768</v>
      </c>
      <c r="B14" s="11">
        <v>4.45</v>
      </c>
      <c r="C14" s="11">
        <v>165.55</v>
      </c>
      <c r="F14" s="84">
        <v>42339</v>
      </c>
      <c r="G14" s="116">
        <v>5.61</v>
      </c>
      <c r="H14" s="116">
        <v>164.39</v>
      </c>
      <c r="I14">
        <f t="shared" si="0"/>
        <v>170</v>
      </c>
    </row>
    <row r="15" spans="1:11" x14ac:dyDescent="0.3">
      <c r="A15" s="30">
        <v>37797</v>
      </c>
      <c r="B15" s="11">
        <v>4.53</v>
      </c>
      <c r="C15" s="11">
        <v>165.47</v>
      </c>
      <c r="F15" s="84">
        <v>42522</v>
      </c>
      <c r="G15" s="116">
        <v>6.68</v>
      </c>
      <c r="H15" s="116">
        <v>163.32</v>
      </c>
      <c r="I15">
        <f t="shared" si="0"/>
        <v>170</v>
      </c>
    </row>
    <row r="16" spans="1:11" x14ac:dyDescent="0.3">
      <c r="A16" s="30">
        <v>37811</v>
      </c>
      <c r="B16" s="11">
        <v>5.01</v>
      </c>
      <c r="C16" s="11">
        <v>164.99</v>
      </c>
      <c r="F16" s="84">
        <v>42705</v>
      </c>
      <c r="G16" s="116">
        <v>6.96</v>
      </c>
      <c r="H16" s="116">
        <v>163.04</v>
      </c>
      <c r="I16">
        <f t="shared" si="0"/>
        <v>170</v>
      </c>
    </row>
    <row r="17" spans="1:9" x14ac:dyDescent="0.3">
      <c r="A17" s="30">
        <v>37817</v>
      </c>
      <c r="B17" s="11">
        <v>4.99</v>
      </c>
      <c r="C17" s="11">
        <v>165.01</v>
      </c>
      <c r="F17" s="84">
        <v>42887</v>
      </c>
      <c r="G17" s="116">
        <v>5.33</v>
      </c>
      <c r="H17" s="116">
        <v>164.67</v>
      </c>
      <c r="I17">
        <f t="shared" si="0"/>
        <v>170</v>
      </c>
    </row>
    <row r="18" spans="1:9" x14ac:dyDescent="0.3">
      <c r="A18" s="30">
        <v>37824</v>
      </c>
      <c r="B18" s="11">
        <v>4.95</v>
      </c>
      <c r="C18" s="11">
        <v>165.05</v>
      </c>
      <c r="F18" s="84">
        <v>43070</v>
      </c>
      <c r="G18" s="116">
        <v>4.71</v>
      </c>
      <c r="H18" s="116">
        <v>165.29</v>
      </c>
      <c r="I18">
        <f t="shared" si="0"/>
        <v>170</v>
      </c>
    </row>
    <row r="19" spans="1:9" x14ac:dyDescent="0.3">
      <c r="A19" s="30">
        <v>37832</v>
      </c>
      <c r="B19" s="11">
        <v>4.9800000000000004</v>
      </c>
      <c r="C19" s="11">
        <v>165.02</v>
      </c>
      <c r="F19" s="84">
        <v>43252</v>
      </c>
      <c r="G19" s="101">
        <v>5.74</v>
      </c>
      <c r="H19" s="113">
        <f t="shared" ref="H19:H20" si="1">170-G19</f>
        <v>164.26</v>
      </c>
      <c r="I19">
        <f t="shared" si="0"/>
        <v>170</v>
      </c>
    </row>
    <row r="20" spans="1:9" x14ac:dyDescent="0.3">
      <c r="A20" s="30">
        <v>37839</v>
      </c>
      <c r="B20" s="11">
        <v>5.7</v>
      </c>
      <c r="C20" s="11">
        <v>164.3</v>
      </c>
      <c r="F20" s="84">
        <v>43435</v>
      </c>
      <c r="G20" s="101">
        <v>5.67</v>
      </c>
      <c r="H20" s="113">
        <f t="shared" si="1"/>
        <v>164.33</v>
      </c>
      <c r="I20">
        <f t="shared" si="0"/>
        <v>170</v>
      </c>
    </row>
    <row r="21" spans="1:9" x14ac:dyDescent="0.3">
      <c r="A21" s="30">
        <v>37845</v>
      </c>
      <c r="B21" s="11">
        <v>5.0599999999999996</v>
      </c>
      <c r="C21" s="11">
        <v>164.94</v>
      </c>
      <c r="F21" s="84">
        <v>43617</v>
      </c>
      <c r="G21" s="116">
        <v>5.85</v>
      </c>
      <c r="H21" s="116">
        <v>164.15</v>
      </c>
      <c r="I21">
        <f t="shared" si="0"/>
        <v>170</v>
      </c>
    </row>
    <row r="22" spans="1:9" x14ac:dyDescent="0.3">
      <c r="A22" s="30">
        <v>37873</v>
      </c>
      <c r="B22" s="11">
        <v>5.2</v>
      </c>
      <c r="C22" s="11">
        <v>164.8</v>
      </c>
      <c r="F22" s="84">
        <v>43800</v>
      </c>
      <c r="G22" s="116">
        <v>6.4</v>
      </c>
      <c r="H22" s="116">
        <v>163.6</v>
      </c>
      <c r="I22">
        <f t="shared" si="0"/>
        <v>170</v>
      </c>
    </row>
    <row r="23" spans="1:9" x14ac:dyDescent="0.3">
      <c r="A23" s="30">
        <v>38009</v>
      </c>
      <c r="B23" s="11">
        <v>5.16</v>
      </c>
      <c r="C23" s="11">
        <v>164.84</v>
      </c>
      <c r="F23" s="84">
        <v>43983</v>
      </c>
      <c r="G23" s="116">
        <v>4.57</v>
      </c>
      <c r="H23" s="116">
        <v>165.43</v>
      </c>
      <c r="I23">
        <f t="shared" si="0"/>
        <v>170</v>
      </c>
    </row>
    <row r="24" spans="1:9" x14ac:dyDescent="0.3">
      <c r="A24" s="30">
        <v>38016</v>
      </c>
      <c r="B24" s="11">
        <v>5.12</v>
      </c>
      <c r="C24" s="11">
        <v>164.88</v>
      </c>
      <c r="F24" s="84">
        <v>44166</v>
      </c>
      <c r="G24" s="96">
        <v>5.73</v>
      </c>
      <c r="H24" s="113">
        <f t="shared" ref="H24:H31" si="2">170-G24</f>
        <v>164.27</v>
      </c>
      <c r="I24">
        <f t="shared" si="0"/>
        <v>170</v>
      </c>
    </row>
    <row r="25" spans="1:9" x14ac:dyDescent="0.3">
      <c r="A25" s="30">
        <v>38050</v>
      </c>
      <c r="B25" s="11">
        <v>5.08</v>
      </c>
      <c r="C25" s="11">
        <v>164.92</v>
      </c>
      <c r="F25" s="84">
        <v>44348</v>
      </c>
      <c r="G25" s="111">
        <v>5.84</v>
      </c>
      <c r="H25" s="113">
        <f t="shared" si="2"/>
        <v>164.16</v>
      </c>
      <c r="I25">
        <f t="shared" si="0"/>
        <v>170</v>
      </c>
    </row>
    <row r="26" spans="1:9" x14ac:dyDescent="0.3">
      <c r="A26" s="30">
        <v>43588</v>
      </c>
      <c r="B26" s="11">
        <v>5.37</v>
      </c>
      <c r="C26" s="11">
        <v>164.63</v>
      </c>
      <c r="F26" s="84">
        <v>44531</v>
      </c>
      <c r="G26" s="111">
        <v>5.77</v>
      </c>
      <c r="H26" s="113">
        <f t="shared" si="2"/>
        <v>164.23</v>
      </c>
      <c r="I26">
        <f t="shared" si="0"/>
        <v>170</v>
      </c>
    </row>
    <row r="27" spans="1:9" x14ac:dyDescent="0.3">
      <c r="A27" s="30">
        <v>38078</v>
      </c>
      <c r="B27" s="11">
        <v>5.4</v>
      </c>
      <c r="C27" s="11">
        <v>164.6</v>
      </c>
      <c r="F27" s="84">
        <v>44713</v>
      </c>
      <c r="G27" s="111">
        <v>5.87</v>
      </c>
      <c r="H27" s="113">
        <f t="shared" si="2"/>
        <v>164.13</v>
      </c>
      <c r="I27">
        <f t="shared" si="0"/>
        <v>170</v>
      </c>
    </row>
    <row r="28" spans="1:9" x14ac:dyDescent="0.3">
      <c r="A28" s="30">
        <v>38090</v>
      </c>
      <c r="B28" s="11">
        <v>5.48</v>
      </c>
      <c r="C28" s="11">
        <v>164.52</v>
      </c>
      <c r="F28" s="84">
        <v>44896</v>
      </c>
      <c r="G28" s="96">
        <v>5.8</v>
      </c>
      <c r="H28" s="113">
        <f t="shared" si="2"/>
        <v>164.2</v>
      </c>
      <c r="I28">
        <f t="shared" si="0"/>
        <v>170</v>
      </c>
    </row>
    <row r="29" spans="1:9" x14ac:dyDescent="0.3">
      <c r="A29" s="30">
        <v>38105</v>
      </c>
      <c r="B29" s="11">
        <v>5.34</v>
      </c>
      <c r="C29" s="11">
        <v>164.66</v>
      </c>
      <c r="F29" s="84">
        <v>45078</v>
      </c>
      <c r="G29" s="96">
        <v>5.91</v>
      </c>
      <c r="H29" s="113">
        <f t="shared" si="2"/>
        <v>164.09</v>
      </c>
      <c r="I29">
        <f t="shared" si="0"/>
        <v>170</v>
      </c>
    </row>
    <row r="30" spans="1:9" x14ac:dyDescent="0.3">
      <c r="A30" s="30">
        <v>38133</v>
      </c>
      <c r="B30" s="11">
        <v>4.9000000000000004</v>
      </c>
      <c r="C30" s="11">
        <v>165.1</v>
      </c>
      <c r="F30" s="84">
        <v>45261</v>
      </c>
      <c r="G30" s="96">
        <v>5.84</v>
      </c>
      <c r="H30" s="113">
        <f t="shared" si="2"/>
        <v>164.16</v>
      </c>
      <c r="I30">
        <f t="shared" si="0"/>
        <v>170</v>
      </c>
    </row>
    <row r="31" spans="1:9" x14ac:dyDescent="0.3">
      <c r="A31" s="30">
        <v>38155</v>
      </c>
      <c r="B31" s="11">
        <v>5.0999999999999996</v>
      </c>
      <c r="C31" s="11">
        <v>164.9</v>
      </c>
      <c r="F31" s="84">
        <v>45444</v>
      </c>
      <c r="G31" s="118">
        <v>5.95</v>
      </c>
      <c r="H31" s="112">
        <f t="shared" si="2"/>
        <v>164.05</v>
      </c>
      <c r="I31">
        <f t="shared" si="0"/>
        <v>170</v>
      </c>
    </row>
    <row r="32" spans="1:9" x14ac:dyDescent="0.3">
      <c r="A32" s="30">
        <v>38161</v>
      </c>
      <c r="B32" s="11">
        <v>5.16</v>
      </c>
      <c r="C32" s="11">
        <v>164.84</v>
      </c>
      <c r="F32" s="84">
        <v>45627</v>
      </c>
      <c r="G32" s="117">
        <v>5.94</v>
      </c>
      <c r="H32" s="112">
        <f>170-G32</f>
        <v>164.06</v>
      </c>
      <c r="I32">
        <f t="shared" si="0"/>
        <v>170</v>
      </c>
    </row>
    <row r="33" spans="1:9" x14ac:dyDescent="0.3">
      <c r="A33" s="30">
        <v>38170</v>
      </c>
      <c r="B33" s="11">
        <v>5.12</v>
      </c>
      <c r="C33" s="11">
        <v>164.88</v>
      </c>
      <c r="F33" s="84">
        <v>45992</v>
      </c>
      <c r="G33" s="96">
        <v>5.89</v>
      </c>
      <c r="H33" s="113">
        <f>170-G33</f>
        <v>164.11</v>
      </c>
      <c r="I33">
        <f t="shared" si="0"/>
        <v>170</v>
      </c>
    </row>
    <row r="34" spans="1:9" x14ac:dyDescent="0.3">
      <c r="A34" s="30">
        <v>38197</v>
      </c>
      <c r="B34" s="11">
        <v>5.05</v>
      </c>
      <c r="C34" s="11">
        <v>164.95</v>
      </c>
    </row>
    <row r="35" spans="1:9" x14ac:dyDescent="0.3">
      <c r="A35" s="30">
        <v>38203</v>
      </c>
      <c r="B35" s="11">
        <v>5.04</v>
      </c>
      <c r="C35" s="11">
        <v>164.96</v>
      </c>
    </row>
    <row r="36" spans="1:9" x14ac:dyDescent="0.3">
      <c r="A36" s="30">
        <v>38209</v>
      </c>
      <c r="B36" s="11">
        <v>5</v>
      </c>
      <c r="C36" s="11">
        <v>165</v>
      </c>
    </row>
    <row r="37" spans="1:9" x14ac:dyDescent="0.3">
      <c r="A37" s="30">
        <v>38217</v>
      </c>
      <c r="B37" s="11">
        <v>5.0999999999999996</v>
      </c>
      <c r="C37" s="11">
        <v>164.9</v>
      </c>
    </row>
    <row r="38" spans="1:9" x14ac:dyDescent="0.3">
      <c r="A38" s="30">
        <v>38230</v>
      </c>
      <c r="B38" s="11">
        <v>5.15</v>
      </c>
      <c r="C38" s="11">
        <v>164.85</v>
      </c>
    </row>
    <row r="39" spans="1:9" x14ac:dyDescent="0.3">
      <c r="A39" s="30">
        <v>38286</v>
      </c>
      <c r="B39" s="11">
        <v>5.25</v>
      </c>
      <c r="C39" s="11">
        <v>164.75</v>
      </c>
    </row>
    <row r="40" spans="1:9" x14ac:dyDescent="0.3">
      <c r="A40" s="30">
        <v>38313</v>
      </c>
      <c r="B40" s="11">
        <v>5.09</v>
      </c>
      <c r="C40" s="11">
        <v>164.91</v>
      </c>
    </row>
    <row r="41" spans="1:9" x14ac:dyDescent="0.3">
      <c r="A41" s="30">
        <v>38378</v>
      </c>
      <c r="B41" s="11">
        <v>5.39</v>
      </c>
      <c r="C41" s="11">
        <v>164.61</v>
      </c>
    </row>
    <row r="42" spans="1:9" x14ac:dyDescent="0.3">
      <c r="A42" s="30">
        <v>38404</v>
      </c>
      <c r="B42" s="11">
        <v>5.42</v>
      </c>
      <c r="C42" s="11">
        <v>164.58</v>
      </c>
    </row>
    <row r="43" spans="1:9" x14ac:dyDescent="0.3">
      <c r="A43" s="30">
        <v>38439</v>
      </c>
      <c r="B43" s="11">
        <v>5.48</v>
      </c>
      <c r="C43" s="11">
        <v>164.52</v>
      </c>
    </row>
    <row r="44" spans="1:9" x14ac:dyDescent="0.3">
      <c r="A44" s="30">
        <v>38446</v>
      </c>
      <c r="B44" s="11">
        <v>5.62</v>
      </c>
      <c r="C44" s="11">
        <v>164.38</v>
      </c>
    </row>
    <row r="45" spans="1:9" x14ac:dyDescent="0.3">
      <c r="A45" s="30">
        <v>38453</v>
      </c>
      <c r="B45" s="11">
        <v>5.63</v>
      </c>
      <c r="C45" s="11">
        <v>164.37</v>
      </c>
    </row>
    <row r="46" spans="1:9" x14ac:dyDescent="0.3">
      <c r="A46" s="30">
        <v>38467</v>
      </c>
      <c r="B46" s="11">
        <v>5.66</v>
      </c>
      <c r="C46" s="11">
        <v>164.34</v>
      </c>
    </row>
    <row r="47" spans="1:9" x14ac:dyDescent="0.3">
      <c r="A47" s="30">
        <v>38474</v>
      </c>
      <c r="B47" s="11">
        <v>5.65</v>
      </c>
      <c r="C47" s="11">
        <v>164.35</v>
      </c>
    </row>
    <row r="48" spans="1:9" x14ac:dyDescent="0.3">
      <c r="A48" s="30">
        <v>38485</v>
      </c>
      <c r="B48" s="11">
        <v>5.6</v>
      </c>
      <c r="C48" s="11">
        <v>164.4</v>
      </c>
    </row>
    <row r="49" spans="1:3" x14ac:dyDescent="0.3">
      <c r="A49" s="30">
        <v>38592</v>
      </c>
      <c r="B49" s="11">
        <v>5.63</v>
      </c>
      <c r="C49" s="11">
        <v>164.37</v>
      </c>
    </row>
    <row r="50" spans="1:3" x14ac:dyDescent="0.3">
      <c r="A50" s="30">
        <v>38629</v>
      </c>
      <c r="B50" s="11">
        <v>5.32</v>
      </c>
      <c r="C50" s="11">
        <v>164.68</v>
      </c>
    </row>
    <row r="51" spans="1:3" x14ac:dyDescent="0.3">
      <c r="A51" s="30">
        <v>38653</v>
      </c>
      <c r="B51" s="11">
        <v>5.7</v>
      </c>
      <c r="C51" s="11">
        <v>164.3</v>
      </c>
    </row>
    <row r="52" spans="1:3" x14ac:dyDescent="0.3">
      <c r="A52" s="30">
        <v>38665</v>
      </c>
      <c r="B52" s="11">
        <v>5.48</v>
      </c>
      <c r="C52" s="11">
        <v>164.52</v>
      </c>
    </row>
    <row r="53" spans="1:3" x14ac:dyDescent="0.3">
      <c r="A53" s="30">
        <v>38687</v>
      </c>
      <c r="B53" s="11">
        <v>5.23</v>
      </c>
      <c r="C53" s="11">
        <v>164.77</v>
      </c>
    </row>
    <row r="54" spans="1:3" x14ac:dyDescent="0.3">
      <c r="A54" s="30">
        <v>38754</v>
      </c>
      <c r="B54" s="11">
        <v>5.6</v>
      </c>
      <c r="C54" s="11">
        <v>164.4</v>
      </c>
    </row>
    <row r="55" spans="1:3" x14ac:dyDescent="0.3">
      <c r="A55" s="30">
        <v>38779</v>
      </c>
      <c r="B55" s="11">
        <v>5.57</v>
      </c>
      <c r="C55" s="11">
        <v>164.43</v>
      </c>
    </row>
    <row r="56" spans="1:3" x14ac:dyDescent="0.3">
      <c r="A56" s="30">
        <v>38817</v>
      </c>
      <c r="B56" s="11">
        <v>5.62</v>
      </c>
      <c r="C56" s="11">
        <v>164.38</v>
      </c>
    </row>
    <row r="57" spans="1:3" x14ac:dyDescent="0.3">
      <c r="A57" s="30">
        <v>38825</v>
      </c>
      <c r="B57" s="11">
        <v>5.64</v>
      </c>
      <c r="C57" s="11">
        <v>164.36</v>
      </c>
    </row>
    <row r="58" spans="1:3" x14ac:dyDescent="0.3">
      <c r="A58" s="30">
        <v>38833</v>
      </c>
      <c r="B58" s="11">
        <v>5.42</v>
      </c>
      <c r="C58" s="11">
        <v>164.58</v>
      </c>
    </row>
    <row r="59" spans="1:3" x14ac:dyDescent="0.3">
      <c r="A59" s="30">
        <v>38844</v>
      </c>
      <c r="B59" s="11">
        <v>5.3</v>
      </c>
      <c r="C59" s="11">
        <v>164.7</v>
      </c>
    </row>
    <row r="60" spans="1:3" x14ac:dyDescent="0.3">
      <c r="A60" s="30">
        <v>38849</v>
      </c>
      <c r="B60" s="11">
        <v>5.22</v>
      </c>
      <c r="C60" s="11">
        <v>164.78</v>
      </c>
    </row>
    <row r="61" spans="1:3" x14ac:dyDescent="0.3">
      <c r="A61" s="30">
        <v>38860</v>
      </c>
      <c r="B61" s="11">
        <v>5.2</v>
      </c>
      <c r="C61" s="11">
        <v>164.8</v>
      </c>
    </row>
    <row r="62" spans="1:3" x14ac:dyDescent="0.3">
      <c r="A62" s="30">
        <v>38929</v>
      </c>
      <c r="B62" s="11">
        <v>5.27</v>
      </c>
      <c r="C62" s="11">
        <v>164.73</v>
      </c>
    </row>
    <row r="63" spans="1:3" x14ac:dyDescent="0.3">
      <c r="A63" s="30">
        <v>38960</v>
      </c>
      <c r="B63" s="11">
        <v>5.21</v>
      </c>
      <c r="C63" s="11">
        <v>164.79</v>
      </c>
    </row>
    <row r="64" spans="1:3" x14ac:dyDescent="0.3">
      <c r="A64" s="30">
        <v>39085</v>
      </c>
      <c r="B64" s="11">
        <v>5.55</v>
      </c>
      <c r="C64" s="11">
        <v>164.45</v>
      </c>
    </row>
    <row r="65" spans="1:3" x14ac:dyDescent="0.3">
      <c r="A65" s="30">
        <v>39140</v>
      </c>
      <c r="B65" s="11">
        <v>5.55</v>
      </c>
      <c r="C65" s="11">
        <v>164.45</v>
      </c>
    </row>
    <row r="66" spans="1:3" x14ac:dyDescent="0.3">
      <c r="A66" s="30">
        <v>39184</v>
      </c>
      <c r="B66" s="11">
        <v>5.67</v>
      </c>
      <c r="C66" s="11">
        <v>164.33</v>
      </c>
    </row>
    <row r="67" spans="1:3" x14ac:dyDescent="0.3">
      <c r="A67" s="30">
        <v>39213</v>
      </c>
      <c r="B67" s="11">
        <v>5.41</v>
      </c>
      <c r="C67" s="11">
        <v>164.59</v>
      </c>
    </row>
    <row r="68" spans="1:3" x14ac:dyDescent="0.3">
      <c r="A68" s="30">
        <v>39231</v>
      </c>
      <c r="B68" s="11">
        <v>5.36</v>
      </c>
      <c r="C68" s="11">
        <v>164.64</v>
      </c>
    </row>
    <row r="69" spans="1:3" x14ac:dyDescent="0.3">
      <c r="A69" s="30">
        <v>39253</v>
      </c>
      <c r="B69" s="11">
        <v>5.0999999999999996</v>
      </c>
      <c r="C69" s="11">
        <v>164.9</v>
      </c>
    </row>
    <row r="70" spans="1:3" x14ac:dyDescent="0.3">
      <c r="A70" s="30">
        <v>39346</v>
      </c>
      <c r="B70" s="11">
        <v>4.9000000000000004</v>
      </c>
      <c r="C70" s="11">
        <v>165.1</v>
      </c>
    </row>
    <row r="71" spans="1:3" x14ac:dyDescent="0.3">
      <c r="A71" s="30">
        <v>39377</v>
      </c>
      <c r="B71" s="11">
        <v>5.67</v>
      </c>
      <c r="C71" s="11">
        <v>164.33</v>
      </c>
    </row>
    <row r="72" spans="1:3" x14ac:dyDescent="0.3">
      <c r="A72" s="30">
        <v>39471</v>
      </c>
      <c r="B72" s="11">
        <v>6.46</v>
      </c>
      <c r="C72" s="11">
        <v>163.54</v>
      </c>
    </row>
    <row r="73" spans="1:3" x14ac:dyDescent="0.3">
      <c r="A73" s="30">
        <v>39538</v>
      </c>
      <c r="B73" s="11">
        <v>5.51</v>
      </c>
      <c r="C73" s="11">
        <v>164.49</v>
      </c>
    </row>
    <row r="74" spans="1:3" x14ac:dyDescent="0.3">
      <c r="A74" s="30">
        <v>39612</v>
      </c>
      <c r="B74" s="11">
        <v>6.28</v>
      </c>
      <c r="C74" s="11">
        <v>163.72</v>
      </c>
    </row>
    <row r="75" spans="1:3" x14ac:dyDescent="0.3">
      <c r="A75" s="30">
        <v>39643</v>
      </c>
      <c r="B75" s="11">
        <v>5.26</v>
      </c>
      <c r="C75" s="11">
        <v>164.74</v>
      </c>
    </row>
    <row r="76" spans="1:3" x14ac:dyDescent="0.3">
      <c r="A76" s="30">
        <v>39714</v>
      </c>
      <c r="B76" s="11">
        <v>4.83</v>
      </c>
      <c r="C76" s="11">
        <v>165.17</v>
      </c>
    </row>
    <row r="77" spans="1:3" x14ac:dyDescent="0.3">
      <c r="A77" s="30">
        <v>39847</v>
      </c>
      <c r="B77" s="11">
        <v>5.3</v>
      </c>
      <c r="C77" s="11">
        <v>164.7</v>
      </c>
    </row>
    <row r="78" spans="1:3" x14ac:dyDescent="0.3">
      <c r="A78" s="30">
        <v>39881</v>
      </c>
      <c r="B78" s="11">
        <v>5.44</v>
      </c>
      <c r="C78" s="11">
        <v>164.56</v>
      </c>
    </row>
    <row r="79" spans="1:3" x14ac:dyDescent="0.3">
      <c r="A79" s="30">
        <v>39939</v>
      </c>
      <c r="B79" s="11">
        <v>5.41</v>
      </c>
      <c r="C79" s="11">
        <v>164.59</v>
      </c>
    </row>
    <row r="80" spans="1:3" x14ac:dyDescent="0.3">
      <c r="A80" s="30">
        <v>40011</v>
      </c>
      <c r="B80" s="11">
        <v>5.1100000000000003</v>
      </c>
      <c r="C80" s="11">
        <v>164.89</v>
      </c>
    </row>
    <row r="81" spans="1:3" x14ac:dyDescent="0.3">
      <c r="A81" s="30">
        <v>40049</v>
      </c>
      <c r="B81" s="11">
        <v>5</v>
      </c>
      <c r="C81" s="11">
        <v>165</v>
      </c>
    </row>
    <row r="82" spans="1:3" x14ac:dyDescent="0.3">
      <c r="A82" s="30">
        <v>40190</v>
      </c>
      <c r="B82" s="11">
        <v>4.59</v>
      </c>
      <c r="C82" s="11">
        <v>165.41</v>
      </c>
    </row>
    <row r="83" spans="1:3" x14ac:dyDescent="0.3">
      <c r="A83" s="30">
        <v>40190</v>
      </c>
      <c r="B83" s="11">
        <v>4.59</v>
      </c>
      <c r="C83" s="11">
        <v>165.41</v>
      </c>
    </row>
    <row r="84" spans="1:3" x14ac:dyDescent="0.3">
      <c r="A84" s="30">
        <v>40238</v>
      </c>
      <c r="B84" s="11">
        <v>6.96</v>
      </c>
      <c r="C84" s="11">
        <v>163.04</v>
      </c>
    </row>
    <row r="85" spans="1:3" x14ac:dyDescent="0.3">
      <c r="A85" s="30">
        <v>40287</v>
      </c>
      <c r="B85" s="11">
        <v>5.54</v>
      </c>
      <c r="C85" s="11">
        <v>164.46</v>
      </c>
    </row>
    <row r="86" spans="1:3" x14ac:dyDescent="0.3">
      <c r="A86" s="30">
        <v>40331</v>
      </c>
      <c r="B86" s="11">
        <v>5.61</v>
      </c>
      <c r="C86" s="11">
        <v>164.39</v>
      </c>
    </row>
    <row r="87" spans="1:3" x14ac:dyDescent="0.3">
      <c r="A87" s="30">
        <v>40393</v>
      </c>
      <c r="B87" s="11">
        <v>5.3</v>
      </c>
      <c r="C87" s="11">
        <v>164.7</v>
      </c>
    </row>
    <row r="88" spans="1:3" x14ac:dyDescent="0.3">
      <c r="A88" s="30">
        <v>40498</v>
      </c>
      <c r="B88" s="11">
        <v>4.66</v>
      </c>
      <c r="C88" s="11">
        <v>165.34</v>
      </c>
    </row>
    <row r="89" spans="1:3" x14ac:dyDescent="0.3">
      <c r="A89" s="30">
        <v>40777</v>
      </c>
      <c r="B89" s="11">
        <v>4.8499999999999996</v>
      </c>
      <c r="C89" s="11">
        <v>165.15</v>
      </c>
    </row>
    <row r="90" spans="1:3" x14ac:dyDescent="0.3">
      <c r="A90" s="30">
        <v>40814</v>
      </c>
      <c r="B90" s="11">
        <v>4.6500000000000004</v>
      </c>
      <c r="C90" s="11">
        <v>165.35</v>
      </c>
    </row>
    <row r="91" spans="1:3" x14ac:dyDescent="0.3">
      <c r="A91" s="30">
        <v>40834</v>
      </c>
      <c r="B91" s="11">
        <v>4.76</v>
      </c>
      <c r="C91" s="11">
        <v>165.24</v>
      </c>
    </row>
    <row r="92" spans="1:3" x14ac:dyDescent="0.3">
      <c r="A92" s="30">
        <v>40911</v>
      </c>
      <c r="B92" s="11">
        <v>4.7</v>
      </c>
      <c r="C92" s="11">
        <v>165.3</v>
      </c>
    </row>
    <row r="93" spans="1:3" x14ac:dyDescent="0.3">
      <c r="A93" s="30">
        <v>40967</v>
      </c>
      <c r="B93" s="11">
        <v>5.2</v>
      </c>
      <c r="C93" s="11">
        <v>164.8</v>
      </c>
    </row>
    <row r="94" spans="1:3" x14ac:dyDescent="0.3">
      <c r="A94" s="30">
        <v>41011</v>
      </c>
      <c r="B94" s="11">
        <v>5.35</v>
      </c>
      <c r="C94" s="11">
        <v>164.65</v>
      </c>
    </row>
    <row r="95" spans="1:3" x14ac:dyDescent="0.3">
      <c r="A95" s="30">
        <v>41072</v>
      </c>
      <c r="B95" s="11">
        <v>5.22</v>
      </c>
      <c r="C95" s="11">
        <v>164.78</v>
      </c>
    </row>
    <row r="96" spans="1:3" x14ac:dyDescent="0.3">
      <c r="A96" s="30">
        <v>41278</v>
      </c>
      <c r="B96" s="11">
        <v>4.9400000000000004</v>
      </c>
      <c r="C96" s="11">
        <v>165.06</v>
      </c>
    </row>
    <row r="97" spans="1:3" x14ac:dyDescent="0.3">
      <c r="A97" s="30">
        <v>41401</v>
      </c>
      <c r="B97" s="11">
        <v>5.47</v>
      </c>
      <c r="C97" s="11">
        <v>164.53</v>
      </c>
    </row>
    <row r="98" spans="1:3" x14ac:dyDescent="0.3">
      <c r="A98" s="30">
        <v>41438</v>
      </c>
      <c r="B98" s="11">
        <v>5.36</v>
      </c>
      <c r="C98" s="11">
        <v>164.64</v>
      </c>
    </row>
    <row r="99" spans="1:3" x14ac:dyDescent="0.3">
      <c r="A99" s="30">
        <v>41472</v>
      </c>
      <c r="B99" s="11">
        <v>5.18</v>
      </c>
      <c r="C99" s="11">
        <v>164.82</v>
      </c>
    </row>
    <row r="100" spans="1:3" x14ac:dyDescent="0.3">
      <c r="A100" s="30">
        <v>41506</v>
      </c>
      <c r="B100" s="11">
        <v>5.1100000000000003</v>
      </c>
      <c r="C100" s="11">
        <v>164.89</v>
      </c>
    </row>
    <row r="101" spans="1:3" x14ac:dyDescent="0.3">
      <c r="A101" s="30">
        <v>41617</v>
      </c>
      <c r="B101" s="11">
        <v>4.7300000000000004</v>
      </c>
      <c r="C101" s="11">
        <v>165.27</v>
      </c>
    </row>
    <row r="102" spans="1:3" x14ac:dyDescent="0.3">
      <c r="A102" s="30">
        <v>41647</v>
      </c>
      <c r="B102" s="11">
        <v>5.04</v>
      </c>
      <c r="C102" s="11">
        <v>164.96</v>
      </c>
    </row>
    <row r="103" spans="1:3" x14ac:dyDescent="0.3">
      <c r="A103" s="30">
        <v>41683</v>
      </c>
      <c r="B103" s="11">
        <v>5.26</v>
      </c>
      <c r="C103" s="11">
        <v>164.74</v>
      </c>
    </row>
    <row r="104" spans="1:3" x14ac:dyDescent="0.3">
      <c r="A104" s="30">
        <v>42109</v>
      </c>
      <c r="B104" s="11">
        <v>5.52</v>
      </c>
      <c r="C104" s="11">
        <v>164.48</v>
      </c>
    </row>
    <row r="105" spans="1:3" x14ac:dyDescent="0.3">
      <c r="A105" s="30">
        <v>41764</v>
      </c>
      <c r="B105" s="11">
        <v>5.48</v>
      </c>
      <c r="C105" s="11">
        <v>164.52</v>
      </c>
    </row>
    <row r="106" spans="1:3" x14ac:dyDescent="0.3">
      <c r="A106" s="30">
        <v>41793</v>
      </c>
      <c r="B106" s="11">
        <v>5.48</v>
      </c>
      <c r="C106" s="11">
        <v>164.52</v>
      </c>
    </row>
    <row r="107" spans="1:3" x14ac:dyDescent="0.3">
      <c r="A107" s="30">
        <v>42221</v>
      </c>
      <c r="B107" s="11">
        <v>5.73</v>
      </c>
      <c r="C107" s="11">
        <v>164.27</v>
      </c>
    </row>
    <row r="108" spans="1:3" x14ac:dyDescent="0.3">
      <c r="A108" s="30">
        <v>42306</v>
      </c>
      <c r="B108" s="11">
        <v>5.38</v>
      </c>
      <c r="C108" s="11">
        <v>164.62</v>
      </c>
    </row>
    <row r="109" spans="1:3" x14ac:dyDescent="0.3">
      <c r="A109" s="30">
        <v>42387</v>
      </c>
      <c r="B109" s="11">
        <v>5.61</v>
      </c>
      <c r="C109" s="11">
        <v>164.39</v>
      </c>
    </row>
    <row r="110" spans="1:3" x14ac:dyDescent="0.3">
      <c r="A110" s="30">
        <v>42429</v>
      </c>
      <c r="B110" s="11">
        <v>5.67</v>
      </c>
      <c r="C110" s="11">
        <v>164.33</v>
      </c>
    </row>
    <row r="111" spans="1:3" x14ac:dyDescent="0.3">
      <c r="A111" s="30">
        <v>42471</v>
      </c>
      <c r="B111" s="11">
        <v>6</v>
      </c>
      <c r="C111" s="11">
        <v>164</v>
      </c>
    </row>
    <row r="112" spans="1:3" x14ac:dyDescent="0.3">
      <c r="A112" s="30">
        <v>42611</v>
      </c>
      <c r="B112" s="11">
        <v>6.68</v>
      </c>
      <c r="C112" s="11">
        <v>163.32</v>
      </c>
    </row>
    <row r="113" spans="1:3" x14ac:dyDescent="0.3">
      <c r="A113" s="30">
        <v>42781</v>
      </c>
      <c r="B113" s="11">
        <v>6.96</v>
      </c>
      <c r="C113" s="11">
        <v>163.04</v>
      </c>
    </row>
    <row r="114" spans="1:3" x14ac:dyDescent="0.3">
      <c r="A114" s="30">
        <v>42888</v>
      </c>
      <c r="B114" s="11">
        <v>5.33</v>
      </c>
      <c r="C114" s="11">
        <v>164.67</v>
      </c>
    </row>
    <row r="115" spans="1:3" x14ac:dyDescent="0.3">
      <c r="A115" s="30">
        <v>43011</v>
      </c>
      <c r="B115" s="11">
        <v>4.71</v>
      </c>
      <c r="C115" s="11">
        <v>165.29</v>
      </c>
    </row>
    <row r="116" spans="1:3" x14ac:dyDescent="0.3">
      <c r="A116" s="30">
        <v>43558</v>
      </c>
      <c r="B116" s="11">
        <v>5.85</v>
      </c>
      <c r="C116" s="11">
        <v>164.15</v>
      </c>
    </row>
    <row r="117" spans="1:3" x14ac:dyDescent="0.3">
      <c r="A117" s="30">
        <v>43763</v>
      </c>
      <c r="B117" s="11">
        <v>6.4</v>
      </c>
      <c r="C117" s="11">
        <v>163.6</v>
      </c>
    </row>
    <row r="118" spans="1:3" x14ac:dyDescent="0.3">
      <c r="A118" s="30">
        <v>43952</v>
      </c>
      <c r="B118" s="11">
        <v>5.6</v>
      </c>
      <c r="C118" s="11">
        <v>164.4</v>
      </c>
    </row>
    <row r="119" spans="1:3" x14ac:dyDescent="0.3">
      <c r="A119" s="30">
        <v>43964</v>
      </c>
      <c r="B119" s="11">
        <v>4.57</v>
      </c>
      <c r="C119" s="11">
        <v>165.43</v>
      </c>
    </row>
    <row r="120" spans="1:3" x14ac:dyDescent="0.3">
      <c r="A120" s="88">
        <v>45595</v>
      </c>
      <c r="B120" s="90">
        <v>5.94</v>
      </c>
    </row>
    <row r="121" spans="1:3" x14ac:dyDescent="0.3">
      <c r="B121" t="s">
        <v>22</v>
      </c>
    </row>
  </sheetData>
  <mergeCells count="2">
    <mergeCell ref="A1:C1"/>
    <mergeCell ref="F1:H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A0F3-287D-48E6-A709-AC7D3AAB936E}">
  <dimension ref="A1:I93"/>
  <sheetViews>
    <sheetView topLeftCell="A9" workbookViewId="0">
      <selection activeCell="F2" sqref="F2:G33"/>
    </sheetView>
  </sheetViews>
  <sheetFormatPr baseColWidth="10" defaultRowHeight="14.4" x14ac:dyDescent="0.3"/>
  <cols>
    <col min="2" max="2" width="13.88671875" customWidth="1"/>
    <col min="3" max="3" width="13.109375" customWidth="1"/>
    <col min="8" max="8" width="13" customWidth="1"/>
  </cols>
  <sheetData>
    <row r="1" spans="1:9" ht="15" thickBot="1" x14ac:dyDescent="0.35">
      <c r="A1" s="524" t="s">
        <v>25</v>
      </c>
      <c r="B1" s="525"/>
      <c r="C1" s="526"/>
      <c r="F1" s="529" t="s">
        <v>8</v>
      </c>
      <c r="G1" s="531"/>
      <c r="H1" s="531"/>
    </row>
    <row r="2" spans="1:9" ht="29.4" thickBot="1" x14ac:dyDescent="0.35">
      <c r="A2" s="31" t="s">
        <v>1</v>
      </c>
      <c r="B2" s="32" t="s">
        <v>2</v>
      </c>
      <c r="C2" s="32" t="s">
        <v>3</v>
      </c>
      <c r="F2" s="95" t="s">
        <v>1</v>
      </c>
      <c r="G2" s="97" t="s">
        <v>2</v>
      </c>
      <c r="H2" s="97" t="s">
        <v>3</v>
      </c>
    </row>
    <row r="3" spans="1:9" ht="15" thickBot="1" x14ac:dyDescent="0.35">
      <c r="A3" s="33">
        <v>37635</v>
      </c>
      <c r="B3" s="34">
        <v>28.58</v>
      </c>
      <c r="C3" s="34">
        <v>120.87</v>
      </c>
      <c r="F3" s="84">
        <v>40330</v>
      </c>
      <c r="G3" s="114">
        <v>37.630000000000003</v>
      </c>
      <c r="H3" s="114">
        <v>111.82</v>
      </c>
      <c r="I3">
        <f>G3+H3</f>
        <v>149.44999999999999</v>
      </c>
    </row>
    <row r="4" spans="1:9" ht="15" thickBot="1" x14ac:dyDescent="0.35">
      <c r="A4" s="20">
        <v>37720</v>
      </c>
      <c r="B4" s="35">
        <v>28.2</v>
      </c>
      <c r="C4" s="35">
        <v>121.25</v>
      </c>
      <c r="F4" s="84">
        <v>40513</v>
      </c>
      <c r="G4" s="111">
        <v>38.130000000000003</v>
      </c>
      <c r="H4" s="111">
        <f>149.45-G4</f>
        <v>111.32</v>
      </c>
      <c r="I4">
        <f t="shared" ref="I4:I33" si="0">G4+H4</f>
        <v>149.44999999999999</v>
      </c>
    </row>
    <row r="5" spans="1:9" ht="15" thickBot="1" x14ac:dyDescent="0.35">
      <c r="A5" s="20">
        <v>37726</v>
      </c>
      <c r="B5" s="35">
        <v>28.3</v>
      </c>
      <c r="C5" s="35">
        <v>121.15</v>
      </c>
      <c r="F5" s="84">
        <v>40695</v>
      </c>
      <c r="G5" s="111">
        <v>38.521000000000001</v>
      </c>
      <c r="H5" s="111">
        <f t="shared" ref="H5:H6" si="1">149.45-G5</f>
        <v>110.92899999999999</v>
      </c>
      <c r="I5">
        <f t="shared" si="0"/>
        <v>149.44999999999999</v>
      </c>
    </row>
    <row r="6" spans="1:9" ht="15" thickBot="1" x14ac:dyDescent="0.35">
      <c r="A6" s="20">
        <v>37732</v>
      </c>
      <c r="B6" s="35">
        <v>28.09</v>
      </c>
      <c r="C6" s="35">
        <v>121.36</v>
      </c>
      <c r="F6" s="84">
        <v>40878</v>
      </c>
      <c r="G6" s="111">
        <v>39.520000000000003</v>
      </c>
      <c r="H6" s="111">
        <f t="shared" si="1"/>
        <v>109.92999999999998</v>
      </c>
      <c r="I6">
        <f t="shared" si="0"/>
        <v>149.44999999999999</v>
      </c>
    </row>
    <row r="7" spans="1:9" ht="15" thickBot="1" x14ac:dyDescent="0.35">
      <c r="A7" s="20">
        <v>37734</v>
      </c>
      <c r="B7" s="35">
        <v>28.42</v>
      </c>
      <c r="C7" s="35">
        <v>121.03</v>
      </c>
      <c r="F7" s="84">
        <v>41061</v>
      </c>
      <c r="G7" s="114">
        <v>39.04</v>
      </c>
      <c r="H7" s="114">
        <v>110.41</v>
      </c>
      <c r="I7">
        <f t="shared" si="0"/>
        <v>149.44999999999999</v>
      </c>
    </row>
    <row r="8" spans="1:9" ht="15" thickBot="1" x14ac:dyDescent="0.35">
      <c r="A8" s="20">
        <v>37735</v>
      </c>
      <c r="B8" s="35">
        <v>28.51</v>
      </c>
      <c r="C8" s="35">
        <v>120.94</v>
      </c>
      <c r="F8" s="84">
        <v>41244</v>
      </c>
      <c r="G8" s="114">
        <v>40.44</v>
      </c>
      <c r="H8" s="114">
        <v>109.01</v>
      </c>
      <c r="I8">
        <f t="shared" si="0"/>
        <v>149.44999999999999</v>
      </c>
    </row>
    <row r="9" spans="1:9" ht="15" thickBot="1" x14ac:dyDescent="0.35">
      <c r="A9" s="20">
        <v>37746</v>
      </c>
      <c r="B9" s="35">
        <v>28.35</v>
      </c>
      <c r="C9" s="35">
        <v>121.1</v>
      </c>
      <c r="F9" s="84">
        <v>41426</v>
      </c>
      <c r="G9" s="114">
        <v>40.78</v>
      </c>
      <c r="H9" s="114">
        <v>108.67</v>
      </c>
      <c r="I9">
        <f t="shared" si="0"/>
        <v>149.44999999999999</v>
      </c>
    </row>
    <row r="10" spans="1:9" ht="15" thickBot="1" x14ac:dyDescent="0.35">
      <c r="A10" s="20">
        <v>37748</v>
      </c>
      <c r="B10" s="35">
        <v>28.02</v>
      </c>
      <c r="C10" s="35">
        <v>121.43</v>
      </c>
      <c r="F10" s="84">
        <v>41609</v>
      </c>
      <c r="G10" s="114">
        <v>41.04</v>
      </c>
      <c r="H10" s="114">
        <v>108.41</v>
      </c>
      <c r="I10">
        <f t="shared" si="0"/>
        <v>149.44999999999999</v>
      </c>
    </row>
    <row r="11" spans="1:9" ht="15" thickBot="1" x14ac:dyDescent="0.35">
      <c r="A11" s="20">
        <v>37749</v>
      </c>
      <c r="B11" s="35">
        <v>28.06</v>
      </c>
      <c r="C11" s="35">
        <v>121.39</v>
      </c>
      <c r="F11" s="84">
        <v>41791</v>
      </c>
      <c r="G11" s="114">
        <v>41.56</v>
      </c>
      <c r="H11" s="114">
        <v>107.89</v>
      </c>
      <c r="I11">
        <f t="shared" si="0"/>
        <v>149.44999999999999</v>
      </c>
    </row>
    <row r="12" spans="1:9" ht="15" thickBot="1" x14ac:dyDescent="0.35">
      <c r="A12" s="20">
        <v>37750</v>
      </c>
      <c r="B12" s="35">
        <v>28.1</v>
      </c>
      <c r="C12" s="35">
        <v>121.35</v>
      </c>
      <c r="F12" s="84">
        <v>41974</v>
      </c>
      <c r="G12" s="114">
        <v>42.1</v>
      </c>
      <c r="H12" s="114">
        <v>107.35</v>
      </c>
      <c r="I12">
        <f t="shared" si="0"/>
        <v>149.44999999999999</v>
      </c>
    </row>
    <row r="13" spans="1:9" ht="15" thickBot="1" x14ac:dyDescent="0.35">
      <c r="A13" s="20">
        <v>37755</v>
      </c>
      <c r="B13" s="35">
        <v>28.69</v>
      </c>
      <c r="C13" s="35">
        <v>120.76</v>
      </c>
      <c r="F13" s="84">
        <v>42156</v>
      </c>
      <c r="G13" s="114">
        <v>42.51</v>
      </c>
      <c r="H13" s="114">
        <v>106.94</v>
      </c>
      <c r="I13">
        <f t="shared" si="0"/>
        <v>149.44999999999999</v>
      </c>
    </row>
    <row r="14" spans="1:9" ht="15" thickBot="1" x14ac:dyDescent="0.35">
      <c r="A14" s="20">
        <v>37758</v>
      </c>
      <c r="B14" s="35">
        <v>28.3</v>
      </c>
      <c r="C14" s="35">
        <v>121.15</v>
      </c>
      <c r="F14" s="84">
        <v>42339</v>
      </c>
      <c r="G14" s="114">
        <v>42.9</v>
      </c>
      <c r="H14" s="114">
        <v>106.55</v>
      </c>
      <c r="I14">
        <f t="shared" si="0"/>
        <v>149.44999999999999</v>
      </c>
    </row>
    <row r="15" spans="1:9" ht="15" thickBot="1" x14ac:dyDescent="0.35">
      <c r="A15" s="20">
        <v>37768</v>
      </c>
      <c r="B15" s="35">
        <v>26.93</v>
      </c>
      <c r="C15" s="35">
        <v>122.52</v>
      </c>
      <c r="F15" s="84">
        <v>42522</v>
      </c>
      <c r="G15" s="114">
        <v>43.65</v>
      </c>
      <c r="H15" s="114">
        <v>105.8</v>
      </c>
      <c r="I15">
        <f t="shared" si="0"/>
        <v>149.44999999999999</v>
      </c>
    </row>
    <row r="16" spans="1:9" ht="15" thickBot="1" x14ac:dyDescent="0.35">
      <c r="A16" s="20">
        <v>37797</v>
      </c>
      <c r="B16" s="35">
        <v>28.23</v>
      </c>
      <c r="C16" s="35">
        <v>121.22</v>
      </c>
      <c r="F16" s="84">
        <v>42705</v>
      </c>
      <c r="G16" s="114">
        <v>43.64</v>
      </c>
      <c r="H16" s="114">
        <v>105.81</v>
      </c>
      <c r="I16">
        <f t="shared" si="0"/>
        <v>149.44999999999999</v>
      </c>
    </row>
    <row r="17" spans="1:9" ht="15" thickBot="1" x14ac:dyDescent="0.35">
      <c r="A17" s="20">
        <v>37816</v>
      </c>
      <c r="B17" s="35">
        <v>27.96</v>
      </c>
      <c r="C17" s="35">
        <v>121.49</v>
      </c>
      <c r="F17" s="84">
        <v>42887</v>
      </c>
      <c r="G17" s="114">
        <v>43.45</v>
      </c>
      <c r="H17" s="114">
        <v>106</v>
      </c>
      <c r="I17">
        <f t="shared" si="0"/>
        <v>149.44999999999999</v>
      </c>
    </row>
    <row r="18" spans="1:9" ht="15" thickBot="1" x14ac:dyDescent="0.35">
      <c r="A18" s="20">
        <v>37817</v>
      </c>
      <c r="B18" s="35">
        <v>28.49</v>
      </c>
      <c r="C18" s="35">
        <v>120.96</v>
      </c>
      <c r="F18" s="84">
        <v>43070</v>
      </c>
      <c r="G18" s="96">
        <v>43.973999999999997</v>
      </c>
      <c r="H18" s="96">
        <f t="shared" ref="H18:H21" si="2">149.45-G18</f>
        <v>105.476</v>
      </c>
      <c r="I18">
        <f t="shared" si="0"/>
        <v>149.44999999999999</v>
      </c>
    </row>
    <row r="19" spans="1:9" ht="15" thickBot="1" x14ac:dyDescent="0.35">
      <c r="A19" s="20">
        <v>37823</v>
      </c>
      <c r="B19" s="35">
        <v>28.51</v>
      </c>
      <c r="C19" s="35">
        <v>120.94</v>
      </c>
      <c r="F19" s="84">
        <v>43252</v>
      </c>
      <c r="G19" s="96">
        <v>44.05</v>
      </c>
      <c r="H19" s="96">
        <f t="shared" si="2"/>
        <v>105.39999999999999</v>
      </c>
      <c r="I19">
        <f t="shared" si="0"/>
        <v>149.44999999999999</v>
      </c>
    </row>
    <row r="20" spans="1:9" ht="15" thickBot="1" x14ac:dyDescent="0.35">
      <c r="A20" s="20">
        <v>37830</v>
      </c>
      <c r="B20" s="35">
        <v>28.49</v>
      </c>
      <c r="C20" s="35">
        <v>120.96</v>
      </c>
      <c r="F20" s="84">
        <v>43435</v>
      </c>
      <c r="G20" s="96">
        <v>44.32</v>
      </c>
      <c r="H20" s="96">
        <f t="shared" si="2"/>
        <v>105.13</v>
      </c>
      <c r="I20">
        <f t="shared" si="0"/>
        <v>149.44999999999999</v>
      </c>
    </row>
    <row r="21" spans="1:9" ht="15" thickBot="1" x14ac:dyDescent="0.35">
      <c r="A21" s="20">
        <v>37839</v>
      </c>
      <c r="B21" s="35">
        <v>28.52</v>
      </c>
      <c r="C21" s="35">
        <v>120.93</v>
      </c>
      <c r="F21" s="84">
        <v>43617</v>
      </c>
      <c r="G21" s="96">
        <v>44.39</v>
      </c>
      <c r="H21" s="96">
        <f t="shared" si="2"/>
        <v>105.05999999999999</v>
      </c>
      <c r="I21">
        <f t="shared" si="0"/>
        <v>149.44999999999999</v>
      </c>
    </row>
    <row r="22" spans="1:9" ht="15" thickBot="1" x14ac:dyDescent="0.35">
      <c r="A22" s="20">
        <v>37846</v>
      </c>
      <c r="B22" s="35">
        <v>28.65</v>
      </c>
      <c r="C22" s="35">
        <v>120.8</v>
      </c>
      <c r="F22" s="84">
        <v>43800</v>
      </c>
      <c r="G22" s="114">
        <v>44.47</v>
      </c>
      <c r="H22" s="114">
        <v>104.98</v>
      </c>
      <c r="I22">
        <f t="shared" si="0"/>
        <v>149.44999999999999</v>
      </c>
    </row>
    <row r="23" spans="1:9" ht="15" thickBot="1" x14ac:dyDescent="0.35">
      <c r="A23" s="20">
        <v>37873</v>
      </c>
      <c r="B23" s="35">
        <v>28.45</v>
      </c>
      <c r="C23" s="35">
        <v>121</v>
      </c>
      <c r="F23" s="84">
        <v>43983</v>
      </c>
      <c r="G23" s="114">
        <v>53.37</v>
      </c>
      <c r="H23" s="114">
        <v>96.08</v>
      </c>
      <c r="I23">
        <f t="shared" si="0"/>
        <v>149.44999999999999</v>
      </c>
    </row>
    <row r="24" spans="1:9" ht="15" thickBot="1" x14ac:dyDescent="0.35">
      <c r="A24" s="20">
        <v>37901</v>
      </c>
      <c r="B24" s="35">
        <v>28.47</v>
      </c>
      <c r="C24" s="35">
        <v>120.98</v>
      </c>
      <c r="F24" s="84">
        <v>44166</v>
      </c>
      <c r="G24" s="114">
        <v>45.17</v>
      </c>
      <c r="H24" s="114">
        <v>104.28</v>
      </c>
      <c r="I24">
        <f t="shared" si="0"/>
        <v>149.44999999999999</v>
      </c>
    </row>
    <row r="25" spans="1:9" ht="15" thickBot="1" x14ac:dyDescent="0.35">
      <c r="A25" s="20">
        <v>38009</v>
      </c>
      <c r="B25" s="35">
        <v>28.64</v>
      </c>
      <c r="C25" s="35">
        <v>120.81</v>
      </c>
      <c r="F25" s="84">
        <v>44348</v>
      </c>
      <c r="G25" s="111">
        <v>45.2</v>
      </c>
      <c r="H25" s="111">
        <f t="shared" ref="H25:H33" si="3">149.45-G25</f>
        <v>104.24999999999999</v>
      </c>
      <c r="I25">
        <f t="shared" si="0"/>
        <v>149.44999999999999</v>
      </c>
    </row>
    <row r="26" spans="1:9" ht="15" thickBot="1" x14ac:dyDescent="0.35">
      <c r="A26" s="20">
        <v>38110</v>
      </c>
      <c r="B26" s="35">
        <v>28.65</v>
      </c>
      <c r="C26" s="35">
        <v>120.8</v>
      </c>
      <c r="F26" s="84">
        <v>44531</v>
      </c>
      <c r="G26" s="111">
        <v>45.42</v>
      </c>
      <c r="H26" s="111">
        <f t="shared" si="3"/>
        <v>104.02999999999999</v>
      </c>
      <c r="I26">
        <f t="shared" si="0"/>
        <v>149.44999999999999</v>
      </c>
    </row>
    <row r="27" spans="1:9" ht="15" thickBot="1" x14ac:dyDescent="0.35">
      <c r="A27" s="20">
        <v>38048</v>
      </c>
      <c r="B27" s="35">
        <v>28.68</v>
      </c>
      <c r="C27" s="35">
        <v>120.77</v>
      </c>
      <c r="F27" s="84">
        <v>44713</v>
      </c>
      <c r="G27" s="111">
        <v>45.62</v>
      </c>
      <c r="H27" s="111">
        <f t="shared" si="3"/>
        <v>103.82999999999998</v>
      </c>
      <c r="I27">
        <f t="shared" si="0"/>
        <v>149.44999999999999</v>
      </c>
    </row>
    <row r="28" spans="1:9" ht="15" thickBot="1" x14ac:dyDescent="0.35">
      <c r="A28" s="20">
        <v>38058</v>
      </c>
      <c r="B28" s="35">
        <v>28.7</v>
      </c>
      <c r="C28" s="35">
        <v>120.75</v>
      </c>
      <c r="F28" s="84">
        <v>44896</v>
      </c>
      <c r="G28" s="96">
        <v>45.82</v>
      </c>
      <c r="H28" s="111">
        <f t="shared" si="3"/>
        <v>103.63</v>
      </c>
      <c r="I28">
        <f t="shared" si="0"/>
        <v>149.44999999999999</v>
      </c>
    </row>
    <row r="29" spans="1:9" ht="15" thickBot="1" x14ac:dyDescent="0.35">
      <c r="A29" s="20">
        <v>38078</v>
      </c>
      <c r="B29" s="35">
        <v>28.71</v>
      </c>
      <c r="C29" s="35">
        <v>120.74</v>
      </c>
      <c r="F29" s="84">
        <v>45078</v>
      </c>
      <c r="G29" s="96">
        <v>46.03</v>
      </c>
      <c r="H29" s="111">
        <f t="shared" si="3"/>
        <v>103.41999999999999</v>
      </c>
      <c r="I29">
        <f t="shared" si="0"/>
        <v>149.44999999999999</v>
      </c>
    </row>
    <row r="30" spans="1:9" ht="15" thickBot="1" x14ac:dyDescent="0.35">
      <c r="A30" s="20">
        <v>38090</v>
      </c>
      <c r="B30" s="35">
        <v>29.05</v>
      </c>
      <c r="C30" s="35">
        <v>120.4</v>
      </c>
      <c r="F30" s="84">
        <v>45261</v>
      </c>
      <c r="G30" s="96">
        <v>46.21</v>
      </c>
      <c r="H30" s="111">
        <f t="shared" si="3"/>
        <v>103.23999999999998</v>
      </c>
      <c r="I30">
        <f t="shared" si="0"/>
        <v>149.44999999999999</v>
      </c>
    </row>
    <row r="31" spans="1:9" ht="15" thickBot="1" x14ac:dyDescent="0.35">
      <c r="A31" s="20">
        <v>38105</v>
      </c>
      <c r="B31" s="35">
        <v>29.05</v>
      </c>
      <c r="C31" s="35">
        <v>120.4</v>
      </c>
      <c r="F31" s="84">
        <v>45444</v>
      </c>
      <c r="G31" s="96">
        <v>46.43</v>
      </c>
      <c r="H31" s="111">
        <f t="shared" si="3"/>
        <v>103.01999999999998</v>
      </c>
      <c r="I31">
        <f t="shared" si="0"/>
        <v>149.44999999999999</v>
      </c>
    </row>
    <row r="32" spans="1:9" ht="15" thickBot="1" x14ac:dyDescent="0.35">
      <c r="A32" s="20">
        <v>38117</v>
      </c>
      <c r="B32" s="35">
        <v>29.9</v>
      </c>
      <c r="C32" s="35">
        <v>119.55</v>
      </c>
      <c r="F32" s="84">
        <v>45627</v>
      </c>
      <c r="G32" s="111">
        <v>46.7</v>
      </c>
      <c r="H32" s="111">
        <f t="shared" si="3"/>
        <v>102.74999999999999</v>
      </c>
      <c r="I32">
        <f t="shared" si="0"/>
        <v>149.44999999999999</v>
      </c>
    </row>
    <row r="33" spans="1:9" ht="15" thickBot="1" x14ac:dyDescent="0.35">
      <c r="A33" s="20">
        <v>38161</v>
      </c>
      <c r="B33" s="35">
        <v>28.84</v>
      </c>
      <c r="C33" s="35">
        <v>120.61</v>
      </c>
      <c r="F33" s="84">
        <v>45992</v>
      </c>
      <c r="G33" s="96">
        <v>47.04</v>
      </c>
      <c r="H33" s="111">
        <f t="shared" si="3"/>
        <v>102.41</v>
      </c>
      <c r="I33">
        <f t="shared" si="0"/>
        <v>149.44999999999999</v>
      </c>
    </row>
    <row r="34" spans="1:9" ht="15" thickBot="1" x14ac:dyDescent="0.35">
      <c r="A34" s="20">
        <v>38189</v>
      </c>
      <c r="B34" s="35">
        <v>29.07</v>
      </c>
      <c r="C34" s="35">
        <v>120.38</v>
      </c>
    </row>
    <row r="35" spans="1:9" ht="15" thickBot="1" x14ac:dyDescent="0.35">
      <c r="A35" s="20">
        <v>38197</v>
      </c>
      <c r="B35" s="35">
        <v>29.12</v>
      </c>
      <c r="C35" s="35">
        <v>120.33</v>
      </c>
    </row>
    <row r="36" spans="1:9" ht="15" thickBot="1" x14ac:dyDescent="0.35">
      <c r="A36" s="20">
        <v>38203</v>
      </c>
      <c r="B36" s="35">
        <v>29.01</v>
      </c>
      <c r="C36" s="35">
        <v>120.44</v>
      </c>
    </row>
    <row r="37" spans="1:9" ht="15" thickBot="1" x14ac:dyDescent="0.35">
      <c r="A37" s="20">
        <v>38217</v>
      </c>
      <c r="B37" s="35">
        <v>29.1</v>
      </c>
      <c r="C37" s="35">
        <v>120.35</v>
      </c>
    </row>
    <row r="38" spans="1:9" ht="15" thickBot="1" x14ac:dyDescent="0.35">
      <c r="A38" s="20">
        <v>38231</v>
      </c>
      <c r="B38" s="35">
        <v>29.41</v>
      </c>
      <c r="C38" s="35">
        <v>120.04</v>
      </c>
    </row>
    <row r="39" spans="1:9" ht="15" thickBot="1" x14ac:dyDescent="0.35">
      <c r="A39" s="20">
        <v>38286</v>
      </c>
      <c r="B39" s="35">
        <v>29.02</v>
      </c>
      <c r="C39" s="35">
        <v>120.43</v>
      </c>
    </row>
    <row r="40" spans="1:9" ht="15" thickBot="1" x14ac:dyDescent="0.35">
      <c r="A40" s="20">
        <v>38308</v>
      </c>
      <c r="B40" s="35">
        <v>29.14</v>
      </c>
      <c r="C40" s="35">
        <v>120.31</v>
      </c>
    </row>
    <row r="41" spans="1:9" ht="15" thickBot="1" x14ac:dyDescent="0.35">
      <c r="A41" s="20">
        <v>38378</v>
      </c>
      <c r="B41" s="35">
        <v>29.27</v>
      </c>
      <c r="C41" s="35">
        <v>120.18</v>
      </c>
    </row>
    <row r="42" spans="1:9" ht="15" thickBot="1" x14ac:dyDescent="0.35">
      <c r="A42" s="20">
        <v>38404</v>
      </c>
      <c r="B42" s="35">
        <v>29.32</v>
      </c>
      <c r="C42" s="35">
        <v>120.13</v>
      </c>
    </row>
    <row r="43" spans="1:9" ht="15" thickBot="1" x14ac:dyDescent="0.35">
      <c r="A43" s="20">
        <v>38439</v>
      </c>
      <c r="B43" s="35">
        <v>29.88</v>
      </c>
      <c r="C43" s="35">
        <v>119.57</v>
      </c>
    </row>
    <row r="44" spans="1:9" ht="15" thickBot="1" x14ac:dyDescent="0.35">
      <c r="A44" s="20">
        <v>38446</v>
      </c>
      <c r="B44" s="35">
        <v>29.56</v>
      </c>
      <c r="C44" s="35">
        <v>119.89</v>
      </c>
    </row>
    <row r="45" spans="1:9" ht="15" thickBot="1" x14ac:dyDescent="0.35">
      <c r="A45" s="20">
        <v>38453</v>
      </c>
      <c r="B45" s="35">
        <v>29.62</v>
      </c>
      <c r="C45" s="35">
        <v>119.83</v>
      </c>
    </row>
    <row r="46" spans="1:9" ht="15" thickBot="1" x14ac:dyDescent="0.35">
      <c r="A46" s="20">
        <v>38461</v>
      </c>
      <c r="B46" s="35">
        <v>30.16</v>
      </c>
      <c r="C46" s="35">
        <v>119.29</v>
      </c>
    </row>
    <row r="47" spans="1:9" ht="15" thickBot="1" x14ac:dyDescent="0.35">
      <c r="A47" s="20">
        <v>38596</v>
      </c>
      <c r="B47" s="35">
        <v>30.44</v>
      </c>
      <c r="C47" s="35">
        <v>119.01</v>
      </c>
    </row>
    <row r="48" spans="1:9" ht="15" thickBot="1" x14ac:dyDescent="0.35">
      <c r="A48" s="20">
        <v>38653</v>
      </c>
      <c r="B48" s="35">
        <v>30.56</v>
      </c>
      <c r="C48" s="35">
        <v>118.89</v>
      </c>
    </row>
    <row r="49" spans="1:3" ht="15" thickBot="1" x14ac:dyDescent="0.35">
      <c r="A49" s="20">
        <v>38687</v>
      </c>
      <c r="B49" s="35">
        <v>30.62</v>
      </c>
      <c r="C49" s="35">
        <v>118.83</v>
      </c>
    </row>
    <row r="50" spans="1:3" ht="15" thickBot="1" x14ac:dyDescent="0.35">
      <c r="A50" s="20">
        <v>39471</v>
      </c>
      <c r="B50" s="35">
        <v>37.130000000000003</v>
      </c>
      <c r="C50" s="35">
        <v>112.32</v>
      </c>
    </row>
    <row r="51" spans="1:3" ht="15" thickBot="1" x14ac:dyDescent="0.35">
      <c r="A51" s="20">
        <v>39507</v>
      </c>
      <c r="B51" s="35">
        <v>36.36</v>
      </c>
      <c r="C51" s="35">
        <v>113.09</v>
      </c>
    </row>
    <row r="52" spans="1:3" ht="15" thickBot="1" x14ac:dyDescent="0.35">
      <c r="A52" s="20">
        <v>39538</v>
      </c>
      <c r="B52" s="35">
        <v>36.46</v>
      </c>
      <c r="C52" s="35">
        <v>112.99</v>
      </c>
    </row>
    <row r="53" spans="1:3" ht="15" thickBot="1" x14ac:dyDescent="0.35">
      <c r="A53" s="20">
        <v>39612</v>
      </c>
      <c r="B53" s="35">
        <v>37.11</v>
      </c>
      <c r="C53" s="35">
        <v>112.34</v>
      </c>
    </row>
    <row r="54" spans="1:3" ht="15" thickBot="1" x14ac:dyDescent="0.35">
      <c r="A54" s="20">
        <v>39643</v>
      </c>
      <c r="B54" s="35">
        <v>37.549999999999997</v>
      </c>
      <c r="C54" s="35">
        <v>111.9</v>
      </c>
    </row>
    <row r="55" spans="1:3" ht="15" thickBot="1" x14ac:dyDescent="0.35">
      <c r="A55" s="20">
        <v>39805</v>
      </c>
      <c r="B55" s="35">
        <v>37.729999999999997</v>
      </c>
      <c r="C55" s="35">
        <v>111.72</v>
      </c>
    </row>
    <row r="56" spans="1:3" ht="15" thickBot="1" x14ac:dyDescent="0.35">
      <c r="A56" s="20">
        <v>39847</v>
      </c>
      <c r="B56" s="35">
        <v>37.32</v>
      </c>
      <c r="C56" s="35">
        <v>112.13</v>
      </c>
    </row>
    <row r="57" spans="1:3" ht="15" thickBot="1" x14ac:dyDescent="0.35">
      <c r="A57" s="20">
        <v>39881</v>
      </c>
      <c r="B57" s="35">
        <v>37.020000000000003</v>
      </c>
      <c r="C57" s="35">
        <v>112.43</v>
      </c>
    </row>
    <row r="58" spans="1:3" ht="15" thickBot="1" x14ac:dyDescent="0.35">
      <c r="A58" s="20">
        <v>39939</v>
      </c>
      <c r="B58" s="35">
        <v>37.630000000000003</v>
      </c>
      <c r="C58" s="35">
        <v>111.82</v>
      </c>
    </row>
    <row r="59" spans="1:3" ht="15" thickBot="1" x14ac:dyDescent="0.35">
      <c r="A59" s="20">
        <v>41025</v>
      </c>
      <c r="B59" s="35">
        <v>37.83</v>
      </c>
      <c r="C59" s="35">
        <v>111.62</v>
      </c>
    </row>
    <row r="60" spans="1:3" ht="15" thickBot="1" x14ac:dyDescent="0.35">
      <c r="A60" s="20">
        <v>41025</v>
      </c>
      <c r="B60" s="35">
        <v>37.83</v>
      </c>
      <c r="C60" s="35">
        <v>111.62</v>
      </c>
    </row>
    <row r="61" spans="1:3" ht="15" thickBot="1" x14ac:dyDescent="0.35">
      <c r="A61" s="20">
        <v>41059</v>
      </c>
      <c r="B61" s="35">
        <v>38.799999999999997</v>
      </c>
      <c r="C61" s="35">
        <v>110.65</v>
      </c>
    </row>
    <row r="62" spans="1:3" ht="15" thickBot="1" x14ac:dyDescent="0.35">
      <c r="A62" s="20">
        <v>41072</v>
      </c>
      <c r="B62" s="35">
        <v>39.04</v>
      </c>
      <c r="C62" s="35">
        <v>110.41</v>
      </c>
    </row>
    <row r="63" spans="1:3" ht="15" thickBot="1" x14ac:dyDescent="0.35">
      <c r="A63" s="20">
        <v>41171</v>
      </c>
      <c r="B63" s="35">
        <v>40.35</v>
      </c>
      <c r="C63" s="35">
        <v>109.1</v>
      </c>
    </row>
    <row r="64" spans="1:3" ht="15" thickBot="1" x14ac:dyDescent="0.35">
      <c r="A64" s="20">
        <v>41228</v>
      </c>
      <c r="B64" s="35">
        <v>45.58</v>
      </c>
      <c r="C64" s="35">
        <v>103.87</v>
      </c>
    </row>
    <row r="65" spans="1:3" ht="15" thickBot="1" x14ac:dyDescent="0.35">
      <c r="A65" s="20">
        <v>41235</v>
      </c>
      <c r="B65" s="35">
        <v>40.44</v>
      </c>
      <c r="C65" s="35">
        <v>109.01</v>
      </c>
    </row>
    <row r="66" spans="1:3" ht="15" thickBot="1" x14ac:dyDescent="0.35">
      <c r="A66" s="20">
        <v>41278</v>
      </c>
      <c r="B66" s="35">
        <v>40.61</v>
      </c>
      <c r="C66" s="35">
        <v>108.84</v>
      </c>
    </row>
    <row r="67" spans="1:3" ht="15" thickBot="1" x14ac:dyDescent="0.35">
      <c r="A67" s="20">
        <v>41401</v>
      </c>
      <c r="B67" s="35">
        <v>40.700000000000003</v>
      </c>
      <c r="C67" s="35">
        <v>108.75</v>
      </c>
    </row>
    <row r="68" spans="1:3" ht="15" thickBot="1" x14ac:dyDescent="0.35">
      <c r="A68" s="20">
        <v>41436</v>
      </c>
      <c r="B68" s="35">
        <v>40.78</v>
      </c>
      <c r="C68" s="35">
        <v>108.67</v>
      </c>
    </row>
    <row r="69" spans="1:3" ht="15" thickBot="1" x14ac:dyDescent="0.35">
      <c r="A69" s="20">
        <v>41471</v>
      </c>
      <c r="B69" s="35">
        <v>40.89</v>
      </c>
      <c r="C69" s="35">
        <v>108.56</v>
      </c>
    </row>
    <row r="70" spans="1:3" ht="15" thickBot="1" x14ac:dyDescent="0.35">
      <c r="A70" s="20">
        <v>41506</v>
      </c>
      <c r="B70" s="35">
        <v>40.78</v>
      </c>
      <c r="C70" s="35">
        <v>108.67</v>
      </c>
    </row>
    <row r="71" spans="1:3" ht="15" thickBot="1" x14ac:dyDescent="0.35">
      <c r="A71" s="20">
        <v>41556</v>
      </c>
      <c r="B71" s="35">
        <v>40.9</v>
      </c>
      <c r="C71" s="35">
        <v>108.55</v>
      </c>
    </row>
    <row r="72" spans="1:3" ht="15" thickBot="1" x14ac:dyDescent="0.35">
      <c r="A72" s="20">
        <v>41617</v>
      </c>
      <c r="B72" s="35">
        <v>41.04</v>
      </c>
      <c r="C72" s="35">
        <v>108.41</v>
      </c>
    </row>
    <row r="73" spans="1:3" ht="15" thickBot="1" x14ac:dyDescent="0.35">
      <c r="A73" s="20">
        <v>41647</v>
      </c>
      <c r="B73" s="35">
        <v>41.1</v>
      </c>
      <c r="C73" s="35">
        <v>108.35</v>
      </c>
    </row>
    <row r="74" spans="1:3" ht="15" thickBot="1" x14ac:dyDescent="0.35">
      <c r="A74" s="20">
        <v>41683</v>
      </c>
      <c r="B74" s="35">
        <v>41.19</v>
      </c>
      <c r="C74" s="35">
        <v>108.26</v>
      </c>
    </row>
    <row r="75" spans="1:3" ht="15" thickBot="1" x14ac:dyDescent="0.35">
      <c r="A75" s="20">
        <v>41731</v>
      </c>
      <c r="B75" s="35">
        <v>41.1</v>
      </c>
      <c r="C75" s="35">
        <v>108.35</v>
      </c>
    </row>
    <row r="76" spans="1:3" ht="15" thickBot="1" x14ac:dyDescent="0.35">
      <c r="A76" s="20">
        <v>41764</v>
      </c>
      <c r="B76" s="35">
        <v>41.44</v>
      </c>
      <c r="C76" s="35">
        <v>108.01</v>
      </c>
    </row>
    <row r="77" spans="1:3" ht="15" thickBot="1" x14ac:dyDescent="0.35">
      <c r="A77" s="20">
        <v>41793</v>
      </c>
      <c r="B77" s="35">
        <v>41.56</v>
      </c>
      <c r="C77" s="35">
        <v>107.89</v>
      </c>
    </row>
    <row r="78" spans="1:3" ht="15" thickBot="1" x14ac:dyDescent="0.35">
      <c r="A78" s="20">
        <v>41877</v>
      </c>
      <c r="B78" s="35">
        <v>41.96</v>
      </c>
      <c r="C78" s="35">
        <v>107.49</v>
      </c>
    </row>
    <row r="79" spans="1:3" ht="15" thickBot="1" x14ac:dyDescent="0.35">
      <c r="A79" s="20">
        <v>41936</v>
      </c>
      <c r="B79" s="35">
        <v>42.11</v>
      </c>
      <c r="C79" s="35">
        <v>107.34</v>
      </c>
    </row>
    <row r="80" spans="1:3" ht="15" thickBot="1" x14ac:dyDescent="0.35">
      <c r="A80" s="20">
        <v>42009</v>
      </c>
      <c r="B80" s="35">
        <v>42.1</v>
      </c>
      <c r="C80" s="35">
        <v>107.35</v>
      </c>
    </row>
    <row r="81" spans="1:3" ht="15" thickBot="1" x14ac:dyDescent="0.35">
      <c r="A81" s="20">
        <v>42109</v>
      </c>
      <c r="B81" s="35">
        <v>42.37</v>
      </c>
      <c r="C81" s="35">
        <v>107.08</v>
      </c>
    </row>
    <row r="82" spans="1:3" ht="15" thickBot="1" x14ac:dyDescent="0.35">
      <c r="A82" s="20">
        <v>42220</v>
      </c>
      <c r="B82" s="35">
        <v>42.51</v>
      </c>
      <c r="C82" s="35">
        <v>106.94</v>
      </c>
    </row>
    <row r="83" spans="1:3" ht="15" thickBot="1" x14ac:dyDescent="0.35">
      <c r="A83" s="20">
        <v>42306</v>
      </c>
      <c r="B83" s="35">
        <v>42.79</v>
      </c>
      <c r="C83" s="35">
        <v>106.66</v>
      </c>
    </row>
    <row r="84" spans="1:3" ht="15" thickBot="1" x14ac:dyDescent="0.35">
      <c r="A84" s="20">
        <v>42353</v>
      </c>
      <c r="B84" s="36">
        <f>(B83+B85)/2</f>
        <v>42.844999999999999</v>
      </c>
      <c r="C84" s="35">
        <v>149.44999999999999</v>
      </c>
    </row>
    <row r="85" spans="1:3" ht="15" thickBot="1" x14ac:dyDescent="0.35">
      <c r="A85" s="20">
        <v>42387</v>
      </c>
      <c r="B85" s="35">
        <v>42.9</v>
      </c>
      <c r="C85" s="35">
        <v>106.55</v>
      </c>
    </row>
    <row r="86" spans="1:3" ht="15" thickBot="1" x14ac:dyDescent="0.35">
      <c r="A86" s="20">
        <v>42429</v>
      </c>
      <c r="B86" s="35">
        <v>42.98</v>
      </c>
      <c r="C86" s="35">
        <v>106.47</v>
      </c>
    </row>
    <row r="87" spans="1:3" ht="15" thickBot="1" x14ac:dyDescent="0.35">
      <c r="A87" s="20">
        <v>42471</v>
      </c>
      <c r="B87" s="35">
        <v>43.27</v>
      </c>
      <c r="C87" s="35">
        <v>106.18</v>
      </c>
    </row>
    <row r="88" spans="1:3" ht="15" thickBot="1" x14ac:dyDescent="0.35">
      <c r="A88" s="20">
        <v>42611</v>
      </c>
      <c r="B88" s="35">
        <v>43.65</v>
      </c>
      <c r="C88" s="35">
        <v>105.8</v>
      </c>
    </row>
    <row r="89" spans="1:3" ht="15" thickBot="1" x14ac:dyDescent="0.35">
      <c r="A89" s="20">
        <v>42781</v>
      </c>
      <c r="B89" s="35">
        <v>43.64</v>
      </c>
      <c r="C89" s="35">
        <v>105.81</v>
      </c>
    </row>
    <row r="90" spans="1:3" ht="15" thickBot="1" x14ac:dyDescent="0.35">
      <c r="A90" s="20">
        <v>42794</v>
      </c>
      <c r="B90" s="35">
        <v>43.45</v>
      </c>
      <c r="C90" s="35">
        <v>106</v>
      </c>
    </row>
    <row r="91" spans="1:3" ht="15" thickBot="1" x14ac:dyDescent="0.35">
      <c r="A91" s="20">
        <v>43559</v>
      </c>
      <c r="B91" s="35">
        <v>44.47</v>
      </c>
      <c r="C91" s="35">
        <v>104.98</v>
      </c>
    </row>
    <row r="92" spans="1:3" ht="15" thickBot="1" x14ac:dyDescent="0.35">
      <c r="A92" s="20">
        <v>43763</v>
      </c>
      <c r="B92" s="35">
        <v>53.37</v>
      </c>
      <c r="C92" s="35">
        <v>96.08</v>
      </c>
    </row>
    <row r="93" spans="1:3" ht="15" thickBot="1" x14ac:dyDescent="0.35">
      <c r="A93" s="20">
        <v>43971</v>
      </c>
      <c r="B93" s="35">
        <v>45.17</v>
      </c>
      <c r="C93" s="35">
        <v>104.28</v>
      </c>
    </row>
  </sheetData>
  <mergeCells count="2">
    <mergeCell ref="A1:C1"/>
    <mergeCell ref="F1:H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32FC-A1D1-4238-AF8C-A73B9EE17AD0}">
  <dimension ref="A1:I92"/>
  <sheetViews>
    <sheetView workbookViewId="0">
      <selection activeCell="F2" sqref="F1:I1048576"/>
    </sheetView>
  </sheetViews>
  <sheetFormatPr baseColWidth="10" defaultRowHeight="14.4" x14ac:dyDescent="0.3"/>
  <cols>
    <col min="2" max="2" width="14.44140625" customWidth="1"/>
    <col min="3" max="3" width="14.6640625" customWidth="1"/>
    <col min="8" max="8" width="13" customWidth="1"/>
  </cols>
  <sheetData>
    <row r="1" spans="1:9" ht="15" thickBot="1" x14ac:dyDescent="0.35">
      <c r="A1" s="524" t="s">
        <v>9</v>
      </c>
      <c r="B1" s="525"/>
      <c r="C1" s="526"/>
      <c r="F1" s="529" t="s">
        <v>9</v>
      </c>
      <c r="G1" s="531"/>
      <c r="H1" s="531"/>
    </row>
    <row r="2" spans="1:9" ht="29.4" thickBot="1" x14ac:dyDescent="0.35">
      <c r="A2" s="31" t="s">
        <v>1</v>
      </c>
      <c r="B2" s="32" t="s">
        <v>2</v>
      </c>
      <c r="C2" s="32" t="s">
        <v>3</v>
      </c>
      <c r="F2" s="119" t="s">
        <v>1</v>
      </c>
      <c r="G2" s="120" t="s">
        <v>2</v>
      </c>
      <c r="H2" s="120" t="s">
        <v>3</v>
      </c>
    </row>
    <row r="3" spans="1:9" ht="15" thickBot="1" x14ac:dyDescent="0.35">
      <c r="A3" s="33">
        <v>37635</v>
      </c>
      <c r="B3" s="34">
        <v>3.13</v>
      </c>
      <c r="C3" s="37">
        <v>146.32</v>
      </c>
      <c r="F3" s="84">
        <v>40330</v>
      </c>
      <c r="G3" s="114">
        <v>2.7</v>
      </c>
      <c r="H3" s="114">
        <v>146.75</v>
      </c>
      <c r="I3">
        <f>G3+H3</f>
        <v>149.44999999999999</v>
      </c>
    </row>
    <row r="4" spans="1:9" ht="15" thickBot="1" x14ac:dyDescent="0.35">
      <c r="A4" s="20">
        <v>37720</v>
      </c>
      <c r="B4" s="35">
        <v>3.71</v>
      </c>
      <c r="C4" s="21">
        <v>145.74</v>
      </c>
      <c r="F4" s="84">
        <v>40513</v>
      </c>
      <c r="G4" s="111">
        <v>2.72</v>
      </c>
      <c r="H4" s="111">
        <f>149.45-G4</f>
        <v>146.72999999999999</v>
      </c>
      <c r="I4">
        <f t="shared" ref="I4:I33" si="0">G4+H4</f>
        <v>149.44999999999999</v>
      </c>
    </row>
    <row r="5" spans="1:9" ht="15" thickBot="1" x14ac:dyDescent="0.35">
      <c r="A5" s="20">
        <v>37726</v>
      </c>
      <c r="B5" s="35">
        <v>3.23</v>
      </c>
      <c r="C5" s="21">
        <v>146.22</v>
      </c>
      <c r="F5" s="84">
        <v>40695</v>
      </c>
      <c r="G5" s="111">
        <v>2.75</v>
      </c>
      <c r="H5" s="111">
        <f t="shared" ref="H5:H6" si="1">149.45-G5</f>
        <v>146.69999999999999</v>
      </c>
      <c r="I5">
        <f t="shared" si="0"/>
        <v>149.44999999999999</v>
      </c>
    </row>
    <row r="6" spans="1:9" ht="15" thickBot="1" x14ac:dyDescent="0.35">
      <c r="A6" s="20">
        <v>37732</v>
      </c>
      <c r="B6" s="35">
        <v>3.66</v>
      </c>
      <c r="C6" s="21">
        <v>145.79</v>
      </c>
      <c r="F6" s="84">
        <v>40878</v>
      </c>
      <c r="G6" s="111">
        <v>2.7749999999999999</v>
      </c>
      <c r="H6" s="111">
        <f t="shared" si="1"/>
        <v>146.67499999999998</v>
      </c>
      <c r="I6">
        <f t="shared" si="0"/>
        <v>149.44999999999999</v>
      </c>
    </row>
    <row r="7" spans="1:9" ht="15" thickBot="1" x14ac:dyDescent="0.35">
      <c r="A7" s="20">
        <v>37734</v>
      </c>
      <c r="B7" s="35">
        <v>3.66</v>
      </c>
      <c r="C7" s="21">
        <v>145.79</v>
      </c>
      <c r="F7" s="84">
        <v>41061</v>
      </c>
      <c r="G7" s="114">
        <v>2.8</v>
      </c>
      <c r="H7" s="114">
        <v>146.65</v>
      </c>
      <c r="I7">
        <f t="shared" si="0"/>
        <v>149.45000000000002</v>
      </c>
    </row>
    <row r="8" spans="1:9" ht="15" thickBot="1" x14ac:dyDescent="0.35">
      <c r="A8" s="20">
        <v>37735</v>
      </c>
      <c r="B8" s="35">
        <v>3.69</v>
      </c>
      <c r="C8" s="21">
        <v>145.76</v>
      </c>
      <c r="F8" s="84">
        <v>41244</v>
      </c>
      <c r="G8" s="114">
        <v>3.16</v>
      </c>
      <c r="H8" s="114">
        <v>146.29</v>
      </c>
      <c r="I8">
        <f t="shared" si="0"/>
        <v>149.44999999999999</v>
      </c>
    </row>
    <row r="9" spans="1:9" ht="15" thickBot="1" x14ac:dyDescent="0.35">
      <c r="A9" s="20">
        <v>37746</v>
      </c>
      <c r="B9" s="35">
        <v>3.32</v>
      </c>
      <c r="C9" s="21">
        <v>146.13</v>
      </c>
      <c r="F9" s="84">
        <v>41426</v>
      </c>
      <c r="G9" s="114">
        <v>3</v>
      </c>
      <c r="H9" s="114">
        <v>146.44999999999999</v>
      </c>
      <c r="I9">
        <f t="shared" si="0"/>
        <v>149.44999999999999</v>
      </c>
    </row>
    <row r="10" spans="1:9" ht="15" thickBot="1" x14ac:dyDescent="0.35">
      <c r="A10" s="20">
        <v>37748</v>
      </c>
      <c r="B10" s="35">
        <v>3.47</v>
      </c>
      <c r="C10" s="21">
        <v>145.97999999999999</v>
      </c>
      <c r="F10" s="84">
        <v>41609</v>
      </c>
      <c r="G10" s="114">
        <v>2.62</v>
      </c>
      <c r="H10" s="114">
        <v>146.83000000000001</v>
      </c>
      <c r="I10">
        <f t="shared" si="0"/>
        <v>149.45000000000002</v>
      </c>
    </row>
    <row r="11" spans="1:9" ht="15" thickBot="1" x14ac:dyDescent="0.35">
      <c r="A11" s="20">
        <v>37749</v>
      </c>
      <c r="B11" s="35">
        <v>3.49</v>
      </c>
      <c r="C11" s="21">
        <v>145.96</v>
      </c>
      <c r="F11" s="84">
        <v>41791</v>
      </c>
      <c r="G11" s="114">
        <v>2.94</v>
      </c>
      <c r="H11" s="114">
        <v>146.51</v>
      </c>
      <c r="I11">
        <f t="shared" si="0"/>
        <v>149.44999999999999</v>
      </c>
    </row>
    <row r="12" spans="1:9" ht="15" thickBot="1" x14ac:dyDescent="0.35">
      <c r="A12" s="20">
        <v>37750</v>
      </c>
      <c r="B12" s="35">
        <v>3.37</v>
      </c>
      <c r="C12" s="21">
        <v>146.08000000000001</v>
      </c>
      <c r="F12" s="84">
        <v>41974</v>
      </c>
      <c r="G12" s="114">
        <v>3</v>
      </c>
      <c r="H12" s="114">
        <v>146.44999999999999</v>
      </c>
      <c r="I12">
        <f t="shared" si="0"/>
        <v>149.44999999999999</v>
      </c>
    </row>
    <row r="13" spans="1:9" ht="15" thickBot="1" x14ac:dyDescent="0.35">
      <c r="A13" s="20">
        <v>37755</v>
      </c>
      <c r="B13" s="35">
        <v>3.41</v>
      </c>
      <c r="C13" s="21">
        <v>146.04</v>
      </c>
      <c r="F13" s="84">
        <v>42156</v>
      </c>
      <c r="G13" s="114">
        <v>3.3</v>
      </c>
      <c r="H13" s="114">
        <v>146.15</v>
      </c>
      <c r="I13">
        <f t="shared" si="0"/>
        <v>149.45000000000002</v>
      </c>
    </row>
    <row r="14" spans="1:9" ht="15" thickBot="1" x14ac:dyDescent="0.35">
      <c r="A14" s="20">
        <v>37758</v>
      </c>
      <c r="B14" s="35">
        <v>3.77</v>
      </c>
      <c r="C14" s="21">
        <v>145.68</v>
      </c>
      <c r="F14" s="84">
        <v>42339</v>
      </c>
      <c r="G14" s="114">
        <v>3.26</v>
      </c>
      <c r="H14" s="114">
        <v>146.19</v>
      </c>
      <c r="I14">
        <f t="shared" si="0"/>
        <v>149.44999999999999</v>
      </c>
    </row>
    <row r="15" spans="1:9" ht="15" thickBot="1" x14ac:dyDescent="0.35">
      <c r="A15" s="20">
        <v>37768</v>
      </c>
      <c r="B15" s="35">
        <v>3.54</v>
      </c>
      <c r="C15" s="21">
        <v>145.91</v>
      </c>
      <c r="F15" s="84">
        <v>42522</v>
      </c>
      <c r="G15" s="114">
        <v>3.04</v>
      </c>
      <c r="H15" s="114">
        <v>146.41</v>
      </c>
      <c r="I15">
        <f t="shared" si="0"/>
        <v>149.44999999999999</v>
      </c>
    </row>
    <row r="16" spans="1:9" ht="15" thickBot="1" x14ac:dyDescent="0.35">
      <c r="A16" s="20">
        <v>37797</v>
      </c>
      <c r="B16" s="35">
        <v>3.18</v>
      </c>
      <c r="C16" s="21">
        <v>146.27000000000001</v>
      </c>
      <c r="F16" s="84">
        <v>42705</v>
      </c>
      <c r="G16" s="114">
        <v>3.33</v>
      </c>
      <c r="H16" s="114">
        <v>146.12</v>
      </c>
      <c r="I16">
        <f t="shared" si="0"/>
        <v>149.45000000000002</v>
      </c>
    </row>
    <row r="17" spans="1:9" ht="15" thickBot="1" x14ac:dyDescent="0.35">
      <c r="A17" s="20">
        <v>37816</v>
      </c>
      <c r="B17" s="35">
        <v>2.96</v>
      </c>
      <c r="C17" s="21">
        <v>146.49</v>
      </c>
      <c r="F17" s="84">
        <v>42887</v>
      </c>
      <c r="G17" s="114">
        <v>3.06</v>
      </c>
      <c r="H17" s="114">
        <v>146.38999999999999</v>
      </c>
      <c r="I17">
        <f t="shared" si="0"/>
        <v>149.44999999999999</v>
      </c>
    </row>
    <row r="18" spans="1:9" ht="15" thickBot="1" x14ac:dyDescent="0.35">
      <c r="A18" s="20">
        <v>37817</v>
      </c>
      <c r="B18" s="35">
        <v>3.1</v>
      </c>
      <c r="C18" s="21">
        <v>146.35</v>
      </c>
      <c r="F18" s="84">
        <v>43070</v>
      </c>
      <c r="G18" s="96">
        <v>3.17</v>
      </c>
      <c r="H18" s="111">
        <f t="shared" ref="H18:H20" si="2">149.45-G18</f>
        <v>146.28</v>
      </c>
      <c r="I18">
        <f t="shared" si="0"/>
        <v>149.44999999999999</v>
      </c>
    </row>
    <row r="19" spans="1:9" ht="15" thickBot="1" x14ac:dyDescent="0.35">
      <c r="A19" s="20">
        <v>37823</v>
      </c>
      <c r="B19" s="35">
        <v>3.15</v>
      </c>
      <c r="C19" s="21">
        <v>146.30000000000001</v>
      </c>
      <c r="F19" s="84">
        <v>43252</v>
      </c>
      <c r="G19" s="96">
        <v>3.1040000000000001</v>
      </c>
      <c r="H19" s="111">
        <f t="shared" si="2"/>
        <v>146.34599999999998</v>
      </c>
      <c r="I19">
        <f t="shared" si="0"/>
        <v>149.44999999999999</v>
      </c>
    </row>
    <row r="20" spans="1:9" ht="15" thickBot="1" x14ac:dyDescent="0.35">
      <c r="A20" s="20">
        <v>37830</v>
      </c>
      <c r="B20" s="35">
        <v>3.24</v>
      </c>
      <c r="C20" s="21">
        <v>146.21</v>
      </c>
      <c r="F20" s="84">
        <v>43435</v>
      </c>
      <c r="G20" s="96">
        <v>3.17</v>
      </c>
      <c r="H20" s="111">
        <f t="shared" si="2"/>
        <v>146.28</v>
      </c>
      <c r="I20">
        <f t="shared" si="0"/>
        <v>149.44999999999999</v>
      </c>
    </row>
    <row r="21" spans="1:9" ht="15" thickBot="1" x14ac:dyDescent="0.35">
      <c r="A21" s="20">
        <v>37839</v>
      </c>
      <c r="B21" s="35">
        <v>3.2</v>
      </c>
      <c r="C21" s="21">
        <v>146.25</v>
      </c>
      <c r="F21" s="84">
        <v>43617</v>
      </c>
      <c r="G21" s="114">
        <v>3.23</v>
      </c>
      <c r="H21" s="114">
        <v>146.22</v>
      </c>
      <c r="I21">
        <f t="shared" si="0"/>
        <v>149.44999999999999</v>
      </c>
    </row>
    <row r="22" spans="1:9" ht="15" thickBot="1" x14ac:dyDescent="0.35">
      <c r="A22" s="20">
        <v>37846</v>
      </c>
      <c r="B22" s="35">
        <v>3.41</v>
      </c>
      <c r="C22" s="21">
        <v>146.04</v>
      </c>
      <c r="F22" s="84">
        <v>43800</v>
      </c>
      <c r="G22" s="114">
        <v>3.22</v>
      </c>
      <c r="H22" s="114">
        <v>141.07</v>
      </c>
      <c r="I22">
        <f t="shared" si="0"/>
        <v>144.29</v>
      </c>
    </row>
    <row r="23" spans="1:9" ht="15" thickBot="1" x14ac:dyDescent="0.35">
      <c r="A23" s="20">
        <v>37873</v>
      </c>
      <c r="B23" s="35">
        <v>3.48</v>
      </c>
      <c r="C23" s="21">
        <v>145.97</v>
      </c>
      <c r="F23" s="84">
        <v>43983</v>
      </c>
      <c r="G23" s="114">
        <v>3.1</v>
      </c>
      <c r="H23" s="114">
        <v>146.35</v>
      </c>
      <c r="I23">
        <f t="shared" si="0"/>
        <v>149.44999999999999</v>
      </c>
    </row>
    <row r="24" spans="1:9" ht="15" thickBot="1" x14ac:dyDescent="0.35">
      <c r="A24" s="20">
        <v>37901</v>
      </c>
      <c r="B24" s="35">
        <v>3.01</v>
      </c>
      <c r="C24" s="21">
        <v>146.44</v>
      </c>
      <c r="F24" s="84">
        <v>44166</v>
      </c>
      <c r="G24" s="111">
        <v>3.19</v>
      </c>
      <c r="H24" s="111">
        <f t="shared" ref="H24:H33" si="3">149.45-G24</f>
        <v>146.26</v>
      </c>
      <c r="I24">
        <f t="shared" si="0"/>
        <v>149.44999999999999</v>
      </c>
    </row>
    <row r="25" spans="1:9" ht="15" thickBot="1" x14ac:dyDescent="0.35">
      <c r="A25" s="20">
        <v>38009</v>
      </c>
      <c r="B25" s="35">
        <v>3.43</v>
      </c>
      <c r="C25" s="21">
        <v>146.02000000000001</v>
      </c>
      <c r="F25" s="84">
        <v>44348</v>
      </c>
      <c r="G25" s="111">
        <v>3.13</v>
      </c>
      <c r="H25" s="111">
        <f t="shared" si="3"/>
        <v>146.32</v>
      </c>
      <c r="I25">
        <f t="shared" si="0"/>
        <v>149.44999999999999</v>
      </c>
    </row>
    <row r="26" spans="1:9" ht="15" thickBot="1" x14ac:dyDescent="0.35">
      <c r="A26" s="20">
        <v>38110</v>
      </c>
      <c r="B26" s="35">
        <v>3.44</v>
      </c>
      <c r="C26" s="21">
        <v>146.01</v>
      </c>
      <c r="F26" s="84">
        <v>44531</v>
      </c>
      <c r="G26" s="111">
        <v>3.19</v>
      </c>
      <c r="H26" s="111">
        <f t="shared" si="3"/>
        <v>146.26</v>
      </c>
      <c r="I26">
        <f t="shared" si="0"/>
        <v>149.44999999999999</v>
      </c>
    </row>
    <row r="27" spans="1:9" ht="15" thickBot="1" x14ac:dyDescent="0.35">
      <c r="A27" s="20">
        <v>38048</v>
      </c>
      <c r="B27" s="35">
        <v>3.49</v>
      </c>
      <c r="C27" s="21">
        <v>145.96</v>
      </c>
      <c r="F27" s="84">
        <v>44713</v>
      </c>
      <c r="G27" s="111">
        <v>3.1360000000000001</v>
      </c>
      <c r="H27" s="111">
        <f t="shared" si="3"/>
        <v>146.31399999999999</v>
      </c>
      <c r="I27">
        <f t="shared" si="0"/>
        <v>149.44999999999999</v>
      </c>
    </row>
    <row r="28" spans="1:9" ht="15" thickBot="1" x14ac:dyDescent="0.35">
      <c r="A28" s="20">
        <v>38058</v>
      </c>
      <c r="B28" s="35">
        <v>3.48</v>
      </c>
      <c r="C28" s="21">
        <v>145.97</v>
      </c>
      <c r="F28" s="84">
        <v>44896</v>
      </c>
      <c r="G28" s="96">
        <v>3.1890000000000001</v>
      </c>
      <c r="H28" s="111">
        <f t="shared" si="3"/>
        <v>146.261</v>
      </c>
      <c r="I28">
        <f t="shared" si="0"/>
        <v>149.44999999999999</v>
      </c>
    </row>
    <row r="29" spans="1:9" ht="15" thickBot="1" x14ac:dyDescent="0.35">
      <c r="A29" s="20">
        <v>38078</v>
      </c>
      <c r="B29" s="35">
        <v>3.5</v>
      </c>
      <c r="C29" s="21">
        <v>145.94999999999999</v>
      </c>
      <c r="F29" s="84">
        <v>45078</v>
      </c>
      <c r="G29" s="96">
        <v>3.18</v>
      </c>
      <c r="H29" s="111">
        <f t="shared" si="3"/>
        <v>146.26999999999998</v>
      </c>
      <c r="I29">
        <f t="shared" si="0"/>
        <v>149.44999999999999</v>
      </c>
    </row>
    <row r="30" spans="1:9" ht="15" thickBot="1" x14ac:dyDescent="0.35">
      <c r="A30" s="20">
        <v>38090</v>
      </c>
      <c r="B30" s="35">
        <v>4.01</v>
      </c>
      <c r="C30" s="21">
        <v>145.44</v>
      </c>
      <c r="F30" s="84">
        <v>45261</v>
      </c>
      <c r="G30" s="96">
        <v>3.13</v>
      </c>
      <c r="H30" s="111">
        <f t="shared" si="3"/>
        <v>146.32</v>
      </c>
      <c r="I30">
        <f t="shared" si="0"/>
        <v>149.44999999999999</v>
      </c>
    </row>
    <row r="31" spans="1:9" ht="15" thickBot="1" x14ac:dyDescent="0.35">
      <c r="A31" s="20">
        <v>38105</v>
      </c>
      <c r="B31" s="35">
        <v>3.73</v>
      </c>
      <c r="C31" s="21">
        <v>145.72</v>
      </c>
      <c r="F31" s="84">
        <v>45444</v>
      </c>
      <c r="G31" s="96">
        <v>3.16</v>
      </c>
      <c r="H31" s="111">
        <f t="shared" si="3"/>
        <v>146.29</v>
      </c>
      <c r="I31">
        <f t="shared" si="0"/>
        <v>149.44999999999999</v>
      </c>
    </row>
    <row r="32" spans="1:9" ht="15" thickBot="1" x14ac:dyDescent="0.35">
      <c r="A32" s="20">
        <v>38117</v>
      </c>
      <c r="B32" s="35">
        <v>3.5</v>
      </c>
      <c r="C32" s="21">
        <v>145.94999999999999</v>
      </c>
      <c r="F32" s="84">
        <v>45627</v>
      </c>
      <c r="G32" s="111">
        <v>3.1829999999999998</v>
      </c>
      <c r="H32" s="111">
        <f t="shared" si="3"/>
        <v>146.267</v>
      </c>
      <c r="I32">
        <f t="shared" si="0"/>
        <v>149.44999999999999</v>
      </c>
    </row>
    <row r="33" spans="1:9" ht="15" thickBot="1" x14ac:dyDescent="0.35">
      <c r="A33" s="20">
        <v>38161</v>
      </c>
      <c r="B33" s="35">
        <v>2.74</v>
      </c>
      <c r="C33" s="21">
        <v>146.71</v>
      </c>
      <c r="F33" s="84">
        <v>45992</v>
      </c>
      <c r="G33" s="96">
        <v>3.198</v>
      </c>
      <c r="H33" s="111">
        <f t="shared" si="3"/>
        <v>146.25199999999998</v>
      </c>
      <c r="I33">
        <f t="shared" si="0"/>
        <v>149.44999999999999</v>
      </c>
    </row>
    <row r="34" spans="1:9" ht="15" thickBot="1" x14ac:dyDescent="0.35">
      <c r="A34" s="20">
        <v>38189</v>
      </c>
      <c r="B34" s="35">
        <v>2.6</v>
      </c>
      <c r="C34" s="21">
        <v>146.85</v>
      </c>
    </row>
    <row r="35" spans="1:9" ht="15" thickBot="1" x14ac:dyDescent="0.35">
      <c r="A35" s="20">
        <v>38197</v>
      </c>
      <c r="B35" s="35">
        <v>2.5499999999999998</v>
      </c>
      <c r="C35" s="21">
        <v>146.9</v>
      </c>
    </row>
    <row r="36" spans="1:9" ht="15" thickBot="1" x14ac:dyDescent="0.35">
      <c r="A36" s="20">
        <v>38203</v>
      </c>
      <c r="B36" s="35">
        <v>1.9</v>
      </c>
      <c r="C36" s="21">
        <v>147.55000000000001</v>
      </c>
    </row>
    <row r="37" spans="1:9" ht="15" thickBot="1" x14ac:dyDescent="0.35">
      <c r="A37" s="20">
        <v>38217</v>
      </c>
      <c r="B37" s="35">
        <v>2.0299999999999998</v>
      </c>
      <c r="C37" s="21">
        <v>147.41999999999999</v>
      </c>
    </row>
    <row r="38" spans="1:9" ht="15" thickBot="1" x14ac:dyDescent="0.35">
      <c r="A38" s="20">
        <v>38231</v>
      </c>
      <c r="B38" s="35">
        <v>2.34</v>
      </c>
      <c r="C38" s="21">
        <v>147.11000000000001</v>
      </c>
    </row>
    <row r="39" spans="1:9" ht="15" thickBot="1" x14ac:dyDescent="0.35">
      <c r="A39" s="20">
        <v>38286</v>
      </c>
      <c r="B39" s="35">
        <v>2.38</v>
      </c>
      <c r="C39" s="21">
        <v>147.07</v>
      </c>
    </row>
    <row r="40" spans="1:9" ht="15" thickBot="1" x14ac:dyDescent="0.35">
      <c r="A40" s="20">
        <v>38308</v>
      </c>
      <c r="B40" s="35">
        <v>2.1800000000000002</v>
      </c>
      <c r="C40" s="21">
        <v>147.27000000000001</v>
      </c>
    </row>
    <row r="41" spans="1:9" ht="15" thickBot="1" x14ac:dyDescent="0.35">
      <c r="A41" s="20">
        <v>38378</v>
      </c>
      <c r="B41" s="35">
        <v>2.5499999999999998</v>
      </c>
      <c r="C41" s="21">
        <v>146.9</v>
      </c>
    </row>
    <row r="42" spans="1:9" ht="15" thickBot="1" x14ac:dyDescent="0.35">
      <c r="A42" s="20">
        <v>38404</v>
      </c>
      <c r="B42" s="35">
        <v>2.6</v>
      </c>
      <c r="C42" s="21">
        <v>146.85</v>
      </c>
    </row>
    <row r="43" spans="1:9" ht="15" thickBot="1" x14ac:dyDescent="0.35">
      <c r="A43" s="20">
        <v>38439</v>
      </c>
      <c r="B43" s="35">
        <v>2.69</v>
      </c>
      <c r="C43" s="21">
        <v>146.76</v>
      </c>
    </row>
    <row r="44" spans="1:9" ht="15" thickBot="1" x14ac:dyDescent="0.35">
      <c r="A44" s="20">
        <v>38446</v>
      </c>
      <c r="B44" s="35">
        <v>2.71</v>
      </c>
      <c r="C44" s="21">
        <v>146.74</v>
      </c>
    </row>
    <row r="45" spans="1:9" ht="15" thickBot="1" x14ac:dyDescent="0.35">
      <c r="A45" s="20">
        <v>38453</v>
      </c>
      <c r="B45" s="35">
        <v>2.66</v>
      </c>
      <c r="C45" s="21">
        <v>146.79</v>
      </c>
    </row>
    <row r="46" spans="1:9" ht="15" thickBot="1" x14ac:dyDescent="0.35">
      <c r="A46" s="20">
        <v>38461</v>
      </c>
      <c r="B46" s="35">
        <v>2.71</v>
      </c>
      <c r="C46" s="21">
        <v>146.74</v>
      </c>
    </row>
    <row r="47" spans="1:9" ht="15" thickBot="1" x14ac:dyDescent="0.35">
      <c r="A47" s="20">
        <v>38596</v>
      </c>
      <c r="B47" s="35">
        <v>2.5499999999999998</v>
      </c>
      <c r="C47" s="21">
        <v>146.9</v>
      </c>
    </row>
    <row r="48" spans="1:9" ht="15" thickBot="1" x14ac:dyDescent="0.35">
      <c r="A48" s="20">
        <v>38653</v>
      </c>
      <c r="B48" s="35">
        <v>2.9</v>
      </c>
      <c r="C48" s="21">
        <v>146.55000000000001</v>
      </c>
    </row>
    <row r="49" spans="1:3" ht="15" thickBot="1" x14ac:dyDescent="0.35">
      <c r="A49" s="20">
        <v>38687</v>
      </c>
      <c r="B49" s="35">
        <v>2.71</v>
      </c>
      <c r="C49" s="21">
        <v>146.74</v>
      </c>
    </row>
    <row r="50" spans="1:3" ht="15" thickBot="1" x14ac:dyDescent="0.35">
      <c r="A50" s="20">
        <v>39471</v>
      </c>
      <c r="B50" s="35">
        <v>3.89</v>
      </c>
      <c r="C50" s="21">
        <v>145.56</v>
      </c>
    </row>
    <row r="51" spans="1:3" ht="15" thickBot="1" x14ac:dyDescent="0.35">
      <c r="A51" s="20">
        <v>39507</v>
      </c>
      <c r="B51" s="35">
        <v>3.36</v>
      </c>
      <c r="C51" s="21">
        <v>146.09</v>
      </c>
    </row>
    <row r="52" spans="1:3" ht="15" thickBot="1" x14ac:dyDescent="0.35">
      <c r="A52" s="20">
        <v>39538</v>
      </c>
      <c r="B52" s="35">
        <v>3.27</v>
      </c>
      <c r="C52" s="21">
        <v>146.18</v>
      </c>
    </row>
    <row r="53" spans="1:3" ht="15" thickBot="1" x14ac:dyDescent="0.35">
      <c r="A53" s="20">
        <v>39612</v>
      </c>
      <c r="B53" s="35">
        <v>2.9</v>
      </c>
      <c r="C53" s="21">
        <v>146.55000000000001</v>
      </c>
    </row>
    <row r="54" spans="1:3" ht="15" thickBot="1" x14ac:dyDescent="0.35">
      <c r="A54" s="20">
        <v>39643</v>
      </c>
      <c r="B54" s="35">
        <v>3.24</v>
      </c>
      <c r="C54" s="21">
        <v>146.21</v>
      </c>
    </row>
    <row r="55" spans="1:3" ht="15" thickBot="1" x14ac:dyDescent="0.35">
      <c r="A55" s="20">
        <v>39805</v>
      </c>
      <c r="B55" s="35">
        <v>3.57</v>
      </c>
      <c r="C55" s="21">
        <v>145.88</v>
      </c>
    </row>
    <row r="56" spans="1:3" ht="15" thickBot="1" x14ac:dyDescent="0.35">
      <c r="A56" s="20">
        <v>39847</v>
      </c>
      <c r="B56" s="35">
        <v>3.08</v>
      </c>
      <c r="C56" s="21">
        <v>146.37</v>
      </c>
    </row>
    <row r="57" spans="1:3" ht="15" thickBot="1" x14ac:dyDescent="0.35">
      <c r="A57" s="20">
        <v>39881</v>
      </c>
      <c r="B57" s="35">
        <v>3.21</v>
      </c>
      <c r="C57" s="21">
        <v>146.24</v>
      </c>
    </row>
    <row r="58" spans="1:3" ht="15" thickBot="1" x14ac:dyDescent="0.35">
      <c r="A58" s="20">
        <v>39939</v>
      </c>
      <c r="B58" s="35">
        <v>2.7</v>
      </c>
      <c r="C58" s="21">
        <v>146.75</v>
      </c>
    </row>
    <row r="59" spans="1:3" ht="15" thickBot="1" x14ac:dyDescent="0.35">
      <c r="A59" s="20">
        <v>41025</v>
      </c>
      <c r="B59" s="35">
        <v>3.05</v>
      </c>
      <c r="C59" s="21">
        <v>146.4</v>
      </c>
    </row>
    <row r="60" spans="1:3" ht="15" thickBot="1" x14ac:dyDescent="0.35">
      <c r="A60" s="20">
        <v>41025</v>
      </c>
      <c r="B60" s="35">
        <v>3.05</v>
      </c>
      <c r="C60" s="21">
        <v>146.4</v>
      </c>
    </row>
    <row r="61" spans="1:3" ht="15" thickBot="1" x14ac:dyDescent="0.35">
      <c r="A61" s="20">
        <v>41059</v>
      </c>
      <c r="B61" s="35">
        <v>2.84</v>
      </c>
      <c r="C61" s="21">
        <v>146.61000000000001</v>
      </c>
    </row>
    <row r="62" spans="1:3" ht="15" thickBot="1" x14ac:dyDescent="0.35">
      <c r="A62" s="20">
        <v>41072</v>
      </c>
      <c r="B62" s="35">
        <v>2.8</v>
      </c>
      <c r="C62" s="21">
        <v>146.65</v>
      </c>
    </row>
    <row r="63" spans="1:3" ht="15" thickBot="1" x14ac:dyDescent="0.35">
      <c r="A63" s="20">
        <v>41171</v>
      </c>
      <c r="B63" s="35">
        <v>2.63</v>
      </c>
      <c r="C63" s="21">
        <v>146.82</v>
      </c>
    </row>
    <row r="64" spans="1:3" ht="15" thickBot="1" x14ac:dyDescent="0.35">
      <c r="A64" s="20">
        <v>41235</v>
      </c>
      <c r="B64" s="35">
        <v>2.78</v>
      </c>
      <c r="C64" s="21">
        <v>146.66999999999999</v>
      </c>
    </row>
    <row r="65" spans="1:3" ht="15" thickBot="1" x14ac:dyDescent="0.35">
      <c r="A65" s="20">
        <v>41278</v>
      </c>
      <c r="B65" s="35">
        <v>3.16</v>
      </c>
      <c r="C65" s="21">
        <v>146.29</v>
      </c>
    </row>
    <row r="66" spans="1:3" ht="15" thickBot="1" x14ac:dyDescent="0.35">
      <c r="A66" s="20">
        <v>41401</v>
      </c>
      <c r="B66" s="35">
        <v>3.13</v>
      </c>
      <c r="C66" s="21">
        <v>146.32</v>
      </c>
    </row>
    <row r="67" spans="1:3" ht="15" thickBot="1" x14ac:dyDescent="0.35">
      <c r="A67" s="20">
        <v>41436</v>
      </c>
      <c r="B67" s="35">
        <v>3</v>
      </c>
      <c r="C67" s="21">
        <v>146.44999999999999</v>
      </c>
    </row>
    <row r="68" spans="1:3" ht="15" thickBot="1" x14ac:dyDescent="0.35">
      <c r="A68" s="20">
        <v>41471</v>
      </c>
      <c r="B68" s="35">
        <v>2.8</v>
      </c>
      <c r="C68" s="21">
        <v>146.65</v>
      </c>
    </row>
    <row r="69" spans="1:3" ht="15" thickBot="1" x14ac:dyDescent="0.35">
      <c r="A69" s="20">
        <v>41506</v>
      </c>
      <c r="B69" s="35">
        <v>2.87</v>
      </c>
      <c r="C69" s="21">
        <v>146.58000000000001</v>
      </c>
    </row>
    <row r="70" spans="1:3" ht="15" thickBot="1" x14ac:dyDescent="0.35">
      <c r="A70" s="20">
        <v>41556</v>
      </c>
      <c r="B70" s="35">
        <v>2.92</v>
      </c>
      <c r="C70" s="21">
        <v>146.53</v>
      </c>
    </row>
    <row r="71" spans="1:3" ht="15" thickBot="1" x14ac:dyDescent="0.35">
      <c r="A71" s="20">
        <v>41617</v>
      </c>
      <c r="B71" s="35">
        <v>2.62</v>
      </c>
      <c r="C71" s="21">
        <v>146.83000000000001</v>
      </c>
    </row>
    <row r="72" spans="1:3" ht="15" thickBot="1" x14ac:dyDescent="0.35">
      <c r="A72" s="20">
        <v>41647</v>
      </c>
      <c r="B72" s="35">
        <v>2.7</v>
      </c>
      <c r="C72" s="21">
        <v>146.75</v>
      </c>
    </row>
    <row r="73" spans="1:3" ht="15" thickBot="1" x14ac:dyDescent="0.35">
      <c r="A73" s="20">
        <v>41683</v>
      </c>
      <c r="B73" s="35">
        <v>3.06</v>
      </c>
      <c r="C73" s="21">
        <v>146.38999999999999</v>
      </c>
    </row>
    <row r="74" spans="1:3" ht="15" thickBot="1" x14ac:dyDescent="0.35">
      <c r="A74" s="20">
        <v>41731</v>
      </c>
      <c r="B74" s="35">
        <v>3.31</v>
      </c>
      <c r="C74" s="21">
        <v>146.13999999999999</v>
      </c>
    </row>
    <row r="75" spans="1:3" ht="15" thickBot="1" x14ac:dyDescent="0.35">
      <c r="A75" s="20">
        <v>41764</v>
      </c>
      <c r="B75" s="35">
        <v>2.96</v>
      </c>
      <c r="C75" s="21">
        <v>146.49</v>
      </c>
    </row>
    <row r="76" spans="1:3" ht="15" thickBot="1" x14ac:dyDescent="0.35">
      <c r="A76" s="20">
        <v>41793</v>
      </c>
      <c r="B76" s="35">
        <v>2.94</v>
      </c>
      <c r="C76" s="21">
        <v>146.51</v>
      </c>
    </row>
    <row r="77" spans="1:3" ht="15" thickBot="1" x14ac:dyDescent="0.35">
      <c r="A77" s="20">
        <v>41877</v>
      </c>
      <c r="B77" s="35">
        <v>2.77</v>
      </c>
      <c r="C77" s="21">
        <v>146.68</v>
      </c>
    </row>
    <row r="78" spans="1:3" ht="15" thickBot="1" x14ac:dyDescent="0.35">
      <c r="A78" s="20">
        <v>41936</v>
      </c>
      <c r="B78" s="35">
        <v>2.5299999999999998</v>
      </c>
      <c r="C78" s="21">
        <v>146.91999999999999</v>
      </c>
    </row>
    <row r="79" spans="1:3" ht="15" thickBot="1" x14ac:dyDescent="0.35">
      <c r="A79" s="20">
        <v>42009</v>
      </c>
      <c r="B79" s="35">
        <v>3</v>
      </c>
      <c r="C79" s="21">
        <v>146.44999999999999</v>
      </c>
    </row>
    <row r="80" spans="1:3" ht="15" thickBot="1" x14ac:dyDescent="0.35">
      <c r="A80" s="20">
        <v>42109</v>
      </c>
      <c r="B80" s="35">
        <v>2.65</v>
      </c>
      <c r="C80" s="21">
        <v>146.80000000000001</v>
      </c>
    </row>
    <row r="81" spans="1:3" ht="15" thickBot="1" x14ac:dyDescent="0.35">
      <c r="A81" s="20">
        <v>42220</v>
      </c>
      <c r="B81" s="35">
        <v>3.3</v>
      </c>
      <c r="C81" s="21">
        <v>146.15</v>
      </c>
    </row>
    <row r="82" spans="1:3" ht="15" thickBot="1" x14ac:dyDescent="0.35">
      <c r="A82" s="20">
        <v>42306</v>
      </c>
      <c r="B82" s="35">
        <v>2.72</v>
      </c>
      <c r="C82" s="21">
        <v>146.72999999999999</v>
      </c>
    </row>
    <row r="83" spans="1:3" ht="15" thickBot="1" x14ac:dyDescent="0.35">
      <c r="A83" s="20">
        <v>42353</v>
      </c>
      <c r="B83" s="35">
        <v>3.26</v>
      </c>
      <c r="C83" s="21">
        <v>146.19</v>
      </c>
    </row>
    <row r="84" spans="1:3" ht="15" thickBot="1" x14ac:dyDescent="0.35">
      <c r="A84" s="20">
        <v>42387</v>
      </c>
      <c r="B84" s="35">
        <v>3.36</v>
      </c>
      <c r="C84" s="21">
        <v>146.09</v>
      </c>
    </row>
    <row r="85" spans="1:3" ht="15" thickBot="1" x14ac:dyDescent="0.35">
      <c r="A85" s="20">
        <v>42429</v>
      </c>
      <c r="B85" s="35">
        <v>3.36</v>
      </c>
      <c r="C85" s="21">
        <v>146.09</v>
      </c>
    </row>
    <row r="86" spans="1:3" ht="15" thickBot="1" x14ac:dyDescent="0.35">
      <c r="A86" s="20">
        <v>42471</v>
      </c>
      <c r="B86" s="35">
        <v>3.55</v>
      </c>
      <c r="C86" s="21">
        <v>145.9</v>
      </c>
    </row>
    <row r="87" spans="1:3" ht="15" thickBot="1" x14ac:dyDescent="0.35">
      <c r="A87" s="20">
        <v>42611</v>
      </c>
      <c r="B87" s="35">
        <v>3.04</v>
      </c>
      <c r="C87" s="21">
        <v>146.41</v>
      </c>
    </row>
    <row r="88" spans="1:3" ht="15" thickBot="1" x14ac:dyDescent="0.35">
      <c r="A88" s="20">
        <v>42781</v>
      </c>
      <c r="B88" s="35">
        <v>3.33</v>
      </c>
      <c r="C88" s="21">
        <v>146.12</v>
      </c>
    </row>
    <row r="89" spans="1:3" ht="15" thickBot="1" x14ac:dyDescent="0.35">
      <c r="A89" s="20">
        <v>42794</v>
      </c>
      <c r="B89" s="35">
        <v>3.06</v>
      </c>
      <c r="C89" s="21">
        <v>146.38999999999999</v>
      </c>
    </row>
    <row r="90" spans="1:3" ht="15" thickBot="1" x14ac:dyDescent="0.35">
      <c r="A90" s="20">
        <v>43559</v>
      </c>
      <c r="B90" s="35">
        <v>3.23</v>
      </c>
      <c r="C90" s="21">
        <v>146.22</v>
      </c>
    </row>
    <row r="91" spans="1:3" ht="15" thickBot="1" x14ac:dyDescent="0.35">
      <c r="A91" s="20">
        <v>43763</v>
      </c>
      <c r="B91" s="35">
        <v>8.3800000000000008</v>
      </c>
      <c r="C91" s="21">
        <v>141.07</v>
      </c>
    </row>
    <row r="92" spans="1:3" ht="15" thickBot="1" x14ac:dyDescent="0.35">
      <c r="A92" s="20">
        <v>43971</v>
      </c>
      <c r="B92" s="35">
        <v>3.1</v>
      </c>
      <c r="C92" s="21">
        <v>146.35</v>
      </c>
    </row>
  </sheetData>
  <autoFilter ref="A1:A92" xr:uid="{4CE132FC-A1D1-4238-AF8C-A73B9EE17AD0}"/>
  <mergeCells count="2">
    <mergeCell ref="A1:C1"/>
    <mergeCell ref="F1:H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6749-E813-4B23-945B-FF74FC06CA9D}">
  <dimension ref="A1:I192"/>
  <sheetViews>
    <sheetView workbookViewId="0">
      <selection activeCell="F2" sqref="F1:I1048576"/>
    </sheetView>
  </sheetViews>
  <sheetFormatPr baseColWidth="10" defaultRowHeight="14.4" x14ac:dyDescent="0.3"/>
  <cols>
    <col min="2" max="2" width="16.33203125" customWidth="1"/>
    <col min="3" max="3" width="19.6640625" customWidth="1"/>
    <col min="8" max="8" width="22.21875" customWidth="1"/>
  </cols>
  <sheetData>
    <row r="1" spans="1:9" ht="15" thickBot="1" x14ac:dyDescent="0.35">
      <c r="A1" s="524" t="s">
        <v>10</v>
      </c>
      <c r="B1" s="525"/>
      <c r="C1" s="526"/>
      <c r="F1" s="529" t="s">
        <v>10</v>
      </c>
      <c r="G1" s="531"/>
      <c r="H1" s="531"/>
    </row>
    <row r="2" spans="1:9" ht="29.4" thickBot="1" x14ac:dyDescent="0.35">
      <c r="A2" s="31" t="s">
        <v>1</v>
      </c>
      <c r="B2" s="32" t="s">
        <v>2</v>
      </c>
      <c r="C2" s="32" t="s">
        <v>3</v>
      </c>
      <c r="F2" s="119" t="s">
        <v>1</v>
      </c>
      <c r="G2" s="120" t="s">
        <v>2</v>
      </c>
      <c r="H2" s="120" t="s">
        <v>3</v>
      </c>
    </row>
    <row r="3" spans="1:9" ht="15" thickBot="1" x14ac:dyDescent="0.35">
      <c r="A3" s="38">
        <v>37657</v>
      </c>
      <c r="B3" s="39">
        <v>30.9</v>
      </c>
      <c r="C3" s="39">
        <v>113.03</v>
      </c>
      <c r="F3" s="84">
        <v>40330</v>
      </c>
      <c r="G3" s="86">
        <v>43.63</v>
      </c>
      <c r="H3" s="86">
        <v>100.3</v>
      </c>
      <c r="I3">
        <f>G3+H3</f>
        <v>143.93</v>
      </c>
    </row>
    <row r="4" spans="1:9" ht="15" thickBot="1" x14ac:dyDescent="0.35">
      <c r="A4" s="40">
        <v>37720</v>
      </c>
      <c r="B4" s="41">
        <v>29.04</v>
      </c>
      <c r="C4" s="41">
        <v>114.89</v>
      </c>
      <c r="F4" s="84">
        <v>40513</v>
      </c>
      <c r="G4" s="86">
        <v>44.21</v>
      </c>
      <c r="H4" s="86">
        <v>99.72</v>
      </c>
      <c r="I4">
        <f t="shared" ref="I4:I33" si="0">G4+H4</f>
        <v>143.93</v>
      </c>
    </row>
    <row r="5" spans="1:9" ht="15" thickBot="1" x14ac:dyDescent="0.35">
      <c r="A5" s="40">
        <v>37726</v>
      </c>
      <c r="B5" s="41">
        <v>30.75</v>
      </c>
      <c r="C5" s="41">
        <v>113.18</v>
      </c>
      <c r="F5" s="84">
        <v>40695</v>
      </c>
      <c r="G5" s="86">
        <v>44.49</v>
      </c>
      <c r="H5" s="86">
        <v>99.44</v>
      </c>
      <c r="I5">
        <f t="shared" si="0"/>
        <v>143.93</v>
      </c>
    </row>
    <row r="6" spans="1:9" ht="15" thickBot="1" x14ac:dyDescent="0.35">
      <c r="A6" s="40">
        <v>37732</v>
      </c>
      <c r="B6" s="41">
        <v>29.47</v>
      </c>
      <c r="C6" s="41">
        <v>114.46</v>
      </c>
      <c r="F6" s="84">
        <v>40878</v>
      </c>
      <c r="G6" s="86">
        <v>43.95</v>
      </c>
      <c r="H6" s="86">
        <v>99.98</v>
      </c>
      <c r="I6">
        <f t="shared" si="0"/>
        <v>143.93</v>
      </c>
    </row>
    <row r="7" spans="1:9" ht="15" thickBot="1" x14ac:dyDescent="0.35">
      <c r="A7" s="40">
        <v>37734</v>
      </c>
      <c r="B7" s="41">
        <v>29.78</v>
      </c>
      <c r="C7" s="41">
        <v>114.15</v>
      </c>
      <c r="F7" s="84">
        <v>41061</v>
      </c>
      <c r="G7" s="86">
        <v>43.95</v>
      </c>
      <c r="H7" s="86">
        <v>99.98</v>
      </c>
      <c r="I7">
        <f t="shared" si="0"/>
        <v>143.93</v>
      </c>
    </row>
    <row r="8" spans="1:9" ht="15" thickBot="1" x14ac:dyDescent="0.35">
      <c r="A8" s="40">
        <v>37735</v>
      </c>
      <c r="B8" s="41">
        <v>28.9</v>
      </c>
      <c r="C8" s="41">
        <v>115.03</v>
      </c>
      <c r="F8" s="84">
        <v>41244</v>
      </c>
      <c r="G8" s="86">
        <v>45.76</v>
      </c>
      <c r="H8" s="86">
        <v>98.17</v>
      </c>
      <c r="I8">
        <f t="shared" si="0"/>
        <v>143.93</v>
      </c>
    </row>
    <row r="9" spans="1:9" ht="15" thickBot="1" x14ac:dyDescent="0.35">
      <c r="A9" s="40">
        <v>37746</v>
      </c>
      <c r="B9" s="41">
        <v>30.38</v>
      </c>
      <c r="C9" s="41">
        <v>113.55</v>
      </c>
      <c r="F9" s="84">
        <v>41426</v>
      </c>
      <c r="G9" s="86">
        <v>46.37</v>
      </c>
      <c r="H9" s="86">
        <v>97.56</v>
      </c>
      <c r="I9">
        <f t="shared" si="0"/>
        <v>143.93</v>
      </c>
    </row>
    <row r="10" spans="1:9" ht="15" thickBot="1" x14ac:dyDescent="0.35">
      <c r="A10" s="40">
        <v>37748</v>
      </c>
      <c r="B10" s="41">
        <v>30.35</v>
      </c>
      <c r="C10" s="41">
        <v>113.58</v>
      </c>
      <c r="F10" s="84">
        <v>41609</v>
      </c>
      <c r="G10" s="86">
        <v>46.98</v>
      </c>
      <c r="H10" s="86">
        <v>96.95</v>
      </c>
      <c r="I10">
        <f t="shared" si="0"/>
        <v>143.93</v>
      </c>
    </row>
    <row r="11" spans="1:9" ht="15" thickBot="1" x14ac:dyDescent="0.35">
      <c r="A11" s="40">
        <v>37749</v>
      </c>
      <c r="B11" s="41">
        <v>29.91</v>
      </c>
      <c r="C11" s="41">
        <v>114.02</v>
      </c>
      <c r="F11" s="84">
        <v>41791</v>
      </c>
      <c r="G11" s="86">
        <v>47.32</v>
      </c>
      <c r="H11" s="86">
        <v>96.61</v>
      </c>
      <c r="I11">
        <f t="shared" si="0"/>
        <v>143.93</v>
      </c>
    </row>
    <row r="12" spans="1:9" ht="15" thickBot="1" x14ac:dyDescent="0.35">
      <c r="A12" s="40">
        <v>37750</v>
      </c>
      <c r="B12" s="41">
        <v>28.53</v>
      </c>
      <c r="C12" s="41">
        <v>115.4</v>
      </c>
      <c r="F12" s="84">
        <v>41974</v>
      </c>
      <c r="G12" s="86">
        <v>47.66</v>
      </c>
      <c r="H12" s="86">
        <v>96.27</v>
      </c>
      <c r="I12">
        <f t="shared" si="0"/>
        <v>143.93</v>
      </c>
    </row>
    <row r="13" spans="1:9" ht="15" thickBot="1" x14ac:dyDescent="0.35">
      <c r="A13" s="40">
        <v>37755</v>
      </c>
      <c r="B13" s="41">
        <v>29.87</v>
      </c>
      <c r="C13" s="41">
        <v>114.06</v>
      </c>
      <c r="F13" s="84">
        <v>42156</v>
      </c>
      <c r="G13" s="86">
        <v>47.86</v>
      </c>
      <c r="H13" s="86">
        <v>96.07</v>
      </c>
      <c r="I13">
        <f t="shared" si="0"/>
        <v>143.93</v>
      </c>
    </row>
    <row r="14" spans="1:9" ht="15" thickBot="1" x14ac:dyDescent="0.35">
      <c r="A14" s="40">
        <v>37758</v>
      </c>
      <c r="B14" s="41">
        <v>30.29</v>
      </c>
      <c r="C14" s="41">
        <v>113.64</v>
      </c>
      <c r="F14" s="84">
        <v>42339</v>
      </c>
      <c r="G14" s="86">
        <v>48.63</v>
      </c>
      <c r="H14" s="86">
        <v>95.3</v>
      </c>
      <c r="I14">
        <f t="shared" si="0"/>
        <v>143.93</v>
      </c>
    </row>
    <row r="15" spans="1:9" ht="15" thickBot="1" x14ac:dyDescent="0.35">
      <c r="A15" s="40">
        <v>37768</v>
      </c>
      <c r="B15" s="41">
        <v>30.47</v>
      </c>
      <c r="C15" s="41">
        <v>113.46</v>
      </c>
      <c r="F15" s="84">
        <v>42522</v>
      </c>
      <c r="G15" s="86">
        <v>49.31</v>
      </c>
      <c r="H15" s="86">
        <v>94.62</v>
      </c>
      <c r="I15">
        <f t="shared" si="0"/>
        <v>143.93</v>
      </c>
    </row>
    <row r="16" spans="1:9" ht="15" thickBot="1" x14ac:dyDescent="0.35">
      <c r="A16" s="40">
        <v>37777</v>
      </c>
      <c r="B16" s="41">
        <v>27.57</v>
      </c>
      <c r="C16" s="41">
        <v>116.36</v>
      </c>
      <c r="F16" s="84">
        <v>42705</v>
      </c>
      <c r="G16" s="86">
        <v>50.28</v>
      </c>
      <c r="H16" s="86">
        <v>93.65</v>
      </c>
      <c r="I16">
        <f t="shared" si="0"/>
        <v>143.93</v>
      </c>
    </row>
    <row r="17" spans="1:9" ht="15" thickBot="1" x14ac:dyDescent="0.35">
      <c r="A17" s="40">
        <v>37797</v>
      </c>
      <c r="B17" s="41">
        <v>27.19</v>
      </c>
      <c r="C17" s="41">
        <v>116.74</v>
      </c>
      <c r="F17" s="84">
        <v>42887</v>
      </c>
      <c r="G17" s="86">
        <v>50.73</v>
      </c>
      <c r="H17" s="86">
        <v>93.2</v>
      </c>
      <c r="I17">
        <f t="shared" si="0"/>
        <v>143.93</v>
      </c>
    </row>
    <row r="18" spans="1:9" ht="15" thickBot="1" x14ac:dyDescent="0.35">
      <c r="A18" s="40">
        <v>37811</v>
      </c>
      <c r="B18" s="41">
        <v>27.47</v>
      </c>
      <c r="C18" s="41">
        <v>116.46</v>
      </c>
      <c r="F18" s="84">
        <v>43070</v>
      </c>
      <c r="G18" s="86">
        <v>50.82</v>
      </c>
      <c r="H18" s="86">
        <v>93.11</v>
      </c>
      <c r="I18">
        <f t="shared" si="0"/>
        <v>143.93</v>
      </c>
    </row>
    <row r="19" spans="1:9" ht="15" thickBot="1" x14ac:dyDescent="0.35">
      <c r="A19" s="40">
        <v>37816</v>
      </c>
      <c r="B19" s="41">
        <v>28.98</v>
      </c>
      <c r="C19" s="41">
        <v>114.95</v>
      </c>
      <c r="F19" s="84">
        <v>43252</v>
      </c>
      <c r="G19" s="86">
        <v>51.17</v>
      </c>
      <c r="H19" s="86">
        <v>92.76</v>
      </c>
      <c r="I19">
        <f t="shared" si="0"/>
        <v>143.93</v>
      </c>
    </row>
    <row r="20" spans="1:9" ht="15" thickBot="1" x14ac:dyDescent="0.35">
      <c r="A20" s="40">
        <v>37817</v>
      </c>
      <c r="B20" s="41">
        <v>29.29</v>
      </c>
      <c r="C20" s="41">
        <v>114.64</v>
      </c>
      <c r="F20" s="84">
        <v>43435</v>
      </c>
      <c r="G20" s="96">
        <v>51.88</v>
      </c>
      <c r="H20" s="111">
        <f>143.93-G20</f>
        <v>92.050000000000011</v>
      </c>
      <c r="I20">
        <f t="shared" si="0"/>
        <v>143.93</v>
      </c>
    </row>
    <row r="21" spans="1:9" ht="15" thickBot="1" x14ac:dyDescent="0.35">
      <c r="A21" s="40">
        <v>37821</v>
      </c>
      <c r="B21" s="41">
        <v>29.02</v>
      </c>
      <c r="C21" s="41">
        <v>114.91</v>
      </c>
      <c r="F21" s="84">
        <v>43617</v>
      </c>
      <c r="G21" s="86">
        <v>51.89</v>
      </c>
      <c r="H21" s="86">
        <v>92.04</v>
      </c>
      <c r="I21">
        <f t="shared" si="0"/>
        <v>143.93</v>
      </c>
    </row>
    <row r="22" spans="1:9" ht="15" thickBot="1" x14ac:dyDescent="0.35">
      <c r="A22" s="40">
        <v>37825</v>
      </c>
      <c r="B22" s="41">
        <v>29.21</v>
      </c>
      <c r="C22" s="41">
        <v>114.72</v>
      </c>
      <c r="F22" s="84">
        <v>43800</v>
      </c>
      <c r="G22" s="111">
        <v>52.901000000000003</v>
      </c>
      <c r="H22" s="111">
        <f>143.93-G22</f>
        <v>91.028999999999996</v>
      </c>
      <c r="I22">
        <f t="shared" si="0"/>
        <v>143.93</v>
      </c>
    </row>
    <row r="23" spans="1:9" ht="15" thickBot="1" x14ac:dyDescent="0.35">
      <c r="A23" s="40">
        <v>37831</v>
      </c>
      <c r="B23" s="41">
        <v>29.29</v>
      </c>
      <c r="C23" s="41">
        <v>114.64</v>
      </c>
      <c r="F23" s="84">
        <v>43983</v>
      </c>
      <c r="G23" s="86">
        <v>53.42</v>
      </c>
      <c r="H23" s="86">
        <v>90.51</v>
      </c>
      <c r="I23">
        <f t="shared" si="0"/>
        <v>143.93</v>
      </c>
    </row>
    <row r="24" spans="1:9" ht="15" thickBot="1" x14ac:dyDescent="0.35">
      <c r="A24" s="40">
        <v>37839</v>
      </c>
      <c r="B24" s="41">
        <v>29.3</v>
      </c>
      <c r="C24" s="41">
        <v>114.63</v>
      </c>
      <c r="F24" s="84">
        <v>44166</v>
      </c>
      <c r="G24" s="86">
        <v>52.87</v>
      </c>
      <c r="H24" s="86">
        <v>91.06</v>
      </c>
      <c r="I24">
        <f t="shared" si="0"/>
        <v>143.93</v>
      </c>
    </row>
    <row r="25" spans="1:9" ht="15" thickBot="1" x14ac:dyDescent="0.35">
      <c r="A25" s="40">
        <v>37845</v>
      </c>
      <c r="B25" s="41">
        <v>29.32</v>
      </c>
      <c r="C25" s="41">
        <v>114.61</v>
      </c>
      <c r="F25" s="84">
        <v>44348</v>
      </c>
      <c r="G25" s="111">
        <v>54.27</v>
      </c>
      <c r="H25" s="111">
        <f t="shared" ref="H25:H26" si="1">143.93-G25</f>
        <v>89.66</v>
      </c>
      <c r="I25">
        <f t="shared" si="0"/>
        <v>143.93</v>
      </c>
    </row>
    <row r="26" spans="1:9" ht="15" thickBot="1" x14ac:dyDescent="0.35">
      <c r="A26" s="40">
        <v>37744</v>
      </c>
      <c r="B26" s="41">
        <v>29.25</v>
      </c>
      <c r="C26" s="41">
        <v>114.68</v>
      </c>
      <c r="F26" s="84">
        <v>44531</v>
      </c>
      <c r="G26" s="111">
        <v>54.94</v>
      </c>
      <c r="H26" s="111">
        <f t="shared" si="1"/>
        <v>88.990000000000009</v>
      </c>
      <c r="I26">
        <f t="shared" si="0"/>
        <v>143.93</v>
      </c>
    </row>
    <row r="27" spans="1:9" ht="15" thickBot="1" x14ac:dyDescent="0.35">
      <c r="A27" s="40">
        <v>37858</v>
      </c>
      <c r="B27" s="41">
        <v>29.29</v>
      </c>
      <c r="C27" s="41">
        <v>114.64</v>
      </c>
      <c r="F27" s="84">
        <v>44713</v>
      </c>
      <c r="G27" s="86">
        <v>54.87</v>
      </c>
      <c r="H27" s="86">
        <v>89.06</v>
      </c>
      <c r="I27">
        <f t="shared" si="0"/>
        <v>143.93</v>
      </c>
    </row>
    <row r="28" spans="1:9" ht="15" thickBot="1" x14ac:dyDescent="0.35">
      <c r="A28" s="40">
        <v>37865</v>
      </c>
      <c r="B28" s="41">
        <v>29.1</v>
      </c>
      <c r="C28" s="41">
        <v>114.83</v>
      </c>
      <c r="F28" s="84">
        <v>44896</v>
      </c>
      <c r="G28" s="86">
        <v>56.76</v>
      </c>
      <c r="H28" s="86">
        <v>87.17</v>
      </c>
      <c r="I28">
        <f t="shared" si="0"/>
        <v>143.93</v>
      </c>
    </row>
    <row r="29" spans="1:9" ht="15" thickBot="1" x14ac:dyDescent="0.35">
      <c r="A29" s="40">
        <v>37872</v>
      </c>
      <c r="B29" s="41">
        <v>30.1</v>
      </c>
      <c r="C29" s="41">
        <v>113.83</v>
      </c>
      <c r="F29" s="84">
        <v>45078</v>
      </c>
      <c r="G29" s="96">
        <v>56.311</v>
      </c>
      <c r="H29" s="111">
        <f t="shared" ref="H29:H33" si="2">143.93-G29</f>
        <v>87.619</v>
      </c>
      <c r="I29">
        <f t="shared" si="0"/>
        <v>143.93</v>
      </c>
    </row>
    <row r="30" spans="1:9" ht="15" thickBot="1" x14ac:dyDescent="0.35">
      <c r="A30" s="40">
        <v>37873</v>
      </c>
      <c r="B30" s="41">
        <v>30</v>
      </c>
      <c r="C30" s="41">
        <v>113.93</v>
      </c>
      <c r="F30" s="84">
        <v>45261</v>
      </c>
      <c r="G30" s="96">
        <v>56.978999999999999</v>
      </c>
      <c r="H30" s="111">
        <f t="shared" si="2"/>
        <v>86.951000000000008</v>
      </c>
      <c r="I30">
        <f t="shared" si="0"/>
        <v>143.93</v>
      </c>
    </row>
    <row r="31" spans="1:9" ht="15" thickBot="1" x14ac:dyDescent="0.35">
      <c r="A31" s="40">
        <v>37881</v>
      </c>
      <c r="B31" s="41">
        <v>29.95</v>
      </c>
      <c r="C31" s="41">
        <v>113.98</v>
      </c>
      <c r="F31" s="84">
        <v>45444</v>
      </c>
      <c r="G31" s="96">
        <v>57.33</v>
      </c>
      <c r="H31" s="111">
        <f t="shared" si="2"/>
        <v>86.600000000000009</v>
      </c>
      <c r="I31">
        <f t="shared" si="0"/>
        <v>143.93</v>
      </c>
    </row>
    <row r="32" spans="1:9" ht="15" thickBot="1" x14ac:dyDescent="0.35">
      <c r="A32" s="40">
        <v>37895</v>
      </c>
      <c r="B32" s="41">
        <v>29.95</v>
      </c>
      <c r="C32" s="41">
        <v>113.98</v>
      </c>
      <c r="F32" s="84">
        <v>45627</v>
      </c>
      <c r="G32" s="86">
        <v>58.32</v>
      </c>
      <c r="H32" s="111">
        <f t="shared" si="2"/>
        <v>85.610000000000014</v>
      </c>
      <c r="I32">
        <f t="shared" si="0"/>
        <v>143.93</v>
      </c>
    </row>
    <row r="33" spans="1:9" ht="15" thickBot="1" x14ac:dyDescent="0.35">
      <c r="A33" s="40">
        <v>37900</v>
      </c>
      <c r="B33" s="41">
        <v>29.97</v>
      </c>
      <c r="C33" s="41">
        <v>113.96</v>
      </c>
      <c r="F33" s="84">
        <v>45992</v>
      </c>
      <c r="G33" s="96">
        <v>59.02</v>
      </c>
      <c r="H33" s="111">
        <f t="shared" si="2"/>
        <v>84.91</v>
      </c>
      <c r="I33">
        <f t="shared" si="0"/>
        <v>143.93</v>
      </c>
    </row>
    <row r="34" spans="1:9" ht="15" thickBot="1" x14ac:dyDescent="0.35">
      <c r="A34" s="40">
        <v>37937</v>
      </c>
      <c r="B34" s="41">
        <v>29.72</v>
      </c>
      <c r="C34" s="41">
        <v>114.21</v>
      </c>
    </row>
    <row r="35" spans="1:9" ht="15" thickBot="1" x14ac:dyDescent="0.35">
      <c r="A35" s="40">
        <v>37952</v>
      </c>
      <c r="B35" s="41">
        <v>29.65</v>
      </c>
      <c r="C35" s="41">
        <v>114.28</v>
      </c>
    </row>
    <row r="36" spans="1:9" ht="15" thickBot="1" x14ac:dyDescent="0.35">
      <c r="A36" s="40">
        <v>37993</v>
      </c>
      <c r="B36" s="41">
        <v>28.48</v>
      </c>
      <c r="C36" s="41">
        <v>115.45</v>
      </c>
    </row>
    <row r="37" spans="1:9" ht="15" thickBot="1" x14ac:dyDescent="0.35">
      <c r="A37" s="40">
        <v>38000</v>
      </c>
      <c r="B37" s="41">
        <v>28.66</v>
      </c>
      <c r="C37" s="41">
        <v>115.27</v>
      </c>
    </row>
    <row r="38" spans="1:9" ht="15" thickBot="1" x14ac:dyDescent="0.35">
      <c r="A38" s="40">
        <v>38009</v>
      </c>
      <c r="B38" s="41">
        <v>28.7</v>
      </c>
      <c r="C38" s="41">
        <v>115.23</v>
      </c>
    </row>
    <row r="39" spans="1:9" ht="15" thickBot="1" x14ac:dyDescent="0.35">
      <c r="A39" s="40">
        <v>38049</v>
      </c>
      <c r="B39" s="41">
        <v>29.54</v>
      </c>
      <c r="C39" s="41">
        <v>114.39</v>
      </c>
    </row>
    <row r="40" spans="1:9" ht="15" thickBot="1" x14ac:dyDescent="0.35">
      <c r="A40" s="40">
        <v>38061</v>
      </c>
      <c r="B40" s="41">
        <v>29.58</v>
      </c>
      <c r="C40" s="41">
        <v>114.35</v>
      </c>
    </row>
    <row r="41" spans="1:9" ht="15" thickBot="1" x14ac:dyDescent="0.35">
      <c r="A41" s="40">
        <v>38068</v>
      </c>
      <c r="B41" s="41">
        <v>29.6</v>
      </c>
      <c r="C41" s="41">
        <v>114.33</v>
      </c>
    </row>
    <row r="42" spans="1:9" ht="15" thickBot="1" x14ac:dyDescent="0.35">
      <c r="A42" s="40">
        <v>38078</v>
      </c>
      <c r="B42" s="41">
        <v>29.7</v>
      </c>
      <c r="C42" s="41">
        <v>114.23</v>
      </c>
    </row>
    <row r="43" spans="1:9" ht="15" thickBot="1" x14ac:dyDescent="0.35">
      <c r="A43" s="40">
        <v>38090</v>
      </c>
      <c r="B43" s="41">
        <v>29.8</v>
      </c>
      <c r="C43" s="41">
        <v>114.13</v>
      </c>
    </row>
    <row r="44" spans="1:9" ht="15" thickBot="1" x14ac:dyDescent="0.35">
      <c r="A44" s="40">
        <v>38107</v>
      </c>
      <c r="B44" s="41">
        <v>29.82</v>
      </c>
      <c r="C44" s="41">
        <v>114.11</v>
      </c>
    </row>
    <row r="45" spans="1:9" ht="15" thickBot="1" x14ac:dyDescent="0.35">
      <c r="A45" s="40">
        <v>38124</v>
      </c>
      <c r="B45" s="41">
        <v>29.8</v>
      </c>
      <c r="C45" s="41">
        <v>114.13</v>
      </c>
    </row>
    <row r="46" spans="1:9" ht="15" thickBot="1" x14ac:dyDescent="0.35">
      <c r="A46" s="40">
        <v>38133</v>
      </c>
      <c r="B46" s="41">
        <v>29.6</v>
      </c>
      <c r="C46" s="41">
        <v>114.33</v>
      </c>
    </row>
    <row r="47" spans="1:9" ht="15" thickBot="1" x14ac:dyDescent="0.35">
      <c r="A47" s="40">
        <v>38153</v>
      </c>
      <c r="B47" s="41">
        <v>29.04</v>
      </c>
      <c r="C47" s="41">
        <v>114.89</v>
      </c>
    </row>
    <row r="48" spans="1:9" ht="15" thickBot="1" x14ac:dyDescent="0.35">
      <c r="A48" s="40">
        <v>38161</v>
      </c>
      <c r="B48" s="41">
        <v>29.35</v>
      </c>
      <c r="C48" s="41">
        <v>114.58</v>
      </c>
    </row>
    <row r="49" spans="1:3" ht="15" thickBot="1" x14ac:dyDescent="0.35">
      <c r="A49" s="40">
        <v>38169</v>
      </c>
      <c r="B49" s="41">
        <v>29.73</v>
      </c>
      <c r="C49" s="41">
        <v>114.2</v>
      </c>
    </row>
    <row r="50" spans="1:3" ht="15" thickBot="1" x14ac:dyDescent="0.35">
      <c r="A50" s="40">
        <v>38183</v>
      </c>
      <c r="B50" s="41">
        <v>29.83</v>
      </c>
      <c r="C50" s="41">
        <v>114.1</v>
      </c>
    </row>
    <row r="51" spans="1:3" ht="15" thickBot="1" x14ac:dyDescent="0.35">
      <c r="A51" s="40">
        <v>38197</v>
      </c>
      <c r="B51" s="41">
        <v>29.66</v>
      </c>
      <c r="C51" s="41">
        <v>114.27</v>
      </c>
    </row>
    <row r="52" spans="1:3" ht="15" thickBot="1" x14ac:dyDescent="0.35">
      <c r="A52" s="40">
        <v>38203</v>
      </c>
      <c r="B52" s="41">
        <v>29.76</v>
      </c>
      <c r="C52" s="41">
        <v>114.17</v>
      </c>
    </row>
    <row r="53" spans="1:3" ht="15" thickBot="1" x14ac:dyDescent="0.35">
      <c r="A53" s="40">
        <v>38209</v>
      </c>
      <c r="B53" s="41">
        <v>29.39</v>
      </c>
      <c r="C53" s="41">
        <v>114.54</v>
      </c>
    </row>
    <row r="54" spans="1:3" ht="15" thickBot="1" x14ac:dyDescent="0.35">
      <c r="A54" s="40">
        <v>38217</v>
      </c>
      <c r="B54" s="41">
        <v>29.8</v>
      </c>
      <c r="C54" s="41">
        <v>114.13</v>
      </c>
    </row>
    <row r="55" spans="1:3" ht="15" thickBot="1" x14ac:dyDescent="0.35">
      <c r="A55" s="40">
        <v>38226</v>
      </c>
      <c r="B55" s="41">
        <v>29.73</v>
      </c>
      <c r="C55" s="41">
        <v>114.2</v>
      </c>
    </row>
    <row r="56" spans="1:3" ht="15" thickBot="1" x14ac:dyDescent="0.35">
      <c r="A56" s="40">
        <v>38230</v>
      </c>
      <c r="B56" s="41">
        <v>30.11</v>
      </c>
      <c r="C56" s="41">
        <v>113.82</v>
      </c>
    </row>
    <row r="57" spans="1:3" ht="15" thickBot="1" x14ac:dyDescent="0.35">
      <c r="A57" s="40">
        <v>38237</v>
      </c>
      <c r="B57" s="41">
        <v>30.05</v>
      </c>
      <c r="C57" s="41">
        <v>113.88</v>
      </c>
    </row>
    <row r="58" spans="1:3" ht="15" thickBot="1" x14ac:dyDescent="0.35">
      <c r="A58" s="40">
        <v>38246</v>
      </c>
      <c r="B58" s="41">
        <v>30.47</v>
      </c>
      <c r="C58" s="41">
        <v>113.46</v>
      </c>
    </row>
    <row r="59" spans="1:3" ht="15" thickBot="1" x14ac:dyDescent="0.35">
      <c r="A59" s="40">
        <v>38251</v>
      </c>
      <c r="B59" s="41">
        <v>30.43</v>
      </c>
      <c r="C59" s="41">
        <v>113.5</v>
      </c>
    </row>
    <row r="60" spans="1:3" ht="15" thickBot="1" x14ac:dyDescent="0.35">
      <c r="A60" s="40">
        <v>38286</v>
      </c>
      <c r="B60" s="41">
        <v>31.7</v>
      </c>
      <c r="C60" s="41">
        <v>112.23</v>
      </c>
    </row>
    <row r="61" spans="1:3" ht="15" thickBot="1" x14ac:dyDescent="0.35">
      <c r="A61" s="40">
        <v>38308</v>
      </c>
      <c r="B61" s="41">
        <v>31.84</v>
      </c>
      <c r="C61" s="41">
        <v>112.09</v>
      </c>
    </row>
    <row r="62" spans="1:3" ht="15" thickBot="1" x14ac:dyDescent="0.35">
      <c r="A62" s="40">
        <v>38313</v>
      </c>
      <c r="B62" s="41">
        <v>31.64</v>
      </c>
      <c r="C62" s="41">
        <v>112.29</v>
      </c>
    </row>
    <row r="63" spans="1:3" ht="15" thickBot="1" x14ac:dyDescent="0.35">
      <c r="A63" s="40">
        <v>38342</v>
      </c>
      <c r="B63" s="41">
        <v>31.72</v>
      </c>
      <c r="C63" s="41">
        <v>112.21</v>
      </c>
    </row>
    <row r="64" spans="1:3" ht="15" thickBot="1" x14ac:dyDescent="0.35">
      <c r="A64" s="40">
        <v>38364</v>
      </c>
      <c r="B64" s="41">
        <v>31.9</v>
      </c>
      <c r="C64" s="41">
        <v>112.03</v>
      </c>
    </row>
    <row r="65" spans="1:3" ht="15" thickBot="1" x14ac:dyDescent="0.35">
      <c r="A65" s="40">
        <v>38378</v>
      </c>
      <c r="B65" s="41">
        <v>32.5</v>
      </c>
      <c r="C65" s="41">
        <v>111.43</v>
      </c>
    </row>
    <row r="66" spans="1:3" ht="15" thickBot="1" x14ac:dyDescent="0.35">
      <c r="A66" s="40">
        <v>38391</v>
      </c>
      <c r="B66" s="41">
        <v>32.6</v>
      </c>
      <c r="C66" s="41">
        <v>111.33</v>
      </c>
    </row>
    <row r="67" spans="1:3" ht="15" thickBot="1" x14ac:dyDescent="0.35">
      <c r="A67" s="40">
        <v>38404</v>
      </c>
      <c r="B67" s="41">
        <v>32.619999999999997</v>
      </c>
      <c r="C67" s="41">
        <v>111.31</v>
      </c>
    </row>
    <row r="68" spans="1:3" ht="15" thickBot="1" x14ac:dyDescent="0.35">
      <c r="A68" s="40">
        <v>38453</v>
      </c>
      <c r="B68" s="41">
        <v>33.42</v>
      </c>
      <c r="C68" s="41">
        <v>110.51</v>
      </c>
    </row>
    <row r="69" spans="1:3" ht="15" thickBot="1" x14ac:dyDescent="0.35">
      <c r="A69" s="40">
        <v>38461</v>
      </c>
      <c r="B69" s="41">
        <v>33.270000000000003</v>
      </c>
      <c r="C69" s="41">
        <v>110.66</v>
      </c>
    </row>
    <row r="70" spans="1:3" ht="15" thickBot="1" x14ac:dyDescent="0.35">
      <c r="A70" s="40">
        <v>38467</v>
      </c>
      <c r="B70" s="41">
        <v>33.32</v>
      </c>
      <c r="C70" s="41">
        <v>110.61</v>
      </c>
    </row>
    <row r="71" spans="1:3" ht="15" thickBot="1" x14ac:dyDescent="0.35">
      <c r="A71" s="40">
        <v>38474</v>
      </c>
      <c r="B71" s="41">
        <v>33.47</v>
      </c>
      <c r="C71" s="41">
        <v>110.46</v>
      </c>
    </row>
    <row r="72" spans="1:3" ht="15" thickBot="1" x14ac:dyDescent="0.35">
      <c r="A72" s="40">
        <v>38485</v>
      </c>
      <c r="B72" s="41">
        <v>32.61</v>
      </c>
      <c r="C72" s="41">
        <v>111.32</v>
      </c>
    </row>
    <row r="73" spans="1:3" ht="15" thickBot="1" x14ac:dyDescent="0.35">
      <c r="A73" s="40">
        <v>38524</v>
      </c>
      <c r="B73" s="41">
        <v>33.9</v>
      </c>
      <c r="C73" s="41">
        <v>110.03</v>
      </c>
    </row>
    <row r="74" spans="1:3" ht="15" thickBot="1" x14ac:dyDescent="0.35">
      <c r="A74" s="40">
        <v>38538</v>
      </c>
      <c r="B74" s="41">
        <v>34.15</v>
      </c>
      <c r="C74" s="41">
        <v>109.78</v>
      </c>
    </row>
    <row r="75" spans="1:3" ht="15" thickBot="1" x14ac:dyDescent="0.35">
      <c r="A75" s="40">
        <v>38583</v>
      </c>
      <c r="B75" s="41">
        <v>34</v>
      </c>
      <c r="C75" s="41">
        <v>109.93</v>
      </c>
    </row>
    <row r="76" spans="1:3" ht="15" thickBot="1" x14ac:dyDescent="0.35">
      <c r="A76" s="40">
        <v>38596</v>
      </c>
      <c r="B76" s="41">
        <v>33.53</v>
      </c>
      <c r="C76" s="41">
        <v>110.4</v>
      </c>
    </row>
    <row r="77" spans="1:3" ht="15" thickBot="1" x14ac:dyDescent="0.35">
      <c r="A77" s="40">
        <v>38629</v>
      </c>
      <c r="B77" s="41">
        <v>35.35</v>
      </c>
      <c r="C77" s="41">
        <v>108.58</v>
      </c>
    </row>
    <row r="78" spans="1:3" ht="15" thickBot="1" x14ac:dyDescent="0.35">
      <c r="A78" s="40">
        <v>38653</v>
      </c>
      <c r="B78" s="41">
        <v>35.17</v>
      </c>
      <c r="C78" s="41">
        <v>108.76</v>
      </c>
    </row>
    <row r="79" spans="1:3" ht="15" thickBot="1" x14ac:dyDescent="0.35">
      <c r="A79" s="40">
        <v>38665</v>
      </c>
      <c r="B79" s="41">
        <v>35.67</v>
      </c>
      <c r="C79" s="41">
        <v>108.26</v>
      </c>
    </row>
    <row r="80" spans="1:3" ht="15" thickBot="1" x14ac:dyDescent="0.35">
      <c r="A80" s="40">
        <v>38687</v>
      </c>
      <c r="B80" s="41">
        <v>35.58</v>
      </c>
      <c r="C80" s="41">
        <v>108.35</v>
      </c>
    </row>
    <row r="81" spans="1:3" ht="15" thickBot="1" x14ac:dyDescent="0.35">
      <c r="A81" s="40">
        <v>38740</v>
      </c>
      <c r="B81" s="41">
        <v>36</v>
      </c>
      <c r="C81" s="41">
        <v>107.93</v>
      </c>
    </row>
    <row r="82" spans="1:3" ht="15" thickBot="1" x14ac:dyDescent="0.35">
      <c r="A82" s="40">
        <v>38754</v>
      </c>
      <c r="B82" s="41">
        <v>34.93</v>
      </c>
      <c r="C82" s="41">
        <v>109</v>
      </c>
    </row>
    <row r="83" spans="1:3" ht="15" thickBot="1" x14ac:dyDescent="0.35">
      <c r="A83" s="40">
        <v>38779</v>
      </c>
      <c r="B83" s="41">
        <v>35.94</v>
      </c>
      <c r="C83" s="41">
        <v>107.99</v>
      </c>
    </row>
    <row r="84" spans="1:3" ht="15" thickBot="1" x14ac:dyDescent="0.35">
      <c r="A84" s="40">
        <v>38817</v>
      </c>
      <c r="B84" s="42">
        <f>(B83+B85)/2</f>
        <v>35.575000000000003</v>
      </c>
      <c r="C84" s="41">
        <v>143.93</v>
      </c>
    </row>
    <row r="85" spans="1:3" ht="15" thickBot="1" x14ac:dyDescent="0.35">
      <c r="A85" s="40">
        <v>38825</v>
      </c>
      <c r="B85" s="41">
        <v>35.21</v>
      </c>
      <c r="C85" s="41">
        <v>108.72</v>
      </c>
    </row>
    <row r="86" spans="1:3" ht="15" thickBot="1" x14ac:dyDescent="0.35">
      <c r="A86" s="40">
        <v>38833</v>
      </c>
      <c r="B86" s="41">
        <v>35.119999999999997</v>
      </c>
      <c r="C86" s="41">
        <v>108.81</v>
      </c>
    </row>
    <row r="87" spans="1:3" ht="15" thickBot="1" x14ac:dyDescent="0.35">
      <c r="A87" s="40">
        <v>38844</v>
      </c>
      <c r="B87" s="41">
        <v>35.979999999999997</v>
      </c>
      <c r="C87" s="41">
        <v>107.95</v>
      </c>
    </row>
    <row r="88" spans="1:3" ht="15" thickBot="1" x14ac:dyDescent="0.35">
      <c r="A88" s="40">
        <v>38849</v>
      </c>
      <c r="B88" s="41">
        <v>35.44</v>
      </c>
      <c r="C88" s="41">
        <v>108.49</v>
      </c>
    </row>
    <row r="89" spans="1:3" ht="15" thickBot="1" x14ac:dyDescent="0.35">
      <c r="A89" s="40">
        <v>38860</v>
      </c>
      <c r="B89" s="41">
        <v>35.81</v>
      </c>
      <c r="C89" s="41">
        <v>108.12</v>
      </c>
    </row>
    <row r="90" spans="1:3" ht="15" thickBot="1" x14ac:dyDescent="0.35">
      <c r="A90" s="40">
        <v>38909</v>
      </c>
      <c r="B90" s="41">
        <v>35.42</v>
      </c>
      <c r="C90" s="41">
        <v>108.51</v>
      </c>
    </row>
    <row r="91" spans="1:3" ht="15" thickBot="1" x14ac:dyDescent="0.35">
      <c r="A91" s="40">
        <v>38929</v>
      </c>
      <c r="B91" s="41">
        <v>36.18</v>
      </c>
      <c r="C91" s="41">
        <v>107.75</v>
      </c>
    </row>
    <row r="92" spans="1:3" ht="15" thickBot="1" x14ac:dyDescent="0.35">
      <c r="A92" s="40">
        <v>38960</v>
      </c>
      <c r="B92" s="41">
        <v>35.92</v>
      </c>
      <c r="C92" s="41">
        <v>108.01</v>
      </c>
    </row>
    <row r="93" spans="1:3" ht="15" thickBot="1" x14ac:dyDescent="0.35">
      <c r="A93" s="40">
        <v>38974</v>
      </c>
      <c r="B93" s="41">
        <v>36.35</v>
      </c>
      <c r="C93" s="41">
        <v>107.58</v>
      </c>
    </row>
    <row r="94" spans="1:3" ht="15" thickBot="1" x14ac:dyDescent="0.35">
      <c r="A94" s="40">
        <v>38999</v>
      </c>
      <c r="B94" s="41">
        <v>36.85</v>
      </c>
      <c r="C94" s="41">
        <v>107.08</v>
      </c>
    </row>
    <row r="95" spans="1:3" ht="15" thickBot="1" x14ac:dyDescent="0.35">
      <c r="A95" s="40">
        <v>39085</v>
      </c>
      <c r="B95" s="41">
        <v>37.090000000000003</v>
      </c>
      <c r="C95" s="41">
        <v>106.84</v>
      </c>
    </row>
    <row r="96" spans="1:3" ht="15" thickBot="1" x14ac:dyDescent="0.35">
      <c r="A96" s="40">
        <v>39107</v>
      </c>
      <c r="B96" s="41">
        <v>36.979999999999997</v>
      </c>
      <c r="C96" s="41">
        <v>106.95</v>
      </c>
    </row>
    <row r="97" spans="1:3" ht="15" thickBot="1" x14ac:dyDescent="0.35">
      <c r="A97" s="40">
        <v>39140</v>
      </c>
      <c r="B97" s="41">
        <v>36.9</v>
      </c>
      <c r="C97" s="41">
        <v>107.03</v>
      </c>
    </row>
    <row r="98" spans="1:3" ht="15" thickBot="1" x14ac:dyDescent="0.35">
      <c r="A98" s="40">
        <v>39184</v>
      </c>
      <c r="B98" s="41">
        <v>37.29</v>
      </c>
      <c r="C98" s="41">
        <v>106.64</v>
      </c>
    </row>
    <row r="99" spans="1:3" ht="15" thickBot="1" x14ac:dyDescent="0.35">
      <c r="A99" s="40">
        <v>39213</v>
      </c>
      <c r="B99" s="41">
        <v>37.11</v>
      </c>
      <c r="C99" s="41">
        <v>106.82</v>
      </c>
    </row>
    <row r="100" spans="1:3" ht="15" thickBot="1" x14ac:dyDescent="0.35">
      <c r="A100" s="40">
        <v>39253</v>
      </c>
      <c r="B100" s="41">
        <v>37.18</v>
      </c>
      <c r="C100" s="41">
        <v>106.75</v>
      </c>
    </row>
    <row r="101" spans="1:3" ht="15" thickBot="1" x14ac:dyDescent="0.35">
      <c r="A101" s="40">
        <v>39346</v>
      </c>
      <c r="B101" s="41">
        <v>37.340000000000003</v>
      </c>
      <c r="C101" s="41">
        <v>106.59</v>
      </c>
    </row>
    <row r="102" spans="1:3" ht="15" thickBot="1" x14ac:dyDescent="0.35">
      <c r="A102" s="40">
        <v>39374</v>
      </c>
      <c r="B102" s="41">
        <v>37.6</v>
      </c>
      <c r="C102" s="41">
        <v>106.33</v>
      </c>
    </row>
    <row r="103" spans="1:3" ht="15" thickBot="1" x14ac:dyDescent="0.35">
      <c r="A103" s="40">
        <v>39471</v>
      </c>
      <c r="B103" s="41">
        <v>40.76</v>
      </c>
      <c r="C103" s="41">
        <v>103.17</v>
      </c>
    </row>
    <row r="104" spans="1:3" ht="15" thickBot="1" x14ac:dyDescent="0.35">
      <c r="A104" s="40">
        <v>39492</v>
      </c>
      <c r="B104" s="41">
        <v>40.229999999999997</v>
      </c>
      <c r="C104" s="41">
        <v>103.7</v>
      </c>
    </row>
    <row r="105" spans="1:3" ht="15" thickBot="1" x14ac:dyDescent="0.35">
      <c r="A105" s="40">
        <v>39507</v>
      </c>
      <c r="B105" s="41">
        <v>40.26</v>
      </c>
      <c r="C105" s="41">
        <v>103.67</v>
      </c>
    </row>
    <row r="106" spans="1:3" ht="15" thickBot="1" x14ac:dyDescent="0.35">
      <c r="A106" s="40">
        <v>39538</v>
      </c>
      <c r="B106" s="41">
        <v>40.15</v>
      </c>
      <c r="C106" s="41">
        <v>103.78</v>
      </c>
    </row>
    <row r="107" spans="1:3" ht="15" thickBot="1" x14ac:dyDescent="0.35">
      <c r="A107" s="40">
        <v>39612</v>
      </c>
      <c r="B107" s="41">
        <v>40.46</v>
      </c>
      <c r="C107" s="41">
        <v>103.47</v>
      </c>
    </row>
    <row r="108" spans="1:3" ht="15" thickBot="1" x14ac:dyDescent="0.35">
      <c r="A108" s="40">
        <v>39643</v>
      </c>
      <c r="B108" s="41">
        <v>40.22</v>
      </c>
      <c r="C108" s="41">
        <v>103.71</v>
      </c>
    </row>
    <row r="109" spans="1:3" ht="15" thickBot="1" x14ac:dyDescent="0.35">
      <c r="A109" s="40">
        <v>39714</v>
      </c>
      <c r="B109" s="41">
        <v>41.12</v>
      </c>
      <c r="C109" s="41">
        <v>102.81</v>
      </c>
    </row>
    <row r="110" spans="1:3" ht="15" thickBot="1" x14ac:dyDescent="0.35">
      <c r="A110" s="40">
        <v>39805</v>
      </c>
      <c r="B110" s="41">
        <v>42.37</v>
      </c>
      <c r="C110" s="41">
        <v>101.56</v>
      </c>
    </row>
    <row r="111" spans="1:3" ht="15" thickBot="1" x14ac:dyDescent="0.35">
      <c r="A111" s="40">
        <v>39847</v>
      </c>
      <c r="B111" s="41">
        <v>41.9</v>
      </c>
      <c r="C111" s="41">
        <v>102.03</v>
      </c>
    </row>
    <row r="112" spans="1:3" ht="15" thickBot="1" x14ac:dyDescent="0.35">
      <c r="A112" s="40">
        <v>39881</v>
      </c>
      <c r="B112" s="41">
        <v>41.71</v>
      </c>
      <c r="C112" s="41">
        <v>102.22</v>
      </c>
    </row>
    <row r="113" spans="1:3" ht="15" thickBot="1" x14ac:dyDescent="0.35">
      <c r="A113" s="40">
        <v>39939</v>
      </c>
      <c r="B113" s="41">
        <v>42.1</v>
      </c>
      <c r="C113" s="41">
        <v>101.83</v>
      </c>
    </row>
    <row r="114" spans="1:3" ht="15" thickBot="1" x14ac:dyDescent="0.35">
      <c r="A114" s="40">
        <v>40011</v>
      </c>
      <c r="B114" s="41">
        <v>41.49</v>
      </c>
      <c r="C114" s="41">
        <v>102.44</v>
      </c>
    </row>
    <row r="115" spans="1:3" ht="15" thickBot="1" x14ac:dyDescent="0.35">
      <c r="A115" s="40">
        <v>40049</v>
      </c>
      <c r="B115" s="41">
        <v>41.36</v>
      </c>
      <c r="C115" s="41">
        <v>102.57</v>
      </c>
    </row>
    <row r="116" spans="1:3" ht="15" thickBot="1" x14ac:dyDescent="0.35">
      <c r="A116" s="40">
        <v>40049</v>
      </c>
      <c r="B116" s="41">
        <v>41.36</v>
      </c>
      <c r="C116" s="41">
        <v>102.57</v>
      </c>
    </row>
    <row r="117" spans="1:3" ht="15" thickBot="1" x14ac:dyDescent="0.35">
      <c r="A117" s="40">
        <v>40099</v>
      </c>
      <c r="B117" s="41">
        <v>43.52</v>
      </c>
      <c r="C117" s="41">
        <v>100.41</v>
      </c>
    </row>
    <row r="118" spans="1:3" ht="15" thickBot="1" x14ac:dyDescent="0.35">
      <c r="A118" s="40">
        <v>40176</v>
      </c>
      <c r="B118" s="41">
        <v>43.24</v>
      </c>
      <c r="C118" s="41">
        <v>100.69</v>
      </c>
    </row>
    <row r="119" spans="1:3" ht="15" thickBot="1" x14ac:dyDescent="0.35">
      <c r="A119" s="40">
        <v>40214</v>
      </c>
      <c r="B119" s="41">
        <v>43.56</v>
      </c>
      <c r="C119" s="41">
        <v>100.37</v>
      </c>
    </row>
    <row r="120" spans="1:3" ht="15" thickBot="1" x14ac:dyDescent="0.35">
      <c r="A120" s="40">
        <v>40235</v>
      </c>
      <c r="B120" s="41">
        <v>44.35</v>
      </c>
      <c r="C120" s="41">
        <v>99.58</v>
      </c>
    </row>
    <row r="121" spans="1:3" ht="15" thickBot="1" x14ac:dyDescent="0.35">
      <c r="A121" s="40">
        <v>40287</v>
      </c>
      <c r="B121" s="41">
        <v>43.86</v>
      </c>
      <c r="C121" s="41">
        <v>100.07</v>
      </c>
    </row>
    <row r="122" spans="1:3" ht="15" thickBot="1" x14ac:dyDescent="0.35">
      <c r="A122" s="40">
        <v>40305</v>
      </c>
      <c r="B122" s="41">
        <v>43.57</v>
      </c>
      <c r="C122" s="41">
        <v>100.36</v>
      </c>
    </row>
    <row r="123" spans="1:3" ht="15" thickBot="1" x14ac:dyDescent="0.35">
      <c r="A123" s="40">
        <v>40331</v>
      </c>
      <c r="B123" s="41">
        <v>43.63</v>
      </c>
      <c r="C123" s="41">
        <v>100.3</v>
      </c>
    </row>
    <row r="124" spans="1:3" ht="15" thickBot="1" x14ac:dyDescent="0.35">
      <c r="A124" s="40">
        <v>40393</v>
      </c>
      <c r="B124" s="41">
        <v>44.25</v>
      </c>
      <c r="C124" s="41">
        <v>99.68</v>
      </c>
    </row>
    <row r="125" spans="1:3" ht="15" thickBot="1" x14ac:dyDescent="0.35">
      <c r="A125" s="40">
        <v>40417</v>
      </c>
      <c r="B125" s="41">
        <v>43.93</v>
      </c>
      <c r="C125" s="41">
        <v>100</v>
      </c>
    </row>
    <row r="126" spans="1:3" ht="15" thickBot="1" x14ac:dyDescent="0.35">
      <c r="A126" s="40">
        <v>40498</v>
      </c>
      <c r="B126" s="41">
        <v>44.1</v>
      </c>
      <c r="C126" s="41">
        <v>99.83</v>
      </c>
    </row>
    <row r="127" spans="1:3" ht="15" thickBot="1" x14ac:dyDescent="0.35">
      <c r="A127" s="40">
        <v>40575</v>
      </c>
      <c r="B127" s="41">
        <v>44.21</v>
      </c>
      <c r="C127" s="41">
        <v>99.72</v>
      </c>
    </row>
    <row r="128" spans="1:3" ht="15" thickBot="1" x14ac:dyDescent="0.35">
      <c r="A128" s="40">
        <v>40679</v>
      </c>
      <c r="B128" s="41">
        <v>44.49</v>
      </c>
      <c r="C128" s="41">
        <v>99.44</v>
      </c>
    </row>
    <row r="129" spans="1:3" ht="15" thickBot="1" x14ac:dyDescent="0.35">
      <c r="A129" s="40">
        <v>40745</v>
      </c>
      <c r="B129" s="41">
        <v>44.79</v>
      </c>
      <c r="C129" s="41">
        <v>99.14</v>
      </c>
    </row>
    <row r="130" spans="1:3" ht="15" thickBot="1" x14ac:dyDescent="0.35">
      <c r="A130" s="40">
        <v>40777</v>
      </c>
      <c r="B130" s="41">
        <v>44.49</v>
      </c>
      <c r="C130" s="41">
        <v>99.44</v>
      </c>
    </row>
    <row r="131" spans="1:3" ht="15" thickBot="1" x14ac:dyDescent="0.35">
      <c r="A131" s="40">
        <v>40800</v>
      </c>
      <c r="B131" s="41">
        <v>44.43</v>
      </c>
      <c r="C131" s="41">
        <v>99.5</v>
      </c>
    </row>
    <row r="132" spans="1:3" ht="15" thickBot="1" x14ac:dyDescent="0.35">
      <c r="A132" s="40">
        <v>40814</v>
      </c>
      <c r="B132" s="41">
        <v>44.44</v>
      </c>
      <c r="C132" s="41">
        <v>99.49</v>
      </c>
    </row>
    <row r="133" spans="1:3" ht="15" thickBot="1" x14ac:dyDescent="0.35">
      <c r="A133" s="40">
        <v>40834</v>
      </c>
      <c r="B133" s="41">
        <v>44.05</v>
      </c>
      <c r="C133" s="41">
        <v>99.88</v>
      </c>
    </row>
    <row r="134" spans="1:3" ht="15" thickBot="1" x14ac:dyDescent="0.35">
      <c r="A134" s="40">
        <v>40864</v>
      </c>
      <c r="B134" s="41">
        <v>43.99</v>
      </c>
      <c r="C134" s="41">
        <v>99.94</v>
      </c>
    </row>
    <row r="135" spans="1:3" ht="15" thickBot="1" x14ac:dyDescent="0.35">
      <c r="A135" s="40">
        <v>40911</v>
      </c>
      <c r="B135" s="41">
        <v>43.95</v>
      </c>
      <c r="C135" s="41">
        <v>99.98</v>
      </c>
    </row>
    <row r="136" spans="1:3" ht="15" thickBot="1" x14ac:dyDescent="0.35">
      <c r="A136" s="40">
        <v>40934</v>
      </c>
      <c r="B136" s="41">
        <v>44.05</v>
      </c>
      <c r="C136" s="41">
        <v>99.88</v>
      </c>
    </row>
    <row r="137" spans="1:3" ht="15" thickBot="1" x14ac:dyDescent="0.35">
      <c r="A137" s="40">
        <v>40963</v>
      </c>
      <c r="B137" s="41">
        <v>44</v>
      </c>
      <c r="C137" s="41">
        <v>99.93</v>
      </c>
    </row>
    <row r="138" spans="1:3" ht="15" thickBot="1" x14ac:dyDescent="0.35">
      <c r="A138" s="40">
        <v>41017</v>
      </c>
      <c r="B138" s="41">
        <v>43.88</v>
      </c>
      <c r="C138" s="41">
        <v>100.05</v>
      </c>
    </row>
    <row r="139" spans="1:3" ht="15" thickBot="1" x14ac:dyDescent="0.35">
      <c r="A139" s="40">
        <v>41059</v>
      </c>
      <c r="B139" s="41">
        <v>43.95</v>
      </c>
      <c r="C139" s="41">
        <v>99.98</v>
      </c>
    </row>
    <row r="140" spans="1:3" ht="15" thickBot="1" x14ac:dyDescent="0.35">
      <c r="A140" s="40">
        <v>41171</v>
      </c>
      <c r="B140" s="41">
        <v>45.18</v>
      </c>
      <c r="C140" s="41">
        <v>98.75</v>
      </c>
    </row>
    <row r="141" spans="1:3" ht="15" thickBot="1" x14ac:dyDescent="0.35">
      <c r="A141" s="40">
        <v>41191</v>
      </c>
      <c r="B141" s="41">
        <v>45.24</v>
      </c>
      <c r="C141" s="41">
        <v>98.69</v>
      </c>
    </row>
    <row r="142" spans="1:3" ht="15" thickBot="1" x14ac:dyDescent="0.35">
      <c r="A142" s="40">
        <v>41228</v>
      </c>
      <c r="B142" s="41">
        <v>45.58</v>
      </c>
      <c r="C142" s="41">
        <v>98.35</v>
      </c>
    </row>
    <row r="143" spans="1:3" ht="15" thickBot="1" x14ac:dyDescent="0.35">
      <c r="A143" s="40">
        <v>41235</v>
      </c>
      <c r="B143" s="41">
        <v>45.41</v>
      </c>
      <c r="C143" s="41">
        <v>98.52</v>
      </c>
    </row>
    <row r="144" spans="1:3" ht="15" thickBot="1" x14ac:dyDescent="0.35">
      <c r="A144" s="40">
        <v>41278</v>
      </c>
      <c r="B144" s="41">
        <v>45.76</v>
      </c>
      <c r="C144" s="41">
        <v>98.17</v>
      </c>
    </row>
    <row r="145" spans="1:3" ht="15" thickBot="1" x14ac:dyDescent="0.35">
      <c r="A145" s="40">
        <v>41368</v>
      </c>
      <c r="B145" s="41">
        <v>46.02</v>
      </c>
      <c r="C145" s="41">
        <v>97.91</v>
      </c>
    </row>
    <row r="146" spans="1:3" ht="15" thickBot="1" x14ac:dyDescent="0.35">
      <c r="A146" s="40">
        <v>41401</v>
      </c>
      <c r="B146" s="41">
        <v>46.12</v>
      </c>
      <c r="C146" s="41">
        <v>97.81</v>
      </c>
    </row>
    <row r="147" spans="1:3" ht="15" thickBot="1" x14ac:dyDescent="0.35">
      <c r="A147" s="40">
        <v>41437</v>
      </c>
      <c r="B147" s="41">
        <v>46.37</v>
      </c>
      <c r="C147" s="41">
        <v>97.56</v>
      </c>
    </row>
    <row r="148" spans="1:3" ht="15" thickBot="1" x14ac:dyDescent="0.35">
      <c r="A148" s="40">
        <v>41471</v>
      </c>
      <c r="B148" s="41">
        <v>46.57</v>
      </c>
      <c r="C148" s="41">
        <v>97.36</v>
      </c>
    </row>
    <row r="149" spans="1:3" ht="15" thickBot="1" x14ac:dyDescent="0.35">
      <c r="A149" s="40">
        <v>41506</v>
      </c>
      <c r="B149" s="41">
        <v>46.46</v>
      </c>
      <c r="C149" s="41">
        <v>97.47</v>
      </c>
    </row>
    <row r="150" spans="1:3" ht="15" thickBot="1" x14ac:dyDescent="0.35">
      <c r="A150" s="40">
        <v>41555</v>
      </c>
      <c r="B150" s="41">
        <v>46.6</v>
      </c>
      <c r="C150" s="41">
        <v>97.33</v>
      </c>
    </row>
    <row r="151" spans="1:3" ht="15" thickBot="1" x14ac:dyDescent="0.35">
      <c r="A151" s="40">
        <v>41556</v>
      </c>
      <c r="B151" s="41">
        <v>46.57</v>
      </c>
      <c r="C151" s="41">
        <v>97.36</v>
      </c>
    </row>
    <row r="152" spans="1:3" ht="15" thickBot="1" x14ac:dyDescent="0.35">
      <c r="A152" s="40">
        <v>41617</v>
      </c>
      <c r="B152" s="42">
        <f>(B151+B153)/2</f>
        <v>46.774999999999999</v>
      </c>
      <c r="C152" s="41">
        <v>143.93</v>
      </c>
    </row>
    <row r="153" spans="1:3" ht="15" thickBot="1" x14ac:dyDescent="0.35">
      <c r="A153" s="40">
        <v>41647</v>
      </c>
      <c r="B153" s="41">
        <v>46.98</v>
      </c>
      <c r="C153" s="41">
        <v>96.95</v>
      </c>
    </row>
    <row r="154" spans="1:3" ht="15" thickBot="1" x14ac:dyDescent="0.35">
      <c r="A154" s="40">
        <v>41683</v>
      </c>
      <c r="B154" s="41">
        <v>47</v>
      </c>
      <c r="C154" s="41">
        <v>96.93</v>
      </c>
    </row>
    <row r="155" spans="1:3" ht="15" thickBot="1" x14ac:dyDescent="0.35">
      <c r="A155" s="40">
        <v>41731</v>
      </c>
      <c r="B155" s="41">
        <v>47.14</v>
      </c>
      <c r="C155" s="41">
        <v>96.79</v>
      </c>
    </row>
    <row r="156" spans="1:3" ht="15" thickBot="1" x14ac:dyDescent="0.35">
      <c r="A156" s="40">
        <v>41764</v>
      </c>
      <c r="B156" s="41">
        <v>47.34</v>
      </c>
      <c r="C156" s="41">
        <v>96.59</v>
      </c>
    </row>
    <row r="157" spans="1:3" ht="15" thickBot="1" x14ac:dyDescent="0.35">
      <c r="A157" s="40">
        <v>41793</v>
      </c>
      <c r="B157" s="41">
        <v>47.32</v>
      </c>
      <c r="C157" s="41">
        <v>96.61</v>
      </c>
    </row>
    <row r="158" spans="1:3" ht="15" thickBot="1" x14ac:dyDescent="0.35">
      <c r="A158" s="40">
        <v>41830</v>
      </c>
      <c r="B158" s="41">
        <v>47.47</v>
      </c>
      <c r="C158" s="41">
        <v>96.46</v>
      </c>
    </row>
    <row r="159" spans="1:3" ht="15" thickBot="1" x14ac:dyDescent="0.35">
      <c r="A159" s="40">
        <v>41877</v>
      </c>
      <c r="B159" s="41">
        <v>47.52</v>
      </c>
      <c r="C159" s="41">
        <v>96.41</v>
      </c>
    </row>
    <row r="160" spans="1:3" ht="15" thickBot="1" x14ac:dyDescent="0.35">
      <c r="A160" s="40">
        <v>41936</v>
      </c>
      <c r="B160" s="41">
        <v>47.49</v>
      </c>
      <c r="C160" s="41">
        <v>96.44</v>
      </c>
    </row>
    <row r="161" spans="1:3" ht="15" thickBot="1" x14ac:dyDescent="0.35">
      <c r="A161" s="40">
        <v>41976</v>
      </c>
      <c r="B161" s="41">
        <v>47.39</v>
      </c>
      <c r="C161" s="41">
        <v>96.54</v>
      </c>
    </row>
    <row r="162" spans="1:3" ht="15" thickBot="1" x14ac:dyDescent="0.35">
      <c r="A162" s="40">
        <v>42009</v>
      </c>
      <c r="B162" s="41">
        <v>47.66</v>
      </c>
      <c r="C162" s="41">
        <v>96.27</v>
      </c>
    </row>
    <row r="163" spans="1:3" ht="15" thickBot="1" x14ac:dyDescent="0.35">
      <c r="A163" s="40">
        <v>42107</v>
      </c>
      <c r="B163" s="41">
        <v>48.05</v>
      </c>
      <c r="C163" s="41">
        <v>95.88</v>
      </c>
    </row>
    <row r="164" spans="1:3" ht="15" thickBot="1" x14ac:dyDescent="0.35">
      <c r="A164" s="40">
        <v>42157</v>
      </c>
      <c r="B164" s="41">
        <v>47.86</v>
      </c>
      <c r="C164" s="41">
        <v>96.07</v>
      </c>
    </row>
    <row r="165" spans="1:3" ht="15" thickBot="1" x14ac:dyDescent="0.35">
      <c r="A165" s="40">
        <v>42220</v>
      </c>
      <c r="B165" s="41">
        <v>47.96</v>
      </c>
      <c r="C165" s="41">
        <v>95.97</v>
      </c>
    </row>
    <row r="166" spans="1:3" ht="15" thickBot="1" x14ac:dyDescent="0.35">
      <c r="A166" s="40">
        <v>42292</v>
      </c>
      <c r="B166" s="41">
        <v>48.05</v>
      </c>
      <c r="C166" s="41">
        <v>95.88</v>
      </c>
    </row>
    <row r="167" spans="1:3" ht="15" thickBot="1" x14ac:dyDescent="0.35">
      <c r="A167" s="40">
        <v>42306</v>
      </c>
      <c r="B167" s="41">
        <v>48.18</v>
      </c>
      <c r="C167" s="41">
        <v>95.75</v>
      </c>
    </row>
    <row r="168" spans="1:3" ht="15" thickBot="1" x14ac:dyDescent="0.35">
      <c r="A168" s="40">
        <v>42353</v>
      </c>
      <c r="B168" s="41">
        <v>48.43</v>
      </c>
      <c r="C168" s="41">
        <v>95.5</v>
      </c>
    </row>
    <row r="169" spans="1:3" ht="15" thickBot="1" x14ac:dyDescent="0.35">
      <c r="A169" s="40">
        <v>42387</v>
      </c>
      <c r="B169" s="41">
        <v>48.63</v>
      </c>
      <c r="C169" s="41">
        <v>95.3</v>
      </c>
    </row>
    <row r="170" spans="1:3" ht="15" thickBot="1" x14ac:dyDescent="0.35">
      <c r="A170" s="40">
        <v>42429</v>
      </c>
      <c r="B170" s="41">
        <v>48.49</v>
      </c>
      <c r="C170" s="41">
        <v>95.44</v>
      </c>
    </row>
    <row r="171" spans="1:3" ht="15" thickBot="1" x14ac:dyDescent="0.35">
      <c r="A171" s="40">
        <v>42471</v>
      </c>
      <c r="B171" s="41">
        <v>48.89</v>
      </c>
      <c r="C171" s="41">
        <v>95.04</v>
      </c>
    </row>
    <row r="172" spans="1:3" ht="15" thickBot="1" x14ac:dyDescent="0.35">
      <c r="A172" s="40">
        <v>42591</v>
      </c>
      <c r="B172" s="41">
        <v>49.31</v>
      </c>
      <c r="C172" s="41">
        <v>94.62</v>
      </c>
    </row>
    <row r="173" spans="1:3" ht="15" thickBot="1" x14ac:dyDescent="0.35">
      <c r="A173" s="40">
        <v>42663</v>
      </c>
      <c r="B173" s="41">
        <v>49.58</v>
      </c>
      <c r="C173" s="41">
        <v>94.35</v>
      </c>
    </row>
    <row r="174" spans="1:3" ht="15" thickBot="1" x14ac:dyDescent="0.35">
      <c r="A174" s="40">
        <v>42702</v>
      </c>
      <c r="B174" s="41">
        <v>50.07</v>
      </c>
      <c r="C174" s="41">
        <v>93.86</v>
      </c>
    </row>
    <row r="175" spans="1:3" ht="15" thickBot="1" x14ac:dyDescent="0.35">
      <c r="A175" s="40">
        <v>42774</v>
      </c>
      <c r="B175" s="41">
        <v>50.28</v>
      </c>
      <c r="C175" s="41">
        <v>93.65</v>
      </c>
    </row>
    <row r="176" spans="1:3" ht="15" thickBot="1" x14ac:dyDescent="0.35">
      <c r="A176" s="40">
        <v>42794</v>
      </c>
      <c r="B176" s="41">
        <v>50.45</v>
      </c>
      <c r="C176" s="41">
        <v>93.48</v>
      </c>
    </row>
    <row r="177" spans="1:3" ht="15" thickBot="1" x14ac:dyDescent="0.35">
      <c r="A177" s="40">
        <v>42865</v>
      </c>
      <c r="B177" s="41">
        <v>50.78</v>
      </c>
      <c r="C177" s="41">
        <v>93.15</v>
      </c>
    </row>
    <row r="178" spans="1:3" ht="15" thickBot="1" x14ac:dyDescent="0.35">
      <c r="A178" s="40">
        <v>42887</v>
      </c>
      <c r="B178" s="41">
        <v>50.73</v>
      </c>
      <c r="C178" s="41">
        <v>93.2</v>
      </c>
    </row>
    <row r="179" spans="1:3" ht="15" thickBot="1" x14ac:dyDescent="0.35">
      <c r="A179" s="40">
        <v>42955</v>
      </c>
      <c r="B179" s="41">
        <v>50.82</v>
      </c>
      <c r="C179" s="41">
        <v>93.11</v>
      </c>
    </row>
    <row r="180" spans="1:3" ht="15" thickBot="1" x14ac:dyDescent="0.35">
      <c r="A180" s="40">
        <v>43011</v>
      </c>
      <c r="B180" s="41">
        <v>50.92</v>
      </c>
      <c r="C180" s="41">
        <v>93.01</v>
      </c>
    </row>
    <row r="181" spans="1:3" ht="15" thickBot="1" x14ac:dyDescent="0.35">
      <c r="A181" s="40">
        <v>43123</v>
      </c>
      <c r="B181" s="41">
        <v>51.17</v>
      </c>
      <c r="C181" s="41">
        <v>92.76</v>
      </c>
    </row>
    <row r="182" spans="1:3" ht="15" thickBot="1" x14ac:dyDescent="0.35">
      <c r="A182" s="40">
        <v>43558</v>
      </c>
      <c r="B182" s="41">
        <v>51.89</v>
      </c>
      <c r="C182" s="41">
        <v>92.04</v>
      </c>
    </row>
    <row r="183" spans="1:3" ht="15" thickBot="1" x14ac:dyDescent="0.35">
      <c r="A183" s="40">
        <v>43921</v>
      </c>
      <c r="B183" s="41">
        <v>53.95</v>
      </c>
      <c r="C183" s="41">
        <v>89.98</v>
      </c>
    </row>
    <row r="184" spans="1:3" ht="15" thickBot="1" x14ac:dyDescent="0.35">
      <c r="A184" s="40">
        <v>44008</v>
      </c>
      <c r="B184" s="41">
        <v>53.42</v>
      </c>
      <c r="C184" s="41">
        <v>90.51</v>
      </c>
    </row>
    <row r="185" spans="1:3" ht="15" thickBot="1" x14ac:dyDescent="0.35">
      <c r="A185" s="40">
        <v>43952</v>
      </c>
      <c r="B185" s="41">
        <v>52.75</v>
      </c>
      <c r="C185" s="41">
        <v>91.18</v>
      </c>
    </row>
    <row r="186" spans="1:3" ht="15" thickBot="1" x14ac:dyDescent="0.35">
      <c r="A186" s="40">
        <v>43964</v>
      </c>
      <c r="B186" s="41">
        <v>52.68</v>
      </c>
      <c r="C186" s="41">
        <v>91.25</v>
      </c>
    </row>
    <row r="187" spans="1:3" ht="15" thickBot="1" x14ac:dyDescent="0.35">
      <c r="A187" s="40">
        <v>43971</v>
      </c>
      <c r="B187" s="41">
        <v>52.75</v>
      </c>
      <c r="C187" s="41">
        <v>91.18</v>
      </c>
    </row>
    <row r="188" spans="1:3" ht="15" thickBot="1" x14ac:dyDescent="0.35">
      <c r="A188" s="40">
        <v>44440</v>
      </c>
      <c r="B188" s="41">
        <v>52.87</v>
      </c>
      <c r="C188" s="41">
        <v>91.06</v>
      </c>
    </row>
    <row r="189" spans="1:3" ht="15" thickBot="1" x14ac:dyDescent="0.35">
      <c r="A189" s="40">
        <v>44600</v>
      </c>
      <c r="B189" s="41">
        <v>54.75</v>
      </c>
      <c r="C189" s="41">
        <v>89.18</v>
      </c>
    </row>
    <row r="190" spans="1:3" ht="15" thickBot="1" x14ac:dyDescent="0.35">
      <c r="A190" s="40">
        <v>44785</v>
      </c>
      <c r="B190" s="41">
        <v>54.87</v>
      </c>
      <c r="C190" s="41">
        <v>89.06</v>
      </c>
    </row>
    <row r="191" spans="1:3" ht="15" thickBot="1" x14ac:dyDescent="0.35">
      <c r="A191" s="40">
        <v>44845</v>
      </c>
      <c r="B191" s="41">
        <v>56.76</v>
      </c>
      <c r="C191" s="41">
        <v>87.17</v>
      </c>
    </row>
    <row r="192" spans="1:3" x14ac:dyDescent="0.3">
      <c r="A192" s="88">
        <v>45595</v>
      </c>
      <c r="B192" s="91">
        <v>58.32</v>
      </c>
    </row>
  </sheetData>
  <autoFilter ref="A1:A192" xr:uid="{B9146749-E813-4B23-945B-FF74FC06CA9D}"/>
  <mergeCells count="2">
    <mergeCell ref="A1:C1"/>
    <mergeCell ref="F1:H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8C25-64F8-442E-BF2A-16091F253F15}">
  <dimension ref="A1:I103"/>
  <sheetViews>
    <sheetView topLeftCell="C1" workbookViewId="0">
      <selection activeCell="F2" sqref="F1:I1048576"/>
    </sheetView>
  </sheetViews>
  <sheetFormatPr baseColWidth="10" defaultRowHeight="14.4" x14ac:dyDescent="0.3"/>
  <cols>
    <col min="1" max="1" width="13.21875" customWidth="1"/>
    <col min="2" max="2" width="18.6640625" customWidth="1"/>
    <col min="3" max="3" width="20.5546875" customWidth="1"/>
    <col min="8" max="8" width="22.21875" customWidth="1"/>
  </cols>
  <sheetData>
    <row r="1" spans="1:9" ht="15" thickBot="1" x14ac:dyDescent="0.35">
      <c r="A1" s="524" t="s">
        <v>11</v>
      </c>
      <c r="B1" s="525"/>
      <c r="C1" s="526"/>
      <c r="F1" s="529" t="s">
        <v>11</v>
      </c>
      <c r="G1" s="531"/>
      <c r="H1" s="531"/>
    </row>
    <row r="2" spans="1:9" ht="29.4" thickBot="1" x14ac:dyDescent="0.35">
      <c r="A2" s="31" t="s">
        <v>1</v>
      </c>
      <c r="B2" s="32" t="s">
        <v>2</v>
      </c>
      <c r="C2" s="32" t="s">
        <v>3</v>
      </c>
      <c r="F2" s="119" t="s">
        <v>1</v>
      </c>
      <c r="G2" s="120" t="s">
        <v>2</v>
      </c>
      <c r="H2" s="120" t="s">
        <v>3</v>
      </c>
    </row>
    <row r="3" spans="1:9" ht="15" thickBot="1" x14ac:dyDescent="0.35">
      <c r="A3" s="38">
        <v>37657</v>
      </c>
      <c r="B3" s="34">
        <v>6.57</v>
      </c>
      <c r="C3" s="37">
        <v>137.36000000000001</v>
      </c>
      <c r="F3" s="84">
        <v>40330</v>
      </c>
      <c r="G3" s="86">
        <v>7.55</v>
      </c>
      <c r="H3" s="86"/>
      <c r="I3">
        <f>G3+H3</f>
        <v>7.55</v>
      </c>
    </row>
    <row r="4" spans="1:9" ht="15" thickBot="1" x14ac:dyDescent="0.35">
      <c r="A4" s="40">
        <v>37720</v>
      </c>
      <c r="B4" s="43">
        <v>6.84</v>
      </c>
      <c r="C4" s="21">
        <v>137.09</v>
      </c>
      <c r="F4" s="84">
        <v>40513</v>
      </c>
      <c r="G4" s="86">
        <v>7.6</v>
      </c>
      <c r="H4" s="86">
        <v>136.33000000000001</v>
      </c>
      <c r="I4">
        <f t="shared" ref="I4:I33" si="0">G4+H4</f>
        <v>143.93</v>
      </c>
    </row>
    <row r="5" spans="1:9" ht="15" thickBot="1" x14ac:dyDescent="0.35">
      <c r="A5" s="40">
        <v>37726</v>
      </c>
      <c r="B5" s="43">
        <v>7.11</v>
      </c>
      <c r="C5" s="21">
        <v>136.82</v>
      </c>
      <c r="F5" s="84">
        <v>40695</v>
      </c>
      <c r="G5" s="86">
        <v>7.65</v>
      </c>
      <c r="H5" s="86">
        <v>136.28</v>
      </c>
      <c r="I5">
        <f t="shared" si="0"/>
        <v>143.93</v>
      </c>
    </row>
    <row r="6" spans="1:9" ht="15" thickBot="1" x14ac:dyDescent="0.35">
      <c r="A6" s="40">
        <v>37732</v>
      </c>
      <c r="B6" s="43">
        <v>6.85</v>
      </c>
      <c r="C6" s="21">
        <v>137.08000000000001</v>
      </c>
      <c r="F6" s="84">
        <v>40878</v>
      </c>
      <c r="G6" s="86">
        <v>6.94</v>
      </c>
      <c r="H6" s="86">
        <v>136.99</v>
      </c>
      <c r="I6">
        <f t="shared" si="0"/>
        <v>143.93</v>
      </c>
    </row>
    <row r="7" spans="1:9" ht="15" thickBot="1" x14ac:dyDescent="0.35">
      <c r="A7" s="40">
        <v>37734</v>
      </c>
      <c r="B7" s="43">
        <v>7.08</v>
      </c>
      <c r="C7" s="21">
        <v>136.85</v>
      </c>
      <c r="F7" s="84">
        <v>41061</v>
      </c>
      <c r="G7" s="86">
        <v>6.85</v>
      </c>
      <c r="H7" s="86">
        <v>137.08000000000001</v>
      </c>
      <c r="I7">
        <f t="shared" si="0"/>
        <v>143.93</v>
      </c>
    </row>
    <row r="8" spans="1:9" ht="15" thickBot="1" x14ac:dyDescent="0.35">
      <c r="A8" s="40">
        <v>37735</v>
      </c>
      <c r="B8" s="43">
        <v>7.15</v>
      </c>
      <c r="C8" s="21">
        <v>136.78</v>
      </c>
      <c r="F8" s="84">
        <v>41244</v>
      </c>
      <c r="G8" s="101">
        <v>6.94</v>
      </c>
      <c r="H8" s="101">
        <f>143.93-G8</f>
        <v>136.99</v>
      </c>
      <c r="I8">
        <f t="shared" si="0"/>
        <v>143.93</v>
      </c>
    </row>
    <row r="9" spans="1:9" ht="15" thickBot="1" x14ac:dyDescent="0.35">
      <c r="A9" s="40">
        <v>37746</v>
      </c>
      <c r="B9" s="43">
        <v>7.12</v>
      </c>
      <c r="C9" s="21">
        <v>136.81</v>
      </c>
      <c r="F9" s="84">
        <v>41426</v>
      </c>
      <c r="G9" s="86">
        <v>7.03</v>
      </c>
      <c r="H9" s="86">
        <v>136.9</v>
      </c>
      <c r="I9">
        <f t="shared" si="0"/>
        <v>143.93</v>
      </c>
    </row>
    <row r="10" spans="1:9" ht="15" thickBot="1" x14ac:dyDescent="0.35">
      <c r="A10" s="40">
        <v>37748</v>
      </c>
      <c r="B10" s="43">
        <v>6.92</v>
      </c>
      <c r="C10" s="21">
        <v>137.01</v>
      </c>
      <c r="F10" s="84">
        <v>41609</v>
      </c>
      <c r="G10" s="101">
        <v>7.18</v>
      </c>
      <c r="H10" s="101">
        <f t="shared" ref="H10:H12" si="1">143.93-G10</f>
        <v>136.75</v>
      </c>
      <c r="I10">
        <f t="shared" si="0"/>
        <v>143.93</v>
      </c>
    </row>
    <row r="11" spans="1:9" ht="15" thickBot="1" x14ac:dyDescent="0.35">
      <c r="A11" s="40">
        <v>37749</v>
      </c>
      <c r="B11" s="43">
        <v>7.05</v>
      </c>
      <c r="C11" s="21">
        <v>136.88</v>
      </c>
      <c r="F11" s="84">
        <v>41791</v>
      </c>
      <c r="G11" s="101">
        <v>7.33</v>
      </c>
      <c r="H11" s="101">
        <f t="shared" si="1"/>
        <v>136.6</v>
      </c>
      <c r="I11">
        <f t="shared" si="0"/>
        <v>143.93</v>
      </c>
    </row>
    <row r="12" spans="1:9" ht="15" thickBot="1" x14ac:dyDescent="0.35">
      <c r="A12" s="40">
        <v>37750</v>
      </c>
      <c r="B12" s="43">
        <v>6.79</v>
      </c>
      <c r="C12" s="21">
        <v>137.13999999999999</v>
      </c>
      <c r="F12" s="84">
        <v>41974</v>
      </c>
      <c r="G12" s="101">
        <v>7.51</v>
      </c>
      <c r="H12" s="101">
        <f t="shared" si="1"/>
        <v>136.42000000000002</v>
      </c>
      <c r="I12">
        <f t="shared" si="0"/>
        <v>143.93</v>
      </c>
    </row>
    <row r="13" spans="1:9" ht="15" thickBot="1" x14ac:dyDescent="0.35">
      <c r="A13" s="40">
        <v>37755</v>
      </c>
      <c r="B13" s="43">
        <v>6.73</v>
      </c>
      <c r="C13" s="21">
        <v>137.19999999999999</v>
      </c>
      <c r="F13" s="84">
        <v>42156</v>
      </c>
      <c r="G13" s="86">
        <v>7.63</v>
      </c>
      <c r="H13" s="86">
        <v>136.30000000000001</v>
      </c>
      <c r="I13">
        <f t="shared" si="0"/>
        <v>143.93</v>
      </c>
    </row>
    <row r="14" spans="1:9" ht="15" thickBot="1" x14ac:dyDescent="0.35">
      <c r="A14" s="40">
        <v>37758</v>
      </c>
      <c r="B14" s="43">
        <v>6.78</v>
      </c>
      <c r="C14" s="21">
        <v>137.15</v>
      </c>
      <c r="F14" s="84">
        <v>42339</v>
      </c>
      <c r="G14" s="101">
        <v>7.28</v>
      </c>
      <c r="H14" s="101">
        <f t="shared" ref="H14:H15" si="2">143.93-G14</f>
        <v>136.65</v>
      </c>
      <c r="I14">
        <f t="shared" si="0"/>
        <v>143.93</v>
      </c>
    </row>
    <row r="15" spans="1:9" ht="15" thickBot="1" x14ac:dyDescent="0.35">
      <c r="A15" s="40">
        <v>37768</v>
      </c>
      <c r="B15" s="43">
        <v>6.5</v>
      </c>
      <c r="C15" s="21">
        <v>137.43</v>
      </c>
      <c r="F15" s="84">
        <v>42522</v>
      </c>
      <c r="G15" s="101">
        <v>6.93</v>
      </c>
      <c r="H15" s="101">
        <f t="shared" si="2"/>
        <v>137</v>
      </c>
      <c r="I15">
        <f t="shared" si="0"/>
        <v>143.93</v>
      </c>
    </row>
    <row r="16" spans="1:9" ht="15" thickBot="1" x14ac:dyDescent="0.35">
      <c r="A16" s="40">
        <v>37777</v>
      </c>
      <c r="B16" s="43">
        <v>7.2</v>
      </c>
      <c r="C16" s="21">
        <v>136.72999999999999</v>
      </c>
      <c r="F16" s="84">
        <v>42705</v>
      </c>
      <c r="G16" s="86">
        <v>6.58</v>
      </c>
      <c r="H16" s="86">
        <v>136</v>
      </c>
      <c r="I16">
        <f t="shared" si="0"/>
        <v>142.58000000000001</v>
      </c>
    </row>
    <row r="17" spans="1:9" ht="15" thickBot="1" x14ac:dyDescent="0.35">
      <c r="A17" s="40">
        <v>37797</v>
      </c>
      <c r="B17" s="43">
        <v>7.17</v>
      </c>
      <c r="C17" s="21">
        <v>136.76</v>
      </c>
      <c r="F17" s="84">
        <v>42887</v>
      </c>
      <c r="G17" s="86">
        <v>6.9</v>
      </c>
      <c r="H17" s="86">
        <v>135.89879999999999</v>
      </c>
      <c r="I17">
        <f t="shared" si="0"/>
        <v>142.7988</v>
      </c>
    </row>
    <row r="18" spans="1:9" ht="15" thickBot="1" x14ac:dyDescent="0.35">
      <c r="A18" s="40">
        <v>37811</v>
      </c>
      <c r="B18" s="43">
        <v>7.46</v>
      </c>
      <c r="C18" s="21">
        <v>136.47</v>
      </c>
      <c r="F18" s="84">
        <v>43070</v>
      </c>
      <c r="G18" s="86">
        <v>6.91</v>
      </c>
      <c r="H18" s="86">
        <v>135.89660000000001</v>
      </c>
      <c r="I18">
        <f t="shared" si="0"/>
        <v>142.8066</v>
      </c>
    </row>
    <row r="19" spans="1:9" ht="15" thickBot="1" x14ac:dyDescent="0.35">
      <c r="A19" s="40">
        <v>37816</v>
      </c>
      <c r="B19" s="43">
        <v>7.28</v>
      </c>
      <c r="C19" s="21">
        <v>136.65</v>
      </c>
      <c r="F19" s="84">
        <v>43252</v>
      </c>
      <c r="G19" s="101">
        <v>6.923</v>
      </c>
      <c r="H19" s="101">
        <f t="shared" ref="H19:H20" si="3">143.93-G19</f>
        <v>137.00700000000001</v>
      </c>
      <c r="I19">
        <f t="shared" si="0"/>
        <v>143.93</v>
      </c>
    </row>
    <row r="20" spans="1:9" ht="15" thickBot="1" x14ac:dyDescent="0.35">
      <c r="A20" s="40">
        <v>37817</v>
      </c>
      <c r="B20" s="43">
        <v>7.36</v>
      </c>
      <c r="C20" s="21">
        <v>136.57</v>
      </c>
      <c r="F20" s="84">
        <v>43435</v>
      </c>
      <c r="G20" s="101">
        <v>6.9359999999999999</v>
      </c>
      <c r="H20" s="101">
        <f t="shared" si="3"/>
        <v>136.994</v>
      </c>
      <c r="I20">
        <f t="shared" si="0"/>
        <v>143.93</v>
      </c>
    </row>
    <row r="21" spans="1:9" ht="15" thickBot="1" x14ac:dyDescent="0.35">
      <c r="A21" s="40">
        <v>37821</v>
      </c>
      <c r="B21" s="43">
        <v>7.38</v>
      </c>
      <c r="C21" s="21">
        <v>136.55000000000001</v>
      </c>
      <c r="F21" s="84">
        <v>43617</v>
      </c>
      <c r="G21" s="86">
        <v>6.95</v>
      </c>
      <c r="H21" s="86">
        <v>135.89439999999999</v>
      </c>
      <c r="I21">
        <f t="shared" si="0"/>
        <v>142.84439999999998</v>
      </c>
    </row>
    <row r="22" spans="1:9" ht="15" thickBot="1" x14ac:dyDescent="0.35">
      <c r="A22" s="40">
        <v>37825</v>
      </c>
      <c r="B22" s="43">
        <v>7.48</v>
      </c>
      <c r="C22" s="21">
        <v>136.44999999999999</v>
      </c>
      <c r="F22" s="84">
        <v>43800</v>
      </c>
      <c r="G22" s="101">
        <v>7.11</v>
      </c>
      <c r="H22" s="101">
        <f>143.93-G22</f>
        <v>136.82</v>
      </c>
      <c r="I22">
        <f t="shared" si="0"/>
        <v>143.93</v>
      </c>
    </row>
    <row r="23" spans="1:9" ht="15" thickBot="1" x14ac:dyDescent="0.35">
      <c r="A23" s="40">
        <v>37831</v>
      </c>
      <c r="B23" s="43">
        <v>7.47</v>
      </c>
      <c r="C23" s="21">
        <v>136.46</v>
      </c>
      <c r="F23" s="84">
        <v>43983</v>
      </c>
      <c r="G23" s="86">
        <v>7.27</v>
      </c>
      <c r="H23" s="86">
        <v>135.87899999999999</v>
      </c>
      <c r="I23">
        <f t="shared" si="0"/>
        <v>143.149</v>
      </c>
    </row>
    <row r="24" spans="1:9" ht="15" thickBot="1" x14ac:dyDescent="0.35">
      <c r="A24" s="40">
        <v>37839</v>
      </c>
      <c r="B24" s="43">
        <v>7.43</v>
      </c>
      <c r="C24" s="21">
        <v>136.5</v>
      </c>
      <c r="F24" s="84">
        <v>44166</v>
      </c>
      <c r="G24" s="101">
        <v>7.07</v>
      </c>
      <c r="H24" s="101">
        <f>143.93-G24</f>
        <v>136.86000000000001</v>
      </c>
      <c r="I24">
        <f t="shared" si="0"/>
        <v>143.93</v>
      </c>
    </row>
    <row r="25" spans="1:9" ht="15" thickBot="1" x14ac:dyDescent="0.35">
      <c r="A25" s="40">
        <v>37845</v>
      </c>
      <c r="B25" s="43">
        <v>7.49</v>
      </c>
      <c r="C25" s="21">
        <v>136.44</v>
      </c>
      <c r="F25" s="84">
        <v>44348</v>
      </c>
      <c r="G25" s="86">
        <v>6.89</v>
      </c>
      <c r="H25" s="122">
        <f>-0.0011*(146)+136</f>
        <v>135.83940000000001</v>
      </c>
      <c r="I25">
        <f t="shared" si="0"/>
        <v>142.7294</v>
      </c>
    </row>
    <row r="26" spans="1:9" ht="15" thickBot="1" x14ac:dyDescent="0.35">
      <c r="A26" s="40">
        <v>37744</v>
      </c>
      <c r="B26" s="43">
        <v>7.5</v>
      </c>
      <c r="C26" s="21">
        <v>136.43</v>
      </c>
      <c r="F26" s="84">
        <v>44531</v>
      </c>
      <c r="G26" s="86">
        <v>7.43</v>
      </c>
      <c r="H26" s="122">
        <f>-0.0011*(196)+136</f>
        <v>135.78440000000001</v>
      </c>
      <c r="I26">
        <f t="shared" si="0"/>
        <v>143.21440000000001</v>
      </c>
    </row>
    <row r="27" spans="1:9" ht="15" thickBot="1" x14ac:dyDescent="0.35">
      <c r="A27" s="40">
        <v>37858</v>
      </c>
      <c r="B27" s="43">
        <v>7.51</v>
      </c>
      <c r="C27" s="21">
        <v>136.41999999999999</v>
      </c>
      <c r="F27" s="84">
        <v>44713</v>
      </c>
      <c r="G27" s="101">
        <v>8.0280000000000005</v>
      </c>
      <c r="H27" s="101">
        <f>143.93-G27</f>
        <v>135.90200000000002</v>
      </c>
      <c r="I27">
        <f t="shared" si="0"/>
        <v>143.93</v>
      </c>
    </row>
    <row r="28" spans="1:9" ht="15" thickBot="1" x14ac:dyDescent="0.35">
      <c r="A28" s="40">
        <v>37865</v>
      </c>
      <c r="B28" s="43">
        <v>7.6</v>
      </c>
      <c r="C28" s="21">
        <v>136.33000000000001</v>
      </c>
      <c r="F28" s="84">
        <v>44896</v>
      </c>
      <c r="G28" s="86">
        <v>8.6300000000000008</v>
      </c>
      <c r="H28" s="122">
        <f>-0.0011*(296)+136</f>
        <v>135.67439999999999</v>
      </c>
      <c r="I28">
        <f t="shared" si="0"/>
        <v>144.30439999999999</v>
      </c>
    </row>
    <row r="29" spans="1:9" ht="15" thickBot="1" x14ac:dyDescent="0.35">
      <c r="A29" s="40">
        <v>37872</v>
      </c>
      <c r="B29" s="43">
        <v>7.5</v>
      </c>
      <c r="C29" s="21">
        <v>136.43</v>
      </c>
      <c r="F29" s="84">
        <v>45078</v>
      </c>
      <c r="G29" s="123">
        <v>8.35</v>
      </c>
      <c r="H29" s="101">
        <f t="shared" ref="H29:H33" si="4">143.93-G29</f>
        <v>135.58000000000001</v>
      </c>
      <c r="I29">
        <f t="shared" si="0"/>
        <v>143.93</v>
      </c>
    </row>
    <row r="30" spans="1:9" ht="15" thickBot="1" x14ac:dyDescent="0.35">
      <c r="A30" s="40">
        <v>37873</v>
      </c>
      <c r="B30" s="43">
        <v>7.55</v>
      </c>
      <c r="C30" s="21">
        <v>136.38</v>
      </c>
      <c r="F30" s="84">
        <v>45261</v>
      </c>
      <c r="G30" s="96">
        <v>8.07</v>
      </c>
      <c r="H30" s="101">
        <f t="shared" si="4"/>
        <v>135.86000000000001</v>
      </c>
      <c r="I30">
        <f t="shared" si="0"/>
        <v>143.93</v>
      </c>
    </row>
    <row r="31" spans="1:9" ht="15" thickBot="1" x14ac:dyDescent="0.35">
      <c r="A31" s="40">
        <v>37881</v>
      </c>
      <c r="B31" s="43">
        <v>7.57</v>
      </c>
      <c r="C31" s="21">
        <v>136.36000000000001</v>
      </c>
      <c r="F31" s="84">
        <v>45444</v>
      </c>
      <c r="G31" s="96">
        <v>7.79</v>
      </c>
      <c r="H31" s="101">
        <f t="shared" si="4"/>
        <v>136.14000000000001</v>
      </c>
      <c r="I31">
        <f t="shared" si="0"/>
        <v>143.93</v>
      </c>
    </row>
    <row r="32" spans="1:9" ht="15" thickBot="1" x14ac:dyDescent="0.35">
      <c r="A32" s="40">
        <v>37895</v>
      </c>
      <c r="B32" s="43">
        <v>7.5</v>
      </c>
      <c r="C32" s="21">
        <v>136.43</v>
      </c>
      <c r="F32" s="84">
        <v>45627</v>
      </c>
      <c r="G32" s="86">
        <v>7.51</v>
      </c>
      <c r="H32" s="101">
        <f t="shared" si="4"/>
        <v>136.42000000000002</v>
      </c>
      <c r="I32">
        <f t="shared" si="0"/>
        <v>143.93</v>
      </c>
    </row>
    <row r="33" spans="1:9" ht="15" thickBot="1" x14ac:dyDescent="0.35">
      <c r="A33" s="40">
        <v>37900</v>
      </c>
      <c r="B33" s="43">
        <v>7.6</v>
      </c>
      <c r="C33" s="21">
        <v>136.33000000000001</v>
      </c>
      <c r="F33" s="84">
        <v>45992</v>
      </c>
      <c r="G33" s="96">
        <v>7.67</v>
      </c>
      <c r="H33" s="101">
        <f t="shared" si="4"/>
        <v>136.26000000000002</v>
      </c>
      <c r="I33">
        <f t="shared" si="0"/>
        <v>143.93</v>
      </c>
    </row>
    <row r="34" spans="1:9" ht="15" thickBot="1" x14ac:dyDescent="0.35">
      <c r="A34" s="40">
        <v>37937</v>
      </c>
      <c r="B34" s="43">
        <v>6.9</v>
      </c>
      <c r="C34" s="21">
        <v>137.03</v>
      </c>
    </row>
    <row r="35" spans="1:9" ht="15" thickBot="1" x14ac:dyDescent="0.35">
      <c r="A35" s="40">
        <v>37952</v>
      </c>
      <c r="B35" s="43">
        <v>6.18</v>
      </c>
      <c r="C35" s="21">
        <v>137.75</v>
      </c>
    </row>
    <row r="36" spans="1:9" ht="15" thickBot="1" x14ac:dyDescent="0.35">
      <c r="A36" s="40">
        <v>37993</v>
      </c>
      <c r="B36" s="43">
        <v>6.98</v>
      </c>
      <c r="C36" s="21">
        <v>136.94999999999999</v>
      </c>
    </row>
    <row r="37" spans="1:9" ht="15" thickBot="1" x14ac:dyDescent="0.35">
      <c r="A37" s="40">
        <v>38000</v>
      </c>
      <c r="B37" s="43">
        <v>6.78</v>
      </c>
      <c r="C37" s="21">
        <v>137.15</v>
      </c>
    </row>
    <row r="38" spans="1:9" ht="15" thickBot="1" x14ac:dyDescent="0.35">
      <c r="A38" s="40">
        <v>38009</v>
      </c>
      <c r="B38" s="43">
        <v>6.9</v>
      </c>
      <c r="C38" s="21">
        <v>137.03</v>
      </c>
    </row>
    <row r="39" spans="1:9" ht="15" thickBot="1" x14ac:dyDescent="0.35">
      <c r="A39" s="40">
        <v>38049</v>
      </c>
      <c r="B39" s="43">
        <v>6.94</v>
      </c>
      <c r="C39" s="21">
        <v>136.99</v>
      </c>
    </row>
    <row r="40" spans="1:9" ht="15" thickBot="1" x14ac:dyDescent="0.35">
      <c r="A40" s="40">
        <v>38061</v>
      </c>
      <c r="B40" s="43">
        <v>6.98</v>
      </c>
      <c r="C40" s="21">
        <v>136.94999999999999</v>
      </c>
    </row>
    <row r="41" spans="1:9" ht="15" thickBot="1" x14ac:dyDescent="0.35">
      <c r="A41" s="40">
        <v>38068</v>
      </c>
      <c r="B41" s="43">
        <v>6.97</v>
      </c>
      <c r="C41" s="21">
        <v>136.96</v>
      </c>
    </row>
    <row r="42" spans="1:9" ht="15" thickBot="1" x14ac:dyDescent="0.35">
      <c r="A42" s="40">
        <v>38078</v>
      </c>
      <c r="B42" s="43">
        <v>6.9</v>
      </c>
      <c r="C42" s="21">
        <v>137.03</v>
      </c>
    </row>
    <row r="43" spans="1:9" ht="15" thickBot="1" x14ac:dyDescent="0.35">
      <c r="A43" s="40">
        <v>38090</v>
      </c>
      <c r="B43" s="43">
        <v>7.12</v>
      </c>
      <c r="C43" s="21">
        <v>136.81</v>
      </c>
    </row>
    <row r="44" spans="1:9" ht="15" thickBot="1" x14ac:dyDescent="0.35">
      <c r="A44" s="40">
        <v>38107</v>
      </c>
      <c r="B44" s="43">
        <v>6.97</v>
      </c>
      <c r="C44" s="21">
        <v>136.96</v>
      </c>
    </row>
    <row r="45" spans="1:9" ht="15" thickBot="1" x14ac:dyDescent="0.35">
      <c r="A45" s="40">
        <v>38124</v>
      </c>
      <c r="B45" s="43">
        <v>6.92</v>
      </c>
      <c r="C45" s="21">
        <v>137.01</v>
      </c>
    </row>
    <row r="46" spans="1:9" ht="15" thickBot="1" x14ac:dyDescent="0.35">
      <c r="A46" s="40">
        <v>38133</v>
      </c>
      <c r="B46" s="43">
        <v>6.82</v>
      </c>
      <c r="C46" s="21">
        <v>137.11000000000001</v>
      </c>
    </row>
    <row r="47" spans="1:9" ht="15" thickBot="1" x14ac:dyDescent="0.35">
      <c r="A47" s="40">
        <v>38153</v>
      </c>
      <c r="B47" s="43">
        <v>6.57</v>
      </c>
      <c r="C47" s="21">
        <v>137.36000000000001</v>
      </c>
    </row>
    <row r="48" spans="1:9" ht="15" thickBot="1" x14ac:dyDescent="0.35">
      <c r="A48" s="40">
        <v>38161</v>
      </c>
      <c r="B48" s="43">
        <v>6.62</v>
      </c>
      <c r="C48" s="21">
        <v>137.31</v>
      </c>
    </row>
    <row r="49" spans="1:3" ht="15" thickBot="1" x14ac:dyDescent="0.35">
      <c r="A49" s="40">
        <v>38169</v>
      </c>
      <c r="B49" s="43">
        <v>6.89</v>
      </c>
      <c r="C49" s="21">
        <v>137.04</v>
      </c>
    </row>
    <row r="50" spans="1:3" ht="15" thickBot="1" x14ac:dyDescent="0.35">
      <c r="A50" s="40">
        <v>38183</v>
      </c>
      <c r="B50" s="43">
        <v>6.97</v>
      </c>
      <c r="C50" s="21">
        <v>136.96</v>
      </c>
    </row>
    <row r="51" spans="1:3" ht="15" thickBot="1" x14ac:dyDescent="0.35">
      <c r="A51" s="40">
        <v>38197</v>
      </c>
      <c r="B51" s="43">
        <v>6.9</v>
      </c>
      <c r="C51" s="21">
        <v>137.03</v>
      </c>
    </row>
    <row r="52" spans="1:3" ht="15" thickBot="1" x14ac:dyDescent="0.35">
      <c r="A52" s="40">
        <v>38203</v>
      </c>
      <c r="B52" s="43">
        <v>6.92</v>
      </c>
      <c r="C52" s="21">
        <v>137.01</v>
      </c>
    </row>
    <row r="53" spans="1:3" ht="15" thickBot="1" x14ac:dyDescent="0.35">
      <c r="A53" s="40">
        <v>38209</v>
      </c>
      <c r="B53" s="43">
        <v>6.6</v>
      </c>
      <c r="C53" s="21">
        <v>137.33000000000001</v>
      </c>
    </row>
    <row r="54" spans="1:3" ht="15" thickBot="1" x14ac:dyDescent="0.35">
      <c r="A54" s="40">
        <v>38217</v>
      </c>
      <c r="B54" s="43">
        <v>6.9</v>
      </c>
      <c r="C54" s="21">
        <v>137.03</v>
      </c>
    </row>
    <row r="55" spans="1:3" ht="15" thickBot="1" x14ac:dyDescent="0.35">
      <c r="A55" s="40">
        <v>38226</v>
      </c>
      <c r="B55" s="43">
        <v>6.82</v>
      </c>
      <c r="C55" s="21">
        <v>137.11000000000001</v>
      </c>
    </row>
    <row r="56" spans="1:3" ht="15" thickBot="1" x14ac:dyDescent="0.35">
      <c r="A56" s="40">
        <v>38230</v>
      </c>
      <c r="B56" s="43">
        <v>6.97</v>
      </c>
      <c r="C56" s="21">
        <v>136.96</v>
      </c>
    </row>
    <row r="57" spans="1:3" ht="15" thickBot="1" x14ac:dyDescent="0.35">
      <c r="A57" s="40">
        <v>38237</v>
      </c>
      <c r="B57" s="43">
        <v>6.95</v>
      </c>
      <c r="C57" s="21">
        <v>136.97999999999999</v>
      </c>
    </row>
    <row r="58" spans="1:3" ht="15" thickBot="1" x14ac:dyDescent="0.35">
      <c r="A58" s="40">
        <v>38246</v>
      </c>
      <c r="B58" s="43">
        <v>6.92</v>
      </c>
      <c r="C58" s="21">
        <v>137.01</v>
      </c>
    </row>
    <row r="59" spans="1:3" ht="15" thickBot="1" x14ac:dyDescent="0.35">
      <c r="A59" s="40">
        <v>38251</v>
      </c>
      <c r="B59" s="43">
        <v>6.87</v>
      </c>
      <c r="C59" s="21">
        <v>137.06</v>
      </c>
    </row>
    <row r="60" spans="1:3" ht="15" thickBot="1" x14ac:dyDescent="0.35">
      <c r="A60" s="40">
        <v>38286</v>
      </c>
      <c r="B60" s="43">
        <v>6.94</v>
      </c>
      <c r="C60" s="21">
        <v>136.99</v>
      </c>
    </row>
    <row r="61" spans="1:3" ht="15" thickBot="1" x14ac:dyDescent="0.35">
      <c r="A61" s="40">
        <v>38308</v>
      </c>
      <c r="B61" s="43">
        <v>6.91</v>
      </c>
      <c r="C61" s="21">
        <v>137.02000000000001</v>
      </c>
    </row>
    <row r="62" spans="1:3" ht="15" thickBot="1" x14ac:dyDescent="0.35">
      <c r="A62" s="40">
        <v>38313</v>
      </c>
      <c r="B62" s="43">
        <v>7.22</v>
      </c>
      <c r="C62" s="21">
        <v>136.71</v>
      </c>
    </row>
    <row r="63" spans="1:3" ht="15" thickBot="1" x14ac:dyDescent="0.35">
      <c r="A63" s="40">
        <v>38342</v>
      </c>
      <c r="B63" s="43">
        <v>6.84</v>
      </c>
      <c r="C63" s="21">
        <v>137.09</v>
      </c>
    </row>
    <row r="64" spans="1:3" ht="15" thickBot="1" x14ac:dyDescent="0.35">
      <c r="A64" s="40">
        <v>38364</v>
      </c>
      <c r="B64" s="43">
        <v>6.9</v>
      </c>
      <c r="C64" s="21">
        <v>137.03</v>
      </c>
    </row>
    <row r="65" spans="1:3" ht="15" thickBot="1" x14ac:dyDescent="0.35">
      <c r="A65" s="40">
        <v>38378</v>
      </c>
      <c r="B65" s="43">
        <v>6.91</v>
      </c>
      <c r="C65" s="21">
        <v>137.02000000000001</v>
      </c>
    </row>
    <row r="66" spans="1:3" ht="15" thickBot="1" x14ac:dyDescent="0.35">
      <c r="A66" s="40">
        <v>38391</v>
      </c>
      <c r="B66" s="43">
        <v>6.88</v>
      </c>
      <c r="C66" s="21">
        <v>137.05000000000001</v>
      </c>
    </row>
    <row r="67" spans="1:3" ht="15" thickBot="1" x14ac:dyDescent="0.35">
      <c r="A67" s="40">
        <v>38404</v>
      </c>
      <c r="B67" s="43">
        <v>7</v>
      </c>
      <c r="C67" s="21">
        <v>136.93</v>
      </c>
    </row>
    <row r="68" spans="1:3" ht="15" thickBot="1" x14ac:dyDescent="0.35">
      <c r="A68" s="40">
        <v>38427</v>
      </c>
      <c r="B68" s="43">
        <v>6.91</v>
      </c>
      <c r="C68" s="21">
        <v>137.02000000000001</v>
      </c>
    </row>
    <row r="69" spans="1:3" ht="15" thickBot="1" x14ac:dyDescent="0.35">
      <c r="A69" s="40">
        <v>38442</v>
      </c>
      <c r="B69" s="43">
        <v>7.01</v>
      </c>
      <c r="C69" s="21">
        <v>136.91999999999999</v>
      </c>
    </row>
    <row r="70" spans="1:3" ht="15" thickBot="1" x14ac:dyDescent="0.35">
      <c r="A70" s="40">
        <v>38453</v>
      </c>
      <c r="B70" s="43">
        <v>7.03</v>
      </c>
      <c r="C70" s="21">
        <v>136.9</v>
      </c>
    </row>
    <row r="71" spans="1:3" ht="15" thickBot="1" x14ac:dyDescent="0.35">
      <c r="A71" s="40">
        <v>38461</v>
      </c>
      <c r="B71" s="43">
        <v>6.55</v>
      </c>
      <c r="C71" s="21">
        <v>137.38</v>
      </c>
    </row>
    <row r="72" spans="1:3" ht="15" thickBot="1" x14ac:dyDescent="0.35">
      <c r="A72" s="40">
        <v>38467</v>
      </c>
      <c r="B72" s="43">
        <v>6.95</v>
      </c>
      <c r="C72" s="21">
        <v>136.97999999999999</v>
      </c>
    </row>
    <row r="73" spans="1:3" ht="15" thickBot="1" x14ac:dyDescent="0.35">
      <c r="A73" s="40">
        <v>38474</v>
      </c>
      <c r="B73" s="43">
        <v>6.79</v>
      </c>
      <c r="C73" s="21">
        <v>137.13999999999999</v>
      </c>
    </row>
    <row r="74" spans="1:3" ht="15" thickBot="1" x14ac:dyDescent="0.35">
      <c r="A74" s="40">
        <v>38485</v>
      </c>
      <c r="B74" s="43">
        <v>6.16</v>
      </c>
      <c r="C74" s="21">
        <v>137.77000000000001</v>
      </c>
    </row>
    <row r="75" spans="1:3" ht="15" thickBot="1" x14ac:dyDescent="0.35">
      <c r="A75" s="40">
        <v>38740</v>
      </c>
      <c r="B75" s="43">
        <v>6.86</v>
      </c>
      <c r="C75" s="21">
        <v>137.07</v>
      </c>
    </row>
    <row r="76" spans="1:3" ht="15" thickBot="1" x14ac:dyDescent="0.35">
      <c r="A76" s="40">
        <v>38754</v>
      </c>
      <c r="B76" s="43">
        <v>6.87</v>
      </c>
      <c r="C76" s="21">
        <v>137.06</v>
      </c>
    </row>
    <row r="77" spans="1:3" ht="15" thickBot="1" x14ac:dyDescent="0.35">
      <c r="A77" s="40">
        <v>40575</v>
      </c>
      <c r="B77" s="43">
        <v>7.6</v>
      </c>
      <c r="C77" s="41">
        <v>136.33000000000001</v>
      </c>
    </row>
    <row r="78" spans="1:3" ht="15" thickBot="1" x14ac:dyDescent="0.35">
      <c r="A78" s="40">
        <v>40679</v>
      </c>
      <c r="B78" s="43">
        <v>7.65</v>
      </c>
      <c r="C78" s="41">
        <v>136.28</v>
      </c>
    </row>
    <row r="79" spans="1:3" ht="15" thickBot="1" x14ac:dyDescent="0.35">
      <c r="A79" s="40">
        <v>40745</v>
      </c>
      <c r="B79" s="43">
        <v>7.69</v>
      </c>
      <c r="C79" s="41">
        <v>136.24</v>
      </c>
    </row>
    <row r="80" spans="1:3" ht="15" thickBot="1" x14ac:dyDescent="0.35">
      <c r="A80" s="40">
        <v>40777</v>
      </c>
      <c r="B80" s="43">
        <v>7.65</v>
      </c>
      <c r="C80" s="41">
        <v>136.28</v>
      </c>
    </row>
    <row r="81" spans="1:3" ht="15" thickBot="1" x14ac:dyDescent="0.35">
      <c r="A81" s="40">
        <v>40800</v>
      </c>
      <c r="B81" s="43">
        <v>7.68</v>
      </c>
      <c r="C81" s="41">
        <v>136.25</v>
      </c>
    </row>
    <row r="82" spans="1:3" ht="15" thickBot="1" x14ac:dyDescent="0.35">
      <c r="A82" s="40">
        <v>40814</v>
      </c>
      <c r="B82" s="43">
        <v>7.7</v>
      </c>
      <c r="C82" s="41">
        <v>136.22999999999999</v>
      </c>
    </row>
    <row r="83" spans="1:3" ht="15" thickBot="1" x14ac:dyDescent="0.35">
      <c r="A83" s="40">
        <v>40834</v>
      </c>
      <c r="B83" s="43">
        <v>7.7</v>
      </c>
      <c r="C83" s="41">
        <v>136.22999999999999</v>
      </c>
    </row>
    <row r="84" spans="1:3" ht="15" thickBot="1" x14ac:dyDescent="0.35">
      <c r="A84" s="40">
        <v>40911</v>
      </c>
      <c r="B84" s="43">
        <v>6.75</v>
      </c>
      <c r="C84" s="41">
        <v>137.18</v>
      </c>
    </row>
    <row r="85" spans="1:3" ht="15" thickBot="1" x14ac:dyDescent="0.35">
      <c r="A85" s="40">
        <v>40934</v>
      </c>
      <c r="B85" s="43">
        <v>6.94</v>
      </c>
      <c r="C85" s="41">
        <v>136.99</v>
      </c>
    </row>
    <row r="86" spans="1:3" ht="15" thickBot="1" x14ac:dyDescent="0.35">
      <c r="A86" s="40">
        <v>40963</v>
      </c>
      <c r="B86" s="43">
        <v>7.34</v>
      </c>
      <c r="C86" s="41">
        <v>136.59</v>
      </c>
    </row>
    <row r="87" spans="1:3" ht="15" thickBot="1" x14ac:dyDescent="0.35">
      <c r="A87" s="40">
        <v>41059</v>
      </c>
      <c r="B87" s="43">
        <v>6.85</v>
      </c>
      <c r="C87" s="41">
        <v>137.08000000000001</v>
      </c>
    </row>
    <row r="88" spans="1:3" ht="15" thickBot="1" x14ac:dyDescent="0.35">
      <c r="A88" s="40">
        <v>41368</v>
      </c>
      <c r="B88" s="43">
        <v>7.17</v>
      </c>
      <c r="C88" s="41">
        <v>136.76</v>
      </c>
    </row>
    <row r="89" spans="1:3" ht="15" thickBot="1" x14ac:dyDescent="0.35">
      <c r="A89" s="40">
        <v>41401</v>
      </c>
      <c r="B89" s="43">
        <v>7.26</v>
      </c>
      <c r="C89" s="41">
        <v>136.66999999999999</v>
      </c>
    </row>
    <row r="90" spans="1:3" ht="15" thickBot="1" x14ac:dyDescent="0.35">
      <c r="A90" s="40">
        <v>41437</v>
      </c>
      <c r="B90" s="43">
        <v>7.03</v>
      </c>
      <c r="C90" s="41">
        <v>136.9</v>
      </c>
    </row>
    <row r="91" spans="1:3" ht="15" thickBot="1" x14ac:dyDescent="0.35">
      <c r="A91" s="40">
        <v>42220</v>
      </c>
      <c r="B91" s="43">
        <v>7.63</v>
      </c>
      <c r="C91" s="41">
        <v>136.30000000000001</v>
      </c>
    </row>
    <row r="92" spans="1:3" ht="15" thickBot="1" x14ac:dyDescent="0.35">
      <c r="A92" s="40">
        <v>42702</v>
      </c>
      <c r="B92" s="43">
        <v>6.58</v>
      </c>
      <c r="C92" s="41">
        <v>136</v>
      </c>
    </row>
    <row r="93" spans="1:3" ht="15" thickBot="1" x14ac:dyDescent="0.35">
      <c r="A93" s="40">
        <v>42865</v>
      </c>
      <c r="B93" s="43">
        <v>5.83</v>
      </c>
      <c r="C93" s="44">
        <f>-0.0011*(91)+136</f>
        <v>135.8999</v>
      </c>
    </row>
    <row r="94" spans="1:3" ht="15" thickBot="1" x14ac:dyDescent="0.35">
      <c r="A94" s="40">
        <v>42887</v>
      </c>
      <c r="B94" s="43">
        <v>6.9</v>
      </c>
      <c r="C94" s="44">
        <f>-0.0011*(92)+136</f>
        <v>135.89879999999999</v>
      </c>
    </row>
    <row r="95" spans="1:3" ht="15" thickBot="1" x14ac:dyDescent="0.35">
      <c r="A95" s="40">
        <v>43011</v>
      </c>
      <c r="B95" s="43">
        <v>5.18</v>
      </c>
      <c r="C95" s="44">
        <f>-0.0011*(93)+136</f>
        <v>135.89769999999999</v>
      </c>
    </row>
    <row r="96" spans="1:3" ht="15" thickBot="1" x14ac:dyDescent="0.35">
      <c r="A96" s="40">
        <v>43123</v>
      </c>
      <c r="B96" s="43">
        <v>6.91</v>
      </c>
      <c r="C96" s="44">
        <f>-0.0011*(94)+136</f>
        <v>135.89660000000001</v>
      </c>
    </row>
    <row r="97" spans="1:3" ht="15" thickBot="1" x14ac:dyDescent="0.35">
      <c r="A97" s="40">
        <v>43558</v>
      </c>
      <c r="B97" s="43">
        <v>6.95</v>
      </c>
      <c r="C97" s="44">
        <f>-0.0011*(96)+136</f>
        <v>135.89439999999999</v>
      </c>
    </row>
    <row r="98" spans="1:3" ht="15" thickBot="1" x14ac:dyDescent="0.35">
      <c r="A98" s="40">
        <v>44008</v>
      </c>
      <c r="B98" s="35">
        <v>7.27</v>
      </c>
      <c r="C98" s="44">
        <f>-0.0011*(110)+136</f>
        <v>135.87899999999999</v>
      </c>
    </row>
    <row r="99" spans="1:3" ht="15" thickBot="1" x14ac:dyDescent="0.35">
      <c r="A99" s="40">
        <v>43952</v>
      </c>
      <c r="B99" s="35">
        <v>7.38</v>
      </c>
      <c r="C99" s="44">
        <f t="shared" ref="C99" si="5">-0.0011*(96)+136</f>
        <v>135.89439999999999</v>
      </c>
    </row>
    <row r="100" spans="1:3" ht="15" thickBot="1" x14ac:dyDescent="0.35">
      <c r="A100" s="40">
        <v>44440</v>
      </c>
      <c r="B100" s="43">
        <v>6.89</v>
      </c>
      <c r="C100" s="44">
        <f>-0.0011*(146)+136</f>
        <v>135.83940000000001</v>
      </c>
    </row>
    <row r="101" spans="1:3" ht="15" thickBot="1" x14ac:dyDescent="0.35">
      <c r="A101" s="40">
        <v>44600</v>
      </c>
      <c r="B101" s="43">
        <v>7.43</v>
      </c>
      <c r="C101" s="44">
        <f>-0.0011*(196)+136</f>
        <v>135.78440000000001</v>
      </c>
    </row>
    <row r="102" spans="1:3" ht="15" thickBot="1" x14ac:dyDescent="0.35">
      <c r="A102" s="40">
        <v>44845</v>
      </c>
      <c r="B102" s="43">
        <v>8.6300000000000008</v>
      </c>
      <c r="C102" s="44">
        <f>-0.0011*(296)+136</f>
        <v>135.67439999999999</v>
      </c>
    </row>
    <row r="103" spans="1:3" x14ac:dyDescent="0.3">
      <c r="A103" s="88">
        <v>45595</v>
      </c>
      <c r="B103" s="92">
        <v>7.51</v>
      </c>
    </row>
  </sheetData>
  <autoFilter ref="A1:A103" xr:uid="{BAFC8C25-64F8-442E-BF2A-16091F253F15}"/>
  <mergeCells count="2">
    <mergeCell ref="A1:C1"/>
    <mergeCell ref="F1:H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66B4-6309-463B-AE99-EDC7FAF52174}">
  <dimension ref="A1:H354"/>
  <sheetViews>
    <sheetView workbookViewId="0">
      <selection activeCell="E2" sqref="E1:H1048576"/>
    </sheetView>
  </sheetViews>
  <sheetFormatPr baseColWidth="10" defaultRowHeight="14.4" x14ac:dyDescent="0.3"/>
  <cols>
    <col min="1" max="1" width="15.5546875" customWidth="1"/>
    <col min="2" max="2" width="16.5546875" customWidth="1"/>
    <col min="3" max="3" width="16" customWidth="1"/>
    <col min="6" max="6" width="11.5546875" style="81"/>
    <col min="7" max="7" width="22.21875" customWidth="1"/>
  </cols>
  <sheetData>
    <row r="1" spans="1:8" ht="15" thickBot="1" x14ac:dyDescent="0.35">
      <c r="A1" s="506" t="s">
        <v>12</v>
      </c>
      <c r="B1" s="507"/>
      <c r="C1" s="508"/>
      <c r="E1" s="529" t="s">
        <v>11</v>
      </c>
      <c r="F1" s="531"/>
      <c r="G1" s="531"/>
    </row>
    <row r="2" spans="1:8" ht="29.4" thickBot="1" x14ac:dyDescent="0.35">
      <c r="A2" s="31" t="s">
        <v>1</v>
      </c>
      <c r="B2" s="32" t="s">
        <v>2</v>
      </c>
      <c r="C2" s="32" t="s">
        <v>3</v>
      </c>
      <c r="E2" s="95" t="s">
        <v>1</v>
      </c>
      <c r="F2" s="97" t="s">
        <v>2</v>
      </c>
      <c r="G2" s="97" t="s">
        <v>3</v>
      </c>
    </row>
    <row r="3" spans="1:8" ht="15" thickBot="1" x14ac:dyDescent="0.35">
      <c r="A3" s="46">
        <v>37722</v>
      </c>
      <c r="B3" s="47">
        <v>83.41</v>
      </c>
      <c r="C3" s="37">
        <v>118.21</v>
      </c>
      <c r="E3" s="84">
        <v>40330</v>
      </c>
      <c r="F3" s="114">
        <v>91.2</v>
      </c>
      <c r="G3" s="114">
        <v>110.42</v>
      </c>
      <c r="H3">
        <f>F3+G3</f>
        <v>201.62</v>
      </c>
    </row>
    <row r="4" spans="1:8" ht="15" thickBot="1" x14ac:dyDescent="0.35">
      <c r="A4" s="48">
        <v>37726</v>
      </c>
      <c r="B4" s="49">
        <v>83.41</v>
      </c>
      <c r="C4" s="21">
        <v>118.21</v>
      </c>
      <c r="E4" s="84">
        <v>40513</v>
      </c>
      <c r="F4" s="114">
        <v>92.39</v>
      </c>
      <c r="G4" s="114">
        <v>109.23</v>
      </c>
      <c r="H4">
        <f t="shared" ref="H4:H34" si="0">F4+G4</f>
        <v>201.62</v>
      </c>
    </row>
    <row r="5" spans="1:8" ht="15" thickBot="1" x14ac:dyDescent="0.35">
      <c r="A5" s="48">
        <v>37732</v>
      </c>
      <c r="B5" s="49">
        <v>83.21</v>
      </c>
      <c r="C5" s="21">
        <v>118.41</v>
      </c>
      <c r="E5" s="84">
        <v>40695</v>
      </c>
      <c r="F5" s="114">
        <v>92.43</v>
      </c>
      <c r="G5" s="114">
        <v>109.19</v>
      </c>
      <c r="H5">
        <f t="shared" si="0"/>
        <v>201.62</v>
      </c>
    </row>
    <row r="6" spans="1:8" ht="15" thickBot="1" x14ac:dyDescent="0.35">
      <c r="A6" s="48">
        <v>37734</v>
      </c>
      <c r="B6" s="49">
        <v>83.3</v>
      </c>
      <c r="C6" s="21">
        <v>118.32</v>
      </c>
      <c r="E6" s="84">
        <v>40878</v>
      </c>
      <c r="F6" s="114">
        <v>91.3</v>
      </c>
      <c r="G6" s="114">
        <v>110.32</v>
      </c>
      <c r="H6">
        <f t="shared" si="0"/>
        <v>201.62</v>
      </c>
    </row>
    <row r="7" spans="1:8" ht="15" thickBot="1" x14ac:dyDescent="0.35">
      <c r="A7" s="48">
        <v>37735</v>
      </c>
      <c r="B7" s="49">
        <v>83.22</v>
      </c>
      <c r="C7" s="21">
        <v>118.4</v>
      </c>
      <c r="E7" s="84">
        <v>41061</v>
      </c>
      <c r="F7" s="114">
        <v>91.15</v>
      </c>
      <c r="G7" s="114">
        <v>110.47</v>
      </c>
      <c r="H7">
        <f t="shared" si="0"/>
        <v>201.62</v>
      </c>
    </row>
    <row r="8" spans="1:8" ht="15" thickBot="1" x14ac:dyDescent="0.35">
      <c r="A8" s="48">
        <v>37739</v>
      </c>
      <c r="B8" s="49">
        <v>83.4</v>
      </c>
      <c r="C8" s="21">
        <v>118.22</v>
      </c>
      <c r="E8" s="84">
        <v>41244</v>
      </c>
      <c r="F8" s="114">
        <v>91.52</v>
      </c>
      <c r="G8" s="114">
        <v>110.1</v>
      </c>
      <c r="H8">
        <f t="shared" si="0"/>
        <v>201.62</v>
      </c>
    </row>
    <row r="9" spans="1:8" ht="15" thickBot="1" x14ac:dyDescent="0.35">
      <c r="A9" s="48">
        <v>37747</v>
      </c>
      <c r="B9" s="49">
        <v>83.25</v>
      </c>
      <c r="C9" s="21">
        <v>118.37</v>
      </c>
      <c r="E9" s="84">
        <v>41426</v>
      </c>
      <c r="F9" s="114">
        <v>92.42</v>
      </c>
      <c r="G9" s="114">
        <v>109.2</v>
      </c>
      <c r="H9">
        <f t="shared" si="0"/>
        <v>201.62</v>
      </c>
    </row>
    <row r="10" spans="1:8" ht="15" thickBot="1" x14ac:dyDescent="0.35">
      <c r="A10" s="48">
        <v>37748</v>
      </c>
      <c r="B10" s="49">
        <v>83.4</v>
      </c>
      <c r="C10" s="21">
        <v>118.22</v>
      </c>
      <c r="E10" s="84">
        <v>41609</v>
      </c>
      <c r="F10" s="114">
        <v>93.35</v>
      </c>
      <c r="G10" s="114">
        <v>108.27</v>
      </c>
      <c r="H10">
        <f t="shared" si="0"/>
        <v>201.62</v>
      </c>
    </row>
    <row r="11" spans="1:8" ht="15" thickBot="1" x14ac:dyDescent="0.35">
      <c r="A11" s="48">
        <v>37749</v>
      </c>
      <c r="B11" s="49">
        <v>83.53</v>
      </c>
      <c r="C11" s="21">
        <v>118.09</v>
      </c>
      <c r="E11" s="84">
        <v>41791</v>
      </c>
      <c r="F11" s="114">
        <v>94.15</v>
      </c>
      <c r="G11" s="114">
        <v>107.47</v>
      </c>
      <c r="H11">
        <f t="shared" si="0"/>
        <v>201.62</v>
      </c>
    </row>
    <row r="12" spans="1:8" ht="15" thickBot="1" x14ac:dyDescent="0.35">
      <c r="A12" s="48">
        <v>37750</v>
      </c>
      <c r="B12" s="49">
        <v>83.27</v>
      </c>
      <c r="C12" s="21">
        <v>118.35</v>
      </c>
      <c r="E12" s="84">
        <v>41974</v>
      </c>
      <c r="F12" s="114">
        <v>95.01</v>
      </c>
      <c r="G12" s="114">
        <v>106.61</v>
      </c>
      <c r="H12">
        <f t="shared" si="0"/>
        <v>201.62</v>
      </c>
    </row>
    <row r="13" spans="1:8" ht="15" thickBot="1" x14ac:dyDescent="0.35">
      <c r="A13" s="48">
        <v>37755</v>
      </c>
      <c r="B13" s="49">
        <v>83.34</v>
      </c>
      <c r="C13" s="21">
        <v>118.28</v>
      </c>
      <c r="E13" s="84">
        <v>42156</v>
      </c>
      <c r="F13" s="114">
        <v>96</v>
      </c>
      <c r="G13" s="114">
        <v>105.62</v>
      </c>
      <c r="H13">
        <f t="shared" si="0"/>
        <v>201.62</v>
      </c>
    </row>
    <row r="14" spans="1:8" ht="15" thickBot="1" x14ac:dyDescent="0.35">
      <c r="A14" s="48">
        <v>37768</v>
      </c>
      <c r="B14" s="49">
        <v>83.26</v>
      </c>
      <c r="C14" s="21">
        <v>118.36</v>
      </c>
      <c r="E14" s="84">
        <v>42339</v>
      </c>
      <c r="F14" s="114">
        <v>97.4</v>
      </c>
      <c r="G14" s="114">
        <v>104.22</v>
      </c>
      <c r="H14">
        <f t="shared" si="0"/>
        <v>201.62</v>
      </c>
    </row>
    <row r="15" spans="1:8" ht="15" thickBot="1" x14ac:dyDescent="0.35">
      <c r="A15" s="48">
        <v>37777</v>
      </c>
      <c r="B15" s="49">
        <v>83.69</v>
      </c>
      <c r="C15" s="21">
        <v>117.93</v>
      </c>
      <c r="E15" s="84">
        <v>42522</v>
      </c>
      <c r="F15" s="114">
        <v>97.82</v>
      </c>
      <c r="G15" s="114">
        <v>103.8</v>
      </c>
      <c r="H15">
        <f t="shared" si="0"/>
        <v>201.62</v>
      </c>
    </row>
    <row r="16" spans="1:8" ht="15" thickBot="1" x14ac:dyDescent="0.35">
      <c r="A16" s="48">
        <v>37797</v>
      </c>
      <c r="B16" s="49">
        <v>83.61</v>
      </c>
      <c r="C16" s="21">
        <v>118.01</v>
      </c>
      <c r="E16" s="84">
        <v>42705</v>
      </c>
      <c r="F16" s="114">
        <v>97.4</v>
      </c>
      <c r="G16" s="114">
        <v>104.22</v>
      </c>
      <c r="H16">
        <f t="shared" si="0"/>
        <v>201.62</v>
      </c>
    </row>
    <row r="17" spans="1:8" ht="15" thickBot="1" x14ac:dyDescent="0.35">
      <c r="A17" s="48">
        <v>37803</v>
      </c>
      <c r="B17" s="49">
        <v>83.55</v>
      </c>
      <c r="C17" s="21">
        <v>118.07</v>
      </c>
      <c r="E17" s="84">
        <v>42887</v>
      </c>
      <c r="F17" s="114">
        <v>99.99</v>
      </c>
      <c r="G17" s="114">
        <v>101.63</v>
      </c>
      <c r="H17">
        <f t="shared" si="0"/>
        <v>201.62</v>
      </c>
    </row>
    <row r="18" spans="1:8" ht="15" thickBot="1" x14ac:dyDescent="0.35">
      <c r="A18" s="48">
        <v>37811</v>
      </c>
      <c r="B18" s="49">
        <v>83.5</v>
      </c>
      <c r="C18" s="21">
        <v>118.12</v>
      </c>
      <c r="E18" s="84">
        <v>43070</v>
      </c>
      <c r="F18" s="114">
        <v>100.79</v>
      </c>
      <c r="G18" s="114">
        <v>100.83</v>
      </c>
      <c r="H18">
        <f t="shared" si="0"/>
        <v>201.62</v>
      </c>
    </row>
    <row r="19" spans="1:8" ht="15" thickBot="1" x14ac:dyDescent="0.35">
      <c r="A19" s="48">
        <v>37816</v>
      </c>
      <c r="B19" s="49">
        <v>83.46</v>
      </c>
      <c r="C19" s="21">
        <v>118.16</v>
      </c>
      <c r="E19" s="84">
        <v>43252</v>
      </c>
      <c r="F19" s="114">
        <v>101.74</v>
      </c>
      <c r="G19" s="114">
        <v>99.88</v>
      </c>
      <c r="H19">
        <f t="shared" si="0"/>
        <v>201.62</v>
      </c>
    </row>
    <row r="20" spans="1:8" ht="15" thickBot="1" x14ac:dyDescent="0.35">
      <c r="A20" s="48">
        <v>37817</v>
      </c>
      <c r="B20" s="49">
        <v>83.55</v>
      </c>
      <c r="C20" s="21">
        <v>118.07</v>
      </c>
      <c r="E20" s="84">
        <v>43435</v>
      </c>
      <c r="F20" s="114">
        <v>102.19</v>
      </c>
      <c r="G20" s="114">
        <v>99.43</v>
      </c>
      <c r="H20">
        <f t="shared" si="0"/>
        <v>201.62</v>
      </c>
    </row>
    <row r="21" spans="1:8" ht="15" thickBot="1" x14ac:dyDescent="0.35">
      <c r="A21" s="48">
        <v>37818</v>
      </c>
      <c r="B21" s="49">
        <v>83.57</v>
      </c>
      <c r="C21" s="21">
        <v>118.05</v>
      </c>
      <c r="E21" s="84">
        <v>43617</v>
      </c>
      <c r="F21" s="114">
        <v>103.9</v>
      </c>
      <c r="G21" s="114">
        <v>97.72</v>
      </c>
      <c r="H21">
        <f t="shared" si="0"/>
        <v>201.62</v>
      </c>
    </row>
    <row r="22" spans="1:8" ht="15" thickBot="1" x14ac:dyDescent="0.35">
      <c r="A22" s="48">
        <v>37819</v>
      </c>
      <c r="B22" s="49">
        <v>83.51</v>
      </c>
      <c r="C22" s="21">
        <v>118.11</v>
      </c>
      <c r="E22" s="84">
        <v>43800</v>
      </c>
      <c r="F22" s="114">
        <v>105.76</v>
      </c>
      <c r="G22" s="114">
        <v>95.86</v>
      </c>
      <c r="H22">
        <f t="shared" si="0"/>
        <v>201.62</v>
      </c>
    </row>
    <row r="23" spans="1:8" ht="15" thickBot="1" x14ac:dyDescent="0.35">
      <c r="A23" s="48">
        <v>37821</v>
      </c>
      <c r="B23" s="49">
        <v>83.57</v>
      </c>
      <c r="C23" s="21">
        <v>118.05</v>
      </c>
      <c r="E23" s="84">
        <v>43983</v>
      </c>
      <c r="F23" s="113">
        <v>105.57</v>
      </c>
      <c r="G23" s="113"/>
      <c r="H23">
        <f t="shared" si="0"/>
        <v>105.57</v>
      </c>
    </row>
    <row r="24" spans="1:8" ht="15" thickBot="1" x14ac:dyDescent="0.35">
      <c r="A24" s="48">
        <v>37823</v>
      </c>
      <c r="B24" s="49">
        <v>83.59</v>
      </c>
      <c r="C24" s="21">
        <v>118.03</v>
      </c>
      <c r="E24" s="84">
        <v>44166</v>
      </c>
      <c r="F24" s="114">
        <v>105.38</v>
      </c>
      <c r="G24" s="114">
        <v>96.24</v>
      </c>
      <c r="H24">
        <f t="shared" si="0"/>
        <v>201.62</v>
      </c>
    </row>
    <row r="25" spans="1:8" ht="15" thickBot="1" x14ac:dyDescent="0.35">
      <c r="A25" s="48">
        <v>37824</v>
      </c>
      <c r="B25" s="49">
        <v>83.6</v>
      </c>
      <c r="C25" s="21">
        <v>118.02</v>
      </c>
      <c r="E25" s="84">
        <v>44348</v>
      </c>
      <c r="F25" s="125">
        <v>107.32</v>
      </c>
      <c r="G25" s="114">
        <v>94.3</v>
      </c>
      <c r="H25">
        <f t="shared" si="0"/>
        <v>201.62</v>
      </c>
    </row>
    <row r="26" spans="1:8" ht="15" thickBot="1" x14ac:dyDescent="0.35">
      <c r="A26" s="48">
        <v>37744</v>
      </c>
      <c r="B26" s="49">
        <v>83.63</v>
      </c>
      <c r="C26" s="21">
        <v>117.99</v>
      </c>
      <c r="E26" s="84">
        <v>44531</v>
      </c>
      <c r="F26" s="114">
        <v>108.6</v>
      </c>
      <c r="G26" s="114">
        <v>93.02</v>
      </c>
      <c r="H26">
        <f t="shared" si="0"/>
        <v>201.62</v>
      </c>
    </row>
    <row r="27" spans="1:8" ht="15" thickBot="1" x14ac:dyDescent="0.35">
      <c r="A27" s="48">
        <v>37826</v>
      </c>
      <c r="B27" s="49">
        <v>83.45</v>
      </c>
      <c r="C27" s="21">
        <v>118.17</v>
      </c>
      <c r="E27" s="84">
        <v>44713</v>
      </c>
      <c r="F27" s="114">
        <v>110.17</v>
      </c>
      <c r="G27" s="114">
        <v>91.45</v>
      </c>
      <c r="H27">
        <f t="shared" si="0"/>
        <v>201.62</v>
      </c>
    </row>
    <row r="28" spans="1:8" ht="15" thickBot="1" x14ac:dyDescent="0.35">
      <c r="A28" s="48">
        <v>37830</v>
      </c>
      <c r="B28" s="49">
        <v>83.6</v>
      </c>
      <c r="C28" s="21">
        <v>118.02</v>
      </c>
      <c r="E28" s="84">
        <v>44896</v>
      </c>
      <c r="F28" s="114">
        <v>110.78</v>
      </c>
      <c r="G28" s="114">
        <v>90.84</v>
      </c>
      <c r="H28">
        <f t="shared" si="0"/>
        <v>201.62</v>
      </c>
    </row>
    <row r="29" spans="1:8" ht="15" thickBot="1" x14ac:dyDescent="0.35">
      <c r="A29" s="48">
        <v>37831</v>
      </c>
      <c r="B29" s="49">
        <v>83.55</v>
      </c>
      <c r="C29" s="21">
        <v>118.07</v>
      </c>
      <c r="E29" s="84">
        <v>45078</v>
      </c>
      <c r="F29" s="124">
        <v>111.72</v>
      </c>
      <c r="G29" s="112"/>
      <c r="H29">
        <f t="shared" si="0"/>
        <v>111.72</v>
      </c>
    </row>
    <row r="30" spans="1:8" ht="15" thickBot="1" x14ac:dyDescent="0.35">
      <c r="A30" s="48">
        <v>37832</v>
      </c>
      <c r="B30" s="49">
        <v>83.61</v>
      </c>
      <c r="C30" s="21">
        <v>118.01</v>
      </c>
      <c r="E30" s="84">
        <v>45261</v>
      </c>
      <c r="F30" s="124">
        <v>112.66</v>
      </c>
      <c r="G30" s="112"/>
      <c r="H30">
        <f t="shared" si="0"/>
        <v>112.66</v>
      </c>
    </row>
    <row r="31" spans="1:8" ht="15" thickBot="1" x14ac:dyDescent="0.35">
      <c r="A31" s="48">
        <v>37837</v>
      </c>
      <c r="B31" s="49">
        <v>83.68</v>
      </c>
      <c r="C31" s="21">
        <v>117.94</v>
      </c>
      <c r="E31" s="84">
        <v>45444</v>
      </c>
      <c r="F31" s="98">
        <v>113.6</v>
      </c>
      <c r="G31" s="112"/>
      <c r="H31">
        <f t="shared" si="0"/>
        <v>113.6</v>
      </c>
    </row>
    <row r="32" spans="1:8" ht="15" thickBot="1" x14ac:dyDescent="0.35">
      <c r="A32" s="48">
        <v>37845</v>
      </c>
      <c r="B32" s="49">
        <v>83.62</v>
      </c>
      <c r="C32" s="21">
        <v>118</v>
      </c>
      <c r="E32" s="84">
        <v>45627</v>
      </c>
      <c r="F32" s="98">
        <v>112.44</v>
      </c>
      <c r="G32" s="112"/>
      <c r="H32">
        <f t="shared" si="0"/>
        <v>112.44</v>
      </c>
    </row>
    <row r="33" spans="1:8" ht="15" thickBot="1" x14ac:dyDescent="0.35">
      <c r="A33" s="48">
        <v>37853</v>
      </c>
      <c r="B33" s="49">
        <v>83.63</v>
      </c>
      <c r="C33" s="21">
        <v>117.99</v>
      </c>
      <c r="E33" s="84">
        <v>45809</v>
      </c>
      <c r="F33" s="98">
        <v>114.39</v>
      </c>
      <c r="G33" s="112"/>
      <c r="H33">
        <f t="shared" si="0"/>
        <v>114.39</v>
      </c>
    </row>
    <row r="34" spans="1:8" ht="15" thickBot="1" x14ac:dyDescent="0.35">
      <c r="A34" s="48">
        <v>37858</v>
      </c>
      <c r="B34" s="49">
        <v>83.57</v>
      </c>
      <c r="C34" s="21">
        <v>118.05</v>
      </c>
      <c r="E34" s="84">
        <v>45992</v>
      </c>
      <c r="F34" s="96">
        <v>115.1</v>
      </c>
      <c r="G34" s="121"/>
      <c r="H34">
        <f t="shared" si="0"/>
        <v>115.1</v>
      </c>
    </row>
    <row r="35" spans="1:8" ht="15" thickBot="1" x14ac:dyDescent="0.35">
      <c r="A35" s="48">
        <v>37865</v>
      </c>
      <c r="B35" s="49">
        <v>83.6</v>
      </c>
      <c r="C35" s="21">
        <v>118.02</v>
      </c>
    </row>
    <row r="36" spans="1:8" ht="15" thickBot="1" x14ac:dyDescent="0.35">
      <c r="A36" s="48">
        <v>37872</v>
      </c>
      <c r="B36" s="49">
        <v>83.61</v>
      </c>
      <c r="C36" s="21">
        <v>118.01</v>
      </c>
    </row>
    <row r="37" spans="1:8" ht="15" thickBot="1" x14ac:dyDescent="0.35">
      <c r="A37" s="48">
        <v>37873</v>
      </c>
      <c r="B37" s="49">
        <v>83.73</v>
      </c>
      <c r="C37" s="21">
        <v>117.89</v>
      </c>
    </row>
    <row r="38" spans="1:8" ht="15" thickBot="1" x14ac:dyDescent="0.35">
      <c r="A38" s="48">
        <v>37881</v>
      </c>
      <c r="B38" s="49">
        <v>83.78</v>
      </c>
      <c r="C38" s="21">
        <v>117.84</v>
      </c>
    </row>
    <row r="39" spans="1:8" ht="15" thickBot="1" x14ac:dyDescent="0.35">
      <c r="A39" s="48">
        <v>37886</v>
      </c>
      <c r="B39" s="49">
        <v>83.75</v>
      </c>
      <c r="C39" s="21">
        <v>117.87</v>
      </c>
    </row>
    <row r="40" spans="1:8" ht="15" thickBot="1" x14ac:dyDescent="0.35">
      <c r="A40" s="48">
        <v>37895</v>
      </c>
      <c r="B40" s="49">
        <v>83.85</v>
      </c>
      <c r="C40" s="21">
        <v>117.77</v>
      </c>
    </row>
    <row r="41" spans="1:8" ht="15" thickBot="1" x14ac:dyDescent="0.35">
      <c r="A41" s="48">
        <v>37900</v>
      </c>
      <c r="B41" s="49">
        <v>83.85</v>
      </c>
      <c r="C41" s="21">
        <v>117.77</v>
      </c>
    </row>
    <row r="42" spans="1:8" ht="15" thickBot="1" x14ac:dyDescent="0.35">
      <c r="A42" s="48">
        <v>37931</v>
      </c>
      <c r="B42" s="49">
        <v>83.68</v>
      </c>
      <c r="C42" s="21">
        <v>117.94</v>
      </c>
    </row>
    <row r="43" spans="1:8" ht="15" thickBot="1" x14ac:dyDescent="0.35">
      <c r="A43" s="48">
        <v>37937</v>
      </c>
      <c r="B43" s="49">
        <v>83.63</v>
      </c>
      <c r="C43" s="21">
        <v>117.99</v>
      </c>
    </row>
    <row r="44" spans="1:8" ht="15" thickBot="1" x14ac:dyDescent="0.35">
      <c r="A44" s="48">
        <v>37951</v>
      </c>
      <c r="B44" s="49">
        <v>83.99</v>
      </c>
      <c r="C44" s="21">
        <v>117.63</v>
      </c>
    </row>
    <row r="45" spans="1:8" ht="15" thickBot="1" x14ac:dyDescent="0.35">
      <c r="A45" s="48">
        <v>37985</v>
      </c>
      <c r="B45" s="49">
        <v>83.9</v>
      </c>
      <c r="C45" s="21">
        <v>117.72</v>
      </c>
    </row>
    <row r="46" spans="1:8" ht="15" thickBot="1" x14ac:dyDescent="0.35">
      <c r="A46" s="48">
        <v>37994</v>
      </c>
      <c r="B46" s="49">
        <v>83.95</v>
      </c>
      <c r="C46" s="21">
        <v>117.67</v>
      </c>
    </row>
    <row r="47" spans="1:8" ht="15" thickBot="1" x14ac:dyDescent="0.35">
      <c r="A47" s="48">
        <v>38005</v>
      </c>
      <c r="B47" s="49">
        <v>83.96</v>
      </c>
      <c r="C47" s="21">
        <v>117.66</v>
      </c>
    </row>
    <row r="48" spans="1:8" ht="15" thickBot="1" x14ac:dyDescent="0.35">
      <c r="A48" s="48">
        <v>38014</v>
      </c>
      <c r="B48" s="49">
        <v>83.9</v>
      </c>
      <c r="C48" s="21">
        <v>117.72</v>
      </c>
    </row>
    <row r="49" spans="1:3" ht="15" thickBot="1" x14ac:dyDescent="0.35">
      <c r="A49" s="48">
        <v>38049</v>
      </c>
      <c r="B49" s="49">
        <v>83.79</v>
      </c>
      <c r="C49" s="21">
        <v>117.83</v>
      </c>
    </row>
    <row r="50" spans="1:3" ht="15" thickBot="1" x14ac:dyDescent="0.35">
      <c r="A50" s="48">
        <v>38076</v>
      </c>
      <c r="B50" s="49">
        <v>83.77</v>
      </c>
      <c r="C50" s="21">
        <v>117.85</v>
      </c>
    </row>
    <row r="51" spans="1:3" ht="15" thickBot="1" x14ac:dyDescent="0.35">
      <c r="A51" s="48">
        <v>38083</v>
      </c>
      <c r="B51" s="49">
        <v>83.75</v>
      </c>
      <c r="C51" s="21">
        <v>117.87</v>
      </c>
    </row>
    <row r="52" spans="1:3" ht="15" thickBot="1" x14ac:dyDescent="0.35">
      <c r="A52" s="48">
        <v>38096</v>
      </c>
      <c r="B52" s="49">
        <v>83.7</v>
      </c>
      <c r="C52" s="21">
        <v>117.92</v>
      </c>
    </row>
    <row r="53" spans="1:3" ht="15" thickBot="1" x14ac:dyDescent="0.35">
      <c r="A53" s="48">
        <v>38107</v>
      </c>
      <c r="B53" s="49">
        <v>83.79</v>
      </c>
      <c r="C53" s="21">
        <v>117.83</v>
      </c>
    </row>
    <row r="54" spans="1:3" ht="15" thickBot="1" x14ac:dyDescent="0.35">
      <c r="A54" s="48">
        <v>38119</v>
      </c>
      <c r="B54" s="49">
        <v>83.6</v>
      </c>
      <c r="C54" s="21">
        <v>118.02</v>
      </c>
    </row>
    <row r="55" spans="1:3" ht="15" thickBot="1" x14ac:dyDescent="0.35">
      <c r="A55" s="48">
        <v>38133</v>
      </c>
      <c r="B55" s="49">
        <v>83.52</v>
      </c>
      <c r="C55" s="21">
        <v>118.1</v>
      </c>
    </row>
    <row r="56" spans="1:3" ht="15" thickBot="1" x14ac:dyDescent="0.35">
      <c r="A56" s="48">
        <v>38141</v>
      </c>
      <c r="B56" s="49">
        <v>83.55</v>
      </c>
      <c r="C56" s="21">
        <v>118.07</v>
      </c>
    </row>
    <row r="57" spans="1:3" ht="15" thickBot="1" x14ac:dyDescent="0.35">
      <c r="A57" s="48">
        <v>38153</v>
      </c>
      <c r="B57" s="49">
        <v>83.75</v>
      </c>
      <c r="C57" s="21">
        <v>117.87</v>
      </c>
    </row>
    <row r="58" spans="1:3" ht="15" thickBot="1" x14ac:dyDescent="0.35">
      <c r="A58" s="48">
        <v>38155</v>
      </c>
      <c r="B58" s="49">
        <v>83.84</v>
      </c>
      <c r="C58" s="21">
        <v>117.78</v>
      </c>
    </row>
    <row r="59" spans="1:3" ht="15" thickBot="1" x14ac:dyDescent="0.35">
      <c r="A59" s="48">
        <v>38161</v>
      </c>
      <c r="B59" s="49">
        <v>83.52</v>
      </c>
      <c r="C59" s="21">
        <v>118.1</v>
      </c>
    </row>
    <row r="60" spans="1:3" ht="15" thickBot="1" x14ac:dyDescent="0.35">
      <c r="A60" s="48">
        <v>38183</v>
      </c>
      <c r="B60" s="49">
        <v>83.56</v>
      </c>
      <c r="C60" s="21">
        <v>118.06</v>
      </c>
    </row>
    <row r="61" spans="1:3" ht="15" thickBot="1" x14ac:dyDescent="0.35">
      <c r="A61" s="48">
        <v>38197</v>
      </c>
      <c r="B61" s="49">
        <v>83.52</v>
      </c>
      <c r="C61" s="21">
        <v>118.1</v>
      </c>
    </row>
    <row r="62" spans="1:3" ht="15" thickBot="1" x14ac:dyDescent="0.35">
      <c r="A62" s="48">
        <v>38202</v>
      </c>
      <c r="B62" s="49">
        <v>83.56</v>
      </c>
      <c r="C62" s="21">
        <v>118.06</v>
      </c>
    </row>
    <row r="63" spans="1:3" ht="15" thickBot="1" x14ac:dyDescent="0.35">
      <c r="A63" s="48">
        <v>38209</v>
      </c>
      <c r="B63" s="49">
        <v>83.59</v>
      </c>
      <c r="C63" s="21">
        <v>118.03</v>
      </c>
    </row>
    <row r="64" spans="1:3" ht="15" thickBot="1" x14ac:dyDescent="0.35">
      <c r="A64" s="48">
        <v>38216</v>
      </c>
      <c r="B64" s="49">
        <v>83.66</v>
      </c>
      <c r="C64" s="21">
        <v>117.96</v>
      </c>
    </row>
    <row r="65" spans="1:3" ht="15" thickBot="1" x14ac:dyDescent="0.35">
      <c r="A65" s="48">
        <v>38222</v>
      </c>
      <c r="B65" s="49">
        <v>83.67</v>
      </c>
      <c r="C65" s="21">
        <v>117.95</v>
      </c>
    </row>
    <row r="66" spans="1:3" ht="15" thickBot="1" x14ac:dyDescent="0.35">
      <c r="A66" s="48">
        <v>38226</v>
      </c>
      <c r="B66" s="49">
        <v>83.45</v>
      </c>
      <c r="C66" s="21">
        <v>118.17</v>
      </c>
    </row>
    <row r="67" spans="1:3" ht="15" thickBot="1" x14ac:dyDescent="0.35">
      <c r="A67" s="48">
        <v>38230</v>
      </c>
      <c r="B67" s="49">
        <v>83.71</v>
      </c>
      <c r="C67" s="21">
        <v>117.91</v>
      </c>
    </row>
    <row r="68" spans="1:3" ht="15" thickBot="1" x14ac:dyDescent="0.35">
      <c r="A68" s="48">
        <v>38237</v>
      </c>
      <c r="B68" s="49">
        <v>83.67</v>
      </c>
      <c r="C68" s="21">
        <v>117.95</v>
      </c>
    </row>
    <row r="69" spans="1:3" ht="15" thickBot="1" x14ac:dyDescent="0.35">
      <c r="A69" s="48">
        <v>38246</v>
      </c>
      <c r="B69" s="49">
        <v>83.67</v>
      </c>
      <c r="C69" s="21">
        <v>117.95</v>
      </c>
    </row>
    <row r="70" spans="1:3" ht="15" thickBot="1" x14ac:dyDescent="0.35">
      <c r="A70" s="48">
        <v>38251</v>
      </c>
      <c r="B70" s="49">
        <v>83.72</v>
      </c>
      <c r="C70" s="21">
        <v>117.9</v>
      </c>
    </row>
    <row r="71" spans="1:3" ht="15" thickBot="1" x14ac:dyDescent="0.35">
      <c r="A71" s="48">
        <v>38265</v>
      </c>
      <c r="B71" s="49">
        <v>83.75</v>
      </c>
      <c r="C71" s="21">
        <v>117.87</v>
      </c>
    </row>
    <row r="72" spans="1:3" ht="15" thickBot="1" x14ac:dyDescent="0.35">
      <c r="A72" s="48">
        <v>38286</v>
      </c>
      <c r="B72" s="49">
        <v>83.7</v>
      </c>
      <c r="C72" s="21">
        <v>117.92</v>
      </c>
    </row>
    <row r="73" spans="1:3" ht="15" thickBot="1" x14ac:dyDescent="0.35">
      <c r="A73" s="48">
        <v>38308</v>
      </c>
      <c r="B73" s="49">
        <v>83.85</v>
      </c>
      <c r="C73" s="21">
        <v>117.77</v>
      </c>
    </row>
    <row r="74" spans="1:3" ht="15" thickBot="1" x14ac:dyDescent="0.35">
      <c r="A74" s="48">
        <v>38313</v>
      </c>
      <c r="B74" s="49">
        <v>84.04</v>
      </c>
      <c r="C74" s="21">
        <v>117.58</v>
      </c>
    </row>
    <row r="75" spans="1:3" ht="15" thickBot="1" x14ac:dyDescent="0.35">
      <c r="A75" s="48">
        <v>38322</v>
      </c>
      <c r="B75" s="49">
        <v>84.06</v>
      </c>
      <c r="C75" s="21">
        <v>117.56</v>
      </c>
    </row>
    <row r="76" spans="1:3" ht="15" thickBot="1" x14ac:dyDescent="0.35">
      <c r="A76" s="48">
        <v>38342</v>
      </c>
      <c r="B76" s="49">
        <v>83.95</v>
      </c>
      <c r="C76" s="21">
        <v>117.67</v>
      </c>
    </row>
    <row r="77" spans="1:3" ht="15" thickBot="1" x14ac:dyDescent="0.35">
      <c r="A77" s="48">
        <v>38378</v>
      </c>
      <c r="B77" s="49">
        <v>83.91</v>
      </c>
      <c r="C77" s="21">
        <v>117.71</v>
      </c>
    </row>
    <row r="78" spans="1:3" ht="15" thickBot="1" x14ac:dyDescent="0.35">
      <c r="A78" s="48">
        <v>38404</v>
      </c>
      <c r="B78" s="49">
        <v>84.04</v>
      </c>
      <c r="C78" s="21">
        <v>117.58</v>
      </c>
    </row>
    <row r="79" spans="1:3" ht="15" thickBot="1" x14ac:dyDescent="0.35">
      <c r="A79" s="48">
        <v>38427</v>
      </c>
      <c r="B79" s="49">
        <v>84.1</v>
      </c>
      <c r="C79" s="21">
        <v>117.52</v>
      </c>
    </row>
    <row r="80" spans="1:3" ht="15" thickBot="1" x14ac:dyDescent="0.35">
      <c r="A80" s="48">
        <v>38439</v>
      </c>
      <c r="B80" s="49">
        <v>84.1</v>
      </c>
      <c r="C80" s="21">
        <v>117.52</v>
      </c>
    </row>
    <row r="81" spans="1:3" ht="15" thickBot="1" x14ac:dyDescent="0.35">
      <c r="A81" s="48">
        <v>38446</v>
      </c>
      <c r="B81" s="49">
        <v>84.32</v>
      </c>
      <c r="C81" s="21">
        <v>117.3</v>
      </c>
    </row>
    <row r="82" spans="1:3" ht="15" thickBot="1" x14ac:dyDescent="0.35">
      <c r="A82" s="48">
        <v>38453</v>
      </c>
      <c r="B82" s="49">
        <v>84.04</v>
      </c>
      <c r="C82" s="21">
        <v>117.58</v>
      </c>
    </row>
    <row r="83" spans="1:3" ht="15" thickBot="1" x14ac:dyDescent="0.35">
      <c r="A83" s="48">
        <v>38461</v>
      </c>
      <c r="B83" s="49">
        <v>84.22</v>
      </c>
      <c r="C83" s="21">
        <v>117.4</v>
      </c>
    </row>
    <row r="84" spans="1:3" ht="15" thickBot="1" x14ac:dyDescent="0.35">
      <c r="A84" s="48">
        <v>38467</v>
      </c>
      <c r="B84" s="49">
        <v>84.14</v>
      </c>
      <c r="C84" s="21">
        <v>117.48</v>
      </c>
    </row>
    <row r="85" spans="1:3" ht="15" thickBot="1" x14ac:dyDescent="0.35">
      <c r="A85" s="48">
        <v>38474</v>
      </c>
      <c r="B85" s="49">
        <v>84.25</v>
      </c>
      <c r="C85" s="21">
        <v>117.37</v>
      </c>
    </row>
    <row r="86" spans="1:3" ht="15" thickBot="1" x14ac:dyDescent="0.35">
      <c r="A86" s="48">
        <v>38485</v>
      </c>
      <c r="B86" s="49">
        <v>84.36</v>
      </c>
      <c r="C86" s="21">
        <v>117.26</v>
      </c>
    </row>
    <row r="87" spans="1:3" ht="15" thickBot="1" x14ac:dyDescent="0.35">
      <c r="A87" s="48">
        <v>38524</v>
      </c>
      <c r="B87" s="49">
        <v>84.16</v>
      </c>
      <c r="C87" s="21">
        <v>117.46</v>
      </c>
    </row>
    <row r="88" spans="1:3" ht="15" thickBot="1" x14ac:dyDescent="0.35">
      <c r="A88" s="48">
        <v>38596</v>
      </c>
      <c r="B88" s="49">
        <v>84.37</v>
      </c>
      <c r="C88" s="21">
        <v>117.25</v>
      </c>
    </row>
    <row r="89" spans="1:3" ht="15" thickBot="1" x14ac:dyDescent="0.35">
      <c r="A89" s="48">
        <v>38629</v>
      </c>
      <c r="B89" s="49">
        <v>84.07</v>
      </c>
      <c r="C89" s="21">
        <v>117.55</v>
      </c>
    </row>
    <row r="90" spans="1:3" ht="15" thickBot="1" x14ac:dyDescent="0.35">
      <c r="A90" s="48">
        <v>38653</v>
      </c>
      <c r="B90" s="49">
        <v>84.64</v>
      </c>
      <c r="C90" s="21">
        <v>116.98</v>
      </c>
    </row>
    <row r="91" spans="1:3" ht="15" thickBot="1" x14ac:dyDescent="0.35">
      <c r="A91" s="48">
        <v>38665</v>
      </c>
      <c r="B91" s="49">
        <v>84.46</v>
      </c>
      <c r="C91" s="21">
        <v>117.16</v>
      </c>
    </row>
    <row r="92" spans="1:3" ht="15" thickBot="1" x14ac:dyDescent="0.35">
      <c r="A92" s="48">
        <v>38687</v>
      </c>
      <c r="B92" s="49">
        <v>84.52</v>
      </c>
      <c r="C92" s="21">
        <v>117.1</v>
      </c>
    </row>
    <row r="93" spans="1:3" ht="15" thickBot="1" x14ac:dyDescent="0.35">
      <c r="A93" s="48">
        <v>38740</v>
      </c>
      <c r="B93" s="49">
        <v>84.61</v>
      </c>
      <c r="C93" s="21">
        <v>117.01</v>
      </c>
    </row>
    <row r="94" spans="1:3" ht="15" thickBot="1" x14ac:dyDescent="0.35">
      <c r="A94" s="48">
        <v>38754</v>
      </c>
      <c r="B94" s="49">
        <v>84.96</v>
      </c>
      <c r="C94" s="21">
        <v>116.66</v>
      </c>
    </row>
    <row r="95" spans="1:3" ht="15" thickBot="1" x14ac:dyDescent="0.35">
      <c r="A95" s="48">
        <v>38779</v>
      </c>
      <c r="B95" s="49">
        <v>84.76</v>
      </c>
      <c r="C95" s="21">
        <v>116.86</v>
      </c>
    </row>
    <row r="96" spans="1:3" ht="15" thickBot="1" x14ac:dyDescent="0.35">
      <c r="A96" s="48">
        <v>38817</v>
      </c>
      <c r="B96" s="49">
        <v>85.48</v>
      </c>
      <c r="C96" s="21">
        <v>116.14</v>
      </c>
    </row>
    <row r="97" spans="1:3" ht="15" thickBot="1" x14ac:dyDescent="0.35">
      <c r="A97" s="48">
        <v>38825</v>
      </c>
      <c r="B97" s="49">
        <v>84.81</v>
      </c>
      <c r="C97" s="21">
        <v>116.81</v>
      </c>
    </row>
    <row r="98" spans="1:3" ht="15" thickBot="1" x14ac:dyDescent="0.35">
      <c r="A98" s="48">
        <v>38833</v>
      </c>
      <c r="B98" s="49">
        <v>84.72</v>
      </c>
      <c r="C98" s="21">
        <v>116.9</v>
      </c>
    </row>
    <row r="99" spans="1:3" ht="15" thickBot="1" x14ac:dyDescent="0.35">
      <c r="A99" s="48">
        <v>38844</v>
      </c>
      <c r="B99" s="49">
        <v>84.89</v>
      </c>
      <c r="C99" s="21">
        <v>116.73</v>
      </c>
    </row>
    <row r="100" spans="1:3" ht="15" thickBot="1" x14ac:dyDescent="0.35">
      <c r="A100" s="48">
        <v>38849</v>
      </c>
      <c r="B100" s="49">
        <v>84.8</v>
      </c>
      <c r="C100" s="21">
        <v>116.82</v>
      </c>
    </row>
    <row r="101" spans="1:3" ht="15" thickBot="1" x14ac:dyDescent="0.35">
      <c r="A101" s="48">
        <v>38855</v>
      </c>
      <c r="B101" s="49">
        <v>84.81</v>
      </c>
      <c r="C101" s="21">
        <v>116.81</v>
      </c>
    </row>
    <row r="102" spans="1:3" ht="15" thickBot="1" x14ac:dyDescent="0.35">
      <c r="A102" s="48">
        <v>38860</v>
      </c>
      <c r="B102" s="49">
        <v>84.73</v>
      </c>
      <c r="C102" s="21">
        <v>116.89</v>
      </c>
    </row>
    <row r="103" spans="1:3" ht="15" thickBot="1" x14ac:dyDescent="0.35">
      <c r="A103" s="48">
        <v>38909</v>
      </c>
      <c r="B103" s="49">
        <v>84.96</v>
      </c>
      <c r="C103" s="21">
        <v>116.66</v>
      </c>
    </row>
    <row r="104" spans="1:3" ht="15" thickBot="1" x14ac:dyDescent="0.35">
      <c r="A104" s="48">
        <v>38929</v>
      </c>
      <c r="B104" s="49">
        <v>84.9</v>
      </c>
      <c r="C104" s="21">
        <v>116.72</v>
      </c>
    </row>
    <row r="105" spans="1:3" ht="15" thickBot="1" x14ac:dyDescent="0.35">
      <c r="A105" s="48">
        <v>38960</v>
      </c>
      <c r="B105" s="49">
        <v>85.32</v>
      </c>
      <c r="C105" s="21">
        <v>116.3</v>
      </c>
    </row>
    <row r="106" spans="1:3" ht="15" thickBot="1" x14ac:dyDescent="0.35">
      <c r="A106" s="48">
        <v>38974</v>
      </c>
      <c r="B106" s="49">
        <v>84.9</v>
      </c>
      <c r="C106" s="21">
        <v>116.72</v>
      </c>
    </row>
    <row r="107" spans="1:3" ht="15" thickBot="1" x14ac:dyDescent="0.35">
      <c r="A107" s="48">
        <v>38988</v>
      </c>
      <c r="B107" s="49">
        <v>84.83</v>
      </c>
      <c r="C107" s="21">
        <v>116.79</v>
      </c>
    </row>
    <row r="108" spans="1:3" ht="15" thickBot="1" x14ac:dyDescent="0.35">
      <c r="A108" s="48">
        <v>38999</v>
      </c>
      <c r="B108" s="49">
        <v>84.97</v>
      </c>
      <c r="C108" s="21">
        <v>116.65</v>
      </c>
    </row>
    <row r="109" spans="1:3" ht="15" thickBot="1" x14ac:dyDescent="0.35">
      <c r="A109" s="48">
        <v>39107</v>
      </c>
      <c r="B109" s="49">
        <v>85.21</v>
      </c>
      <c r="C109" s="21">
        <v>116.41</v>
      </c>
    </row>
    <row r="110" spans="1:3" ht="15" thickBot="1" x14ac:dyDescent="0.35">
      <c r="A110" s="48">
        <v>39140</v>
      </c>
      <c r="B110" s="49">
        <v>84.92</v>
      </c>
      <c r="C110" s="21">
        <v>116.7</v>
      </c>
    </row>
    <row r="111" spans="1:3" ht="15" thickBot="1" x14ac:dyDescent="0.35">
      <c r="A111" s="48">
        <v>39184</v>
      </c>
      <c r="B111" s="49">
        <v>85.22</v>
      </c>
      <c r="C111" s="21">
        <v>116.4</v>
      </c>
    </row>
    <row r="112" spans="1:3" ht="15" thickBot="1" x14ac:dyDescent="0.35">
      <c r="A112" s="48">
        <v>39213</v>
      </c>
      <c r="B112" s="49">
        <v>85.29</v>
      </c>
      <c r="C112" s="21">
        <v>116.33</v>
      </c>
    </row>
    <row r="113" spans="1:3" ht="15" thickBot="1" x14ac:dyDescent="0.35">
      <c r="A113" s="48">
        <v>39253</v>
      </c>
      <c r="B113" s="49">
        <v>85.56</v>
      </c>
      <c r="C113" s="21">
        <v>116.06</v>
      </c>
    </row>
    <row r="114" spans="1:3" ht="15" thickBot="1" x14ac:dyDescent="0.35">
      <c r="A114" s="48">
        <v>39420</v>
      </c>
      <c r="B114" s="49">
        <v>86.33</v>
      </c>
      <c r="C114" s="21">
        <v>115.29</v>
      </c>
    </row>
    <row r="115" spans="1:3" ht="15" thickBot="1" x14ac:dyDescent="0.35">
      <c r="A115" s="48">
        <v>39421</v>
      </c>
      <c r="B115" s="49">
        <v>86.37</v>
      </c>
      <c r="C115" s="21">
        <v>115.25</v>
      </c>
    </row>
    <row r="116" spans="1:3" ht="15" thickBot="1" x14ac:dyDescent="0.35">
      <c r="A116" s="48">
        <v>39422</v>
      </c>
      <c r="B116" s="49">
        <v>86.38</v>
      </c>
      <c r="C116" s="21">
        <v>115.24</v>
      </c>
    </row>
    <row r="117" spans="1:3" ht="15" thickBot="1" x14ac:dyDescent="0.35">
      <c r="A117" s="48">
        <v>39426</v>
      </c>
      <c r="B117" s="49">
        <v>86.36</v>
      </c>
      <c r="C117" s="21">
        <v>115.26</v>
      </c>
    </row>
    <row r="118" spans="1:3" ht="15" thickBot="1" x14ac:dyDescent="0.35">
      <c r="A118" s="48">
        <v>39471</v>
      </c>
      <c r="B118" s="49">
        <v>86.56</v>
      </c>
      <c r="C118" s="21">
        <v>115.06</v>
      </c>
    </row>
    <row r="119" spans="1:3" ht="15" thickBot="1" x14ac:dyDescent="0.35">
      <c r="A119" s="48">
        <v>39479</v>
      </c>
      <c r="B119" s="49">
        <v>86.62</v>
      </c>
      <c r="C119" s="21">
        <v>115</v>
      </c>
    </row>
    <row r="120" spans="1:3" ht="15" thickBot="1" x14ac:dyDescent="0.35">
      <c r="A120" s="48">
        <v>39507</v>
      </c>
      <c r="B120" s="49">
        <v>86.51</v>
      </c>
      <c r="C120" s="21">
        <v>115.11</v>
      </c>
    </row>
    <row r="121" spans="1:3" ht="15" thickBot="1" x14ac:dyDescent="0.35">
      <c r="A121" s="48">
        <v>39538</v>
      </c>
      <c r="B121" s="49">
        <v>86.72</v>
      </c>
      <c r="C121" s="21">
        <v>114.9</v>
      </c>
    </row>
    <row r="122" spans="1:3" ht="15" thickBot="1" x14ac:dyDescent="0.35">
      <c r="A122" s="50">
        <v>39545</v>
      </c>
      <c r="B122" s="51">
        <v>86.62</v>
      </c>
      <c r="C122" s="21">
        <v>115</v>
      </c>
    </row>
    <row r="123" spans="1:3" ht="15" thickBot="1" x14ac:dyDescent="0.35">
      <c r="A123" s="50">
        <v>39546</v>
      </c>
      <c r="B123" s="51">
        <v>86.61</v>
      </c>
      <c r="C123" s="21">
        <v>115.01</v>
      </c>
    </row>
    <row r="124" spans="1:3" ht="15" thickBot="1" x14ac:dyDescent="0.35">
      <c r="A124" s="50">
        <v>39547</v>
      </c>
      <c r="B124" s="51">
        <v>86.63</v>
      </c>
      <c r="C124" s="21">
        <v>114.99</v>
      </c>
    </row>
    <row r="125" spans="1:3" ht="15" thickBot="1" x14ac:dyDescent="0.35">
      <c r="A125" s="50">
        <v>39548</v>
      </c>
      <c r="B125" s="51">
        <v>86.63</v>
      </c>
      <c r="C125" s="21">
        <v>114.99</v>
      </c>
    </row>
    <row r="126" spans="1:3" ht="15" thickBot="1" x14ac:dyDescent="0.35">
      <c r="A126" s="50">
        <v>39549</v>
      </c>
      <c r="B126" s="51">
        <v>86.64</v>
      </c>
      <c r="C126" s="21">
        <v>114.98</v>
      </c>
    </row>
    <row r="127" spans="1:3" ht="15" thickBot="1" x14ac:dyDescent="0.35">
      <c r="A127" s="50">
        <v>39552</v>
      </c>
      <c r="B127" s="51">
        <v>86.66</v>
      </c>
      <c r="C127" s="21">
        <v>114.96</v>
      </c>
    </row>
    <row r="128" spans="1:3" ht="15" thickBot="1" x14ac:dyDescent="0.35">
      <c r="A128" s="50">
        <v>39553</v>
      </c>
      <c r="B128" s="51">
        <v>86.69</v>
      </c>
      <c r="C128" s="21">
        <v>114.93</v>
      </c>
    </row>
    <row r="129" spans="1:3" ht="15" thickBot="1" x14ac:dyDescent="0.35">
      <c r="A129" s="50">
        <v>39554</v>
      </c>
      <c r="B129" s="51">
        <v>86.67</v>
      </c>
      <c r="C129" s="21">
        <v>114.95</v>
      </c>
    </row>
    <row r="130" spans="1:3" ht="15" thickBot="1" x14ac:dyDescent="0.35">
      <c r="A130" s="50">
        <v>39555</v>
      </c>
      <c r="B130" s="51">
        <v>86.66</v>
      </c>
      <c r="C130" s="21">
        <v>114.96</v>
      </c>
    </row>
    <row r="131" spans="1:3" ht="15" thickBot="1" x14ac:dyDescent="0.35">
      <c r="A131" s="50">
        <v>39559</v>
      </c>
      <c r="B131" s="51">
        <v>86.66</v>
      </c>
      <c r="C131" s="21">
        <v>114.96</v>
      </c>
    </row>
    <row r="132" spans="1:3" ht="15" thickBot="1" x14ac:dyDescent="0.35">
      <c r="A132" s="50">
        <v>39560</v>
      </c>
      <c r="B132" s="51">
        <v>86.7</v>
      </c>
      <c r="C132" s="21">
        <v>114.92</v>
      </c>
    </row>
    <row r="133" spans="1:3" ht="15" thickBot="1" x14ac:dyDescent="0.35">
      <c r="A133" s="50">
        <v>39562</v>
      </c>
      <c r="B133" s="51">
        <v>86.73</v>
      </c>
      <c r="C133" s="21">
        <v>114.89</v>
      </c>
    </row>
    <row r="134" spans="1:3" ht="15" thickBot="1" x14ac:dyDescent="0.35">
      <c r="A134" s="50">
        <v>39566</v>
      </c>
      <c r="B134" s="51">
        <v>86.73</v>
      </c>
      <c r="C134" s="21">
        <v>114.89</v>
      </c>
    </row>
    <row r="135" spans="1:3" ht="15" thickBot="1" x14ac:dyDescent="0.35">
      <c r="A135" s="50">
        <v>39567</v>
      </c>
      <c r="B135" s="51">
        <v>86.73</v>
      </c>
      <c r="C135" s="21">
        <v>114.89</v>
      </c>
    </row>
    <row r="136" spans="1:3" ht="15" thickBot="1" x14ac:dyDescent="0.35">
      <c r="A136" s="50">
        <v>39580</v>
      </c>
      <c r="B136" s="51">
        <v>86.8</v>
      </c>
      <c r="C136" s="21">
        <v>114.82</v>
      </c>
    </row>
    <row r="137" spans="1:3" ht="15" thickBot="1" x14ac:dyDescent="0.35">
      <c r="A137" s="50">
        <v>39581</v>
      </c>
      <c r="B137" s="51">
        <v>86.81</v>
      </c>
      <c r="C137" s="21">
        <v>114.81</v>
      </c>
    </row>
    <row r="138" spans="1:3" ht="15" thickBot="1" x14ac:dyDescent="0.35">
      <c r="A138" s="50">
        <v>39582</v>
      </c>
      <c r="B138" s="51">
        <v>86.81</v>
      </c>
      <c r="C138" s="21">
        <v>114.81</v>
      </c>
    </row>
    <row r="139" spans="1:3" ht="15" thickBot="1" x14ac:dyDescent="0.35">
      <c r="A139" s="50">
        <v>39583</v>
      </c>
      <c r="B139" s="51">
        <v>86.81</v>
      </c>
      <c r="C139" s="21">
        <v>114.81</v>
      </c>
    </row>
    <row r="140" spans="1:3" ht="15" thickBot="1" x14ac:dyDescent="0.35">
      <c r="A140" s="50">
        <v>39587</v>
      </c>
      <c r="B140" s="51">
        <v>86.83</v>
      </c>
      <c r="C140" s="21">
        <v>114.79</v>
      </c>
    </row>
    <row r="141" spans="1:3" ht="15" thickBot="1" x14ac:dyDescent="0.35">
      <c r="A141" s="50">
        <v>39588</v>
      </c>
      <c r="B141" s="51">
        <v>86.84</v>
      </c>
      <c r="C141" s="21">
        <v>114.78</v>
      </c>
    </row>
    <row r="142" spans="1:3" ht="15" thickBot="1" x14ac:dyDescent="0.35">
      <c r="A142" s="50">
        <v>39589</v>
      </c>
      <c r="B142" s="51">
        <v>86.84</v>
      </c>
      <c r="C142" s="21">
        <v>114.78</v>
      </c>
    </row>
    <row r="143" spans="1:3" ht="15" thickBot="1" x14ac:dyDescent="0.35">
      <c r="A143" s="50">
        <v>39590</v>
      </c>
      <c r="B143" s="51">
        <v>86.84</v>
      </c>
      <c r="C143" s="21">
        <v>114.78</v>
      </c>
    </row>
    <row r="144" spans="1:3" ht="15" thickBot="1" x14ac:dyDescent="0.35">
      <c r="A144" s="50">
        <v>39595</v>
      </c>
      <c r="B144" s="51">
        <v>86.84</v>
      </c>
      <c r="C144" s="21">
        <v>114.78</v>
      </c>
    </row>
    <row r="145" spans="1:3" ht="15" thickBot="1" x14ac:dyDescent="0.35">
      <c r="A145" s="50">
        <v>39596</v>
      </c>
      <c r="B145" s="51">
        <v>86.86</v>
      </c>
      <c r="C145" s="21">
        <v>114.76</v>
      </c>
    </row>
    <row r="146" spans="1:3" ht="15" thickBot="1" x14ac:dyDescent="0.35">
      <c r="A146" s="50">
        <v>39597</v>
      </c>
      <c r="B146" s="51">
        <v>86.88</v>
      </c>
      <c r="C146" s="21">
        <v>114.74</v>
      </c>
    </row>
    <row r="147" spans="1:3" ht="15" thickBot="1" x14ac:dyDescent="0.35">
      <c r="A147" s="50">
        <v>39602</v>
      </c>
      <c r="B147" s="51">
        <v>86.89</v>
      </c>
      <c r="C147" s="21">
        <v>114.73</v>
      </c>
    </row>
    <row r="148" spans="1:3" ht="15" thickBot="1" x14ac:dyDescent="0.35">
      <c r="A148" s="50">
        <v>39603</v>
      </c>
      <c r="B148" s="51">
        <v>86.89</v>
      </c>
      <c r="C148" s="21">
        <v>114.73</v>
      </c>
    </row>
    <row r="149" spans="1:3" ht="15" thickBot="1" x14ac:dyDescent="0.35">
      <c r="A149" s="50">
        <v>39604</v>
      </c>
      <c r="B149" s="51">
        <v>86.9</v>
      </c>
      <c r="C149" s="21">
        <v>114.72</v>
      </c>
    </row>
    <row r="150" spans="1:3" ht="15" thickBot="1" x14ac:dyDescent="0.35">
      <c r="A150" s="50">
        <v>39608</v>
      </c>
      <c r="B150" s="51">
        <v>86.91</v>
      </c>
      <c r="C150" s="21">
        <v>114.71</v>
      </c>
    </row>
    <row r="151" spans="1:3" ht="15" thickBot="1" x14ac:dyDescent="0.35">
      <c r="A151" s="50">
        <v>39609</v>
      </c>
      <c r="B151" s="51">
        <v>86.91</v>
      </c>
      <c r="C151" s="21">
        <v>114.71</v>
      </c>
    </row>
    <row r="152" spans="1:3" ht="15" thickBot="1" x14ac:dyDescent="0.35">
      <c r="A152" s="50">
        <v>39610</v>
      </c>
      <c r="B152" s="51">
        <v>86.92</v>
      </c>
      <c r="C152" s="21">
        <v>114.7</v>
      </c>
    </row>
    <row r="153" spans="1:3" ht="15" thickBot="1" x14ac:dyDescent="0.35">
      <c r="A153" s="50">
        <v>39611</v>
      </c>
      <c r="B153" s="51">
        <v>86.93</v>
      </c>
      <c r="C153" s="21">
        <v>114.69</v>
      </c>
    </row>
    <row r="154" spans="1:3" ht="15" thickBot="1" x14ac:dyDescent="0.35">
      <c r="A154" s="48">
        <v>39612</v>
      </c>
      <c r="B154" s="49">
        <v>87.01</v>
      </c>
      <c r="C154" s="21">
        <v>114.61</v>
      </c>
    </row>
    <row r="155" spans="1:3" ht="15" thickBot="1" x14ac:dyDescent="0.35">
      <c r="A155" s="50">
        <v>39615</v>
      </c>
      <c r="B155" s="51">
        <v>86.95</v>
      </c>
      <c r="C155" s="21">
        <v>114.67</v>
      </c>
    </row>
    <row r="156" spans="1:3" ht="15" thickBot="1" x14ac:dyDescent="0.35">
      <c r="A156" s="50">
        <v>39616</v>
      </c>
      <c r="B156" s="51">
        <v>86.97</v>
      </c>
      <c r="C156" s="21">
        <v>114.65</v>
      </c>
    </row>
    <row r="157" spans="1:3" ht="15" thickBot="1" x14ac:dyDescent="0.35">
      <c r="A157" s="50">
        <v>39617</v>
      </c>
      <c r="B157" s="51">
        <v>86.98</v>
      </c>
      <c r="C157" s="21">
        <v>114.64</v>
      </c>
    </row>
    <row r="158" spans="1:3" ht="15" thickBot="1" x14ac:dyDescent="0.35">
      <c r="A158" s="50">
        <v>39618</v>
      </c>
      <c r="B158" s="51">
        <v>86.99</v>
      </c>
      <c r="C158" s="21">
        <v>114.63</v>
      </c>
    </row>
    <row r="159" spans="1:3" ht="15" thickBot="1" x14ac:dyDescent="0.35">
      <c r="A159" s="50">
        <v>39624</v>
      </c>
      <c r="B159" s="51">
        <v>87.02</v>
      </c>
      <c r="C159" s="21">
        <v>114.6</v>
      </c>
    </row>
    <row r="160" spans="1:3" ht="15" thickBot="1" x14ac:dyDescent="0.35">
      <c r="A160" s="50">
        <v>39633</v>
      </c>
      <c r="B160" s="51">
        <v>87.07</v>
      </c>
      <c r="C160" s="21">
        <v>114.55</v>
      </c>
    </row>
    <row r="161" spans="1:3" ht="15" thickBot="1" x14ac:dyDescent="0.35">
      <c r="A161" s="50">
        <v>39634</v>
      </c>
      <c r="B161" s="51">
        <v>87.07</v>
      </c>
      <c r="C161" s="21">
        <v>114.55</v>
      </c>
    </row>
    <row r="162" spans="1:3" ht="15" thickBot="1" x14ac:dyDescent="0.35">
      <c r="A162" s="50">
        <v>39635</v>
      </c>
      <c r="B162" s="51">
        <v>87.07</v>
      </c>
      <c r="C162" s="21">
        <v>114.55</v>
      </c>
    </row>
    <row r="163" spans="1:3" ht="15" thickBot="1" x14ac:dyDescent="0.35">
      <c r="A163" s="50">
        <v>39636</v>
      </c>
      <c r="B163" s="51">
        <v>87.05</v>
      </c>
      <c r="C163" s="21">
        <v>114.57</v>
      </c>
    </row>
    <row r="164" spans="1:3" ht="15" thickBot="1" x14ac:dyDescent="0.35">
      <c r="A164" s="50">
        <v>39637</v>
      </c>
      <c r="B164" s="51">
        <v>87.02</v>
      </c>
      <c r="C164" s="21">
        <v>114.6</v>
      </c>
    </row>
    <row r="165" spans="1:3" ht="15" thickBot="1" x14ac:dyDescent="0.35">
      <c r="A165" s="50">
        <v>39638</v>
      </c>
      <c r="B165" s="51">
        <v>87.02</v>
      </c>
      <c r="C165" s="21">
        <v>114.6</v>
      </c>
    </row>
    <row r="166" spans="1:3" ht="15" thickBot="1" x14ac:dyDescent="0.35">
      <c r="A166" s="50">
        <v>39639</v>
      </c>
      <c r="B166" s="51">
        <v>87.02</v>
      </c>
      <c r="C166" s="21">
        <v>114.6</v>
      </c>
    </row>
    <row r="167" spans="1:3" ht="15" thickBot="1" x14ac:dyDescent="0.35">
      <c r="A167" s="50">
        <v>39640</v>
      </c>
      <c r="B167" s="51">
        <v>87.1</v>
      </c>
      <c r="C167" s="21">
        <v>114.52</v>
      </c>
    </row>
    <row r="168" spans="1:3" ht="15" thickBot="1" x14ac:dyDescent="0.35">
      <c r="A168" s="50">
        <v>39641</v>
      </c>
      <c r="B168" s="51">
        <v>87.1</v>
      </c>
      <c r="C168" s="21">
        <v>114.52</v>
      </c>
    </row>
    <row r="169" spans="1:3" ht="15" thickBot="1" x14ac:dyDescent="0.35">
      <c r="A169" s="50">
        <v>39642</v>
      </c>
      <c r="B169" s="51">
        <v>87.12</v>
      </c>
      <c r="C169" s="21">
        <v>114.5</v>
      </c>
    </row>
    <row r="170" spans="1:3" ht="15" thickBot="1" x14ac:dyDescent="0.35">
      <c r="A170" s="48">
        <v>39643</v>
      </c>
      <c r="B170" s="49">
        <v>87.26</v>
      </c>
      <c r="C170" s="21">
        <v>114.36</v>
      </c>
    </row>
    <row r="171" spans="1:3" ht="15" thickBot="1" x14ac:dyDescent="0.35">
      <c r="A171" s="50">
        <v>39644</v>
      </c>
      <c r="B171" s="51">
        <v>87.14</v>
      </c>
      <c r="C171" s="21">
        <v>114.48</v>
      </c>
    </row>
    <row r="172" spans="1:3" ht="15" thickBot="1" x14ac:dyDescent="0.35">
      <c r="A172" s="50">
        <v>39645</v>
      </c>
      <c r="B172" s="51">
        <v>87.12</v>
      </c>
      <c r="C172" s="21">
        <v>114.5</v>
      </c>
    </row>
    <row r="173" spans="1:3" ht="15" thickBot="1" x14ac:dyDescent="0.35">
      <c r="A173" s="50">
        <v>39646</v>
      </c>
      <c r="B173" s="51">
        <v>87.13</v>
      </c>
      <c r="C173" s="21">
        <v>114.49</v>
      </c>
    </row>
    <row r="174" spans="1:3" ht="15" thickBot="1" x14ac:dyDescent="0.35">
      <c r="A174" s="50">
        <v>39647</v>
      </c>
      <c r="B174" s="51">
        <v>87.14</v>
      </c>
      <c r="C174" s="21">
        <v>114.48</v>
      </c>
    </row>
    <row r="175" spans="1:3" ht="15" thickBot="1" x14ac:dyDescent="0.35">
      <c r="A175" s="50">
        <v>39648</v>
      </c>
      <c r="B175" s="51">
        <v>87.12</v>
      </c>
      <c r="C175" s="21">
        <v>114.5</v>
      </c>
    </row>
    <row r="176" spans="1:3" ht="15" thickBot="1" x14ac:dyDescent="0.35">
      <c r="A176" s="50">
        <v>39649</v>
      </c>
      <c r="B176" s="51">
        <v>87.13</v>
      </c>
      <c r="C176" s="21">
        <v>114.49</v>
      </c>
    </row>
    <row r="177" spans="1:3" ht="15" thickBot="1" x14ac:dyDescent="0.35">
      <c r="A177" s="50">
        <v>39650</v>
      </c>
      <c r="B177" s="51">
        <v>87.14</v>
      </c>
      <c r="C177" s="21">
        <v>114.48</v>
      </c>
    </row>
    <row r="178" spans="1:3" ht="15" thickBot="1" x14ac:dyDescent="0.35">
      <c r="A178" s="48">
        <v>39714</v>
      </c>
      <c r="B178" s="49">
        <v>87.48</v>
      </c>
      <c r="C178" s="21">
        <v>114.14</v>
      </c>
    </row>
    <row r="179" spans="1:3" ht="15" thickBot="1" x14ac:dyDescent="0.35">
      <c r="A179" s="48">
        <v>39805</v>
      </c>
      <c r="B179" s="49">
        <v>88.25</v>
      </c>
      <c r="C179" s="21">
        <v>113.37</v>
      </c>
    </row>
    <row r="180" spans="1:3" ht="15" thickBot="1" x14ac:dyDescent="0.35">
      <c r="A180" s="48">
        <v>39847</v>
      </c>
      <c r="B180" s="49">
        <v>88.21</v>
      </c>
      <c r="C180" s="21">
        <v>113.41</v>
      </c>
    </row>
    <row r="181" spans="1:3" ht="15" thickBot="1" x14ac:dyDescent="0.35">
      <c r="A181" s="48">
        <v>39881</v>
      </c>
      <c r="B181" s="49">
        <v>88.27</v>
      </c>
      <c r="C181" s="21">
        <v>113.35</v>
      </c>
    </row>
    <row r="182" spans="1:3" ht="15" thickBot="1" x14ac:dyDescent="0.35">
      <c r="A182" s="48">
        <v>39939</v>
      </c>
      <c r="B182" s="49">
        <v>88.57</v>
      </c>
      <c r="C182" s="21">
        <v>113.05</v>
      </c>
    </row>
    <row r="183" spans="1:3" ht="15" thickBot="1" x14ac:dyDescent="0.35">
      <c r="A183" s="48">
        <v>40049</v>
      </c>
      <c r="B183" s="49">
        <v>89.17</v>
      </c>
      <c r="C183" s="21">
        <v>112.45</v>
      </c>
    </row>
    <row r="184" spans="1:3" ht="15" thickBot="1" x14ac:dyDescent="0.35">
      <c r="A184" s="48">
        <v>40190</v>
      </c>
      <c r="B184" s="49">
        <v>89.7</v>
      </c>
      <c r="C184" s="21">
        <v>111.92</v>
      </c>
    </row>
    <row r="185" spans="1:3" ht="15" thickBot="1" x14ac:dyDescent="0.35">
      <c r="A185" s="48">
        <v>40238</v>
      </c>
      <c r="B185" s="49">
        <v>89.92</v>
      </c>
      <c r="C185" s="21">
        <v>111.7</v>
      </c>
    </row>
    <row r="186" spans="1:3" ht="15" thickBot="1" x14ac:dyDescent="0.35">
      <c r="A186" s="48">
        <v>40242</v>
      </c>
      <c r="B186" s="49">
        <v>91.01</v>
      </c>
      <c r="C186" s="21">
        <v>110.61</v>
      </c>
    </row>
    <row r="187" spans="1:3" ht="15" thickBot="1" x14ac:dyDescent="0.35">
      <c r="A187" s="48">
        <v>40243</v>
      </c>
      <c r="B187" s="49">
        <v>91</v>
      </c>
      <c r="C187" s="21">
        <v>110.62</v>
      </c>
    </row>
    <row r="188" spans="1:3" ht="15" thickBot="1" x14ac:dyDescent="0.35">
      <c r="A188" s="48">
        <v>40244</v>
      </c>
      <c r="B188" s="49">
        <v>91.02</v>
      </c>
      <c r="C188" s="21">
        <v>110.6</v>
      </c>
    </row>
    <row r="189" spans="1:3" ht="15" thickBot="1" x14ac:dyDescent="0.35">
      <c r="A189" s="48">
        <v>40245</v>
      </c>
      <c r="B189" s="49">
        <v>91.02</v>
      </c>
      <c r="C189" s="21">
        <v>110.6</v>
      </c>
    </row>
    <row r="190" spans="1:3" ht="15" thickBot="1" x14ac:dyDescent="0.35">
      <c r="A190" s="48">
        <v>40246</v>
      </c>
      <c r="B190" s="49">
        <v>91.01</v>
      </c>
      <c r="C190" s="21">
        <v>110.61</v>
      </c>
    </row>
    <row r="191" spans="1:3" ht="15" thickBot="1" x14ac:dyDescent="0.35">
      <c r="A191" s="48">
        <v>40247</v>
      </c>
      <c r="B191" s="49">
        <v>91.02</v>
      </c>
      <c r="C191" s="21">
        <v>110.6</v>
      </c>
    </row>
    <row r="192" spans="1:3" ht="15" thickBot="1" x14ac:dyDescent="0.35">
      <c r="A192" s="48">
        <v>40248</v>
      </c>
      <c r="B192" s="49">
        <v>91.02</v>
      </c>
      <c r="C192" s="21">
        <v>110.6</v>
      </c>
    </row>
    <row r="193" spans="1:3" ht="15" thickBot="1" x14ac:dyDescent="0.35">
      <c r="A193" s="48">
        <v>40249</v>
      </c>
      <c r="B193" s="49">
        <v>91.02</v>
      </c>
      <c r="C193" s="21">
        <v>110.6</v>
      </c>
    </row>
    <row r="194" spans="1:3" ht="15" thickBot="1" x14ac:dyDescent="0.35">
      <c r="A194" s="48">
        <v>40250</v>
      </c>
      <c r="B194" s="49">
        <v>91.03</v>
      </c>
      <c r="C194" s="21">
        <v>110.59</v>
      </c>
    </row>
    <row r="195" spans="1:3" ht="15" thickBot="1" x14ac:dyDescent="0.35">
      <c r="A195" s="48">
        <v>40251</v>
      </c>
      <c r="B195" s="49">
        <v>91.04</v>
      </c>
      <c r="C195" s="21">
        <v>110.58</v>
      </c>
    </row>
    <row r="196" spans="1:3" ht="15" thickBot="1" x14ac:dyDescent="0.35">
      <c r="A196" s="48">
        <v>40252</v>
      </c>
      <c r="B196" s="49">
        <v>91.05</v>
      </c>
      <c r="C196" s="21">
        <v>110.57</v>
      </c>
    </row>
    <row r="197" spans="1:3" ht="15" thickBot="1" x14ac:dyDescent="0.35">
      <c r="A197" s="48">
        <v>40253</v>
      </c>
      <c r="B197" s="49">
        <v>91.06</v>
      </c>
      <c r="C197" s="21">
        <v>110.56</v>
      </c>
    </row>
    <row r="198" spans="1:3" ht="15" thickBot="1" x14ac:dyDescent="0.35">
      <c r="A198" s="48">
        <v>40254</v>
      </c>
      <c r="B198" s="49">
        <v>91.07</v>
      </c>
      <c r="C198" s="21">
        <v>110.55</v>
      </c>
    </row>
    <row r="199" spans="1:3" ht="15" thickBot="1" x14ac:dyDescent="0.35">
      <c r="A199" s="48">
        <v>40255</v>
      </c>
      <c r="B199" s="49">
        <v>91.08</v>
      </c>
      <c r="C199" s="21">
        <v>110.54</v>
      </c>
    </row>
    <row r="200" spans="1:3" ht="15" thickBot="1" x14ac:dyDescent="0.35">
      <c r="A200" s="48">
        <v>40256</v>
      </c>
      <c r="B200" s="49">
        <v>91.1</v>
      </c>
      <c r="C200" s="21">
        <v>110.52</v>
      </c>
    </row>
    <row r="201" spans="1:3" ht="15" thickBot="1" x14ac:dyDescent="0.35">
      <c r="A201" s="48">
        <v>40257</v>
      </c>
      <c r="B201" s="49">
        <v>91.07</v>
      </c>
      <c r="C201" s="21">
        <v>110.55</v>
      </c>
    </row>
    <row r="202" spans="1:3" ht="15" thickBot="1" x14ac:dyDescent="0.35">
      <c r="A202" s="48">
        <v>40258</v>
      </c>
      <c r="B202" s="49">
        <v>91.05</v>
      </c>
      <c r="C202" s="21">
        <v>110.57</v>
      </c>
    </row>
    <row r="203" spans="1:3" ht="15" thickBot="1" x14ac:dyDescent="0.35">
      <c r="A203" s="48">
        <v>40259</v>
      </c>
      <c r="B203" s="49">
        <v>91.08</v>
      </c>
      <c r="C203" s="21">
        <v>110.54</v>
      </c>
    </row>
    <row r="204" spans="1:3" ht="15" thickBot="1" x14ac:dyDescent="0.35">
      <c r="A204" s="48">
        <v>40260</v>
      </c>
      <c r="B204" s="49">
        <v>91.08</v>
      </c>
      <c r="C204" s="21">
        <v>110.54</v>
      </c>
    </row>
    <row r="205" spans="1:3" ht="15" thickBot="1" x14ac:dyDescent="0.35">
      <c r="A205" s="48">
        <v>40261</v>
      </c>
      <c r="B205" s="49">
        <v>91.08</v>
      </c>
      <c r="C205" s="21">
        <v>110.54</v>
      </c>
    </row>
    <row r="206" spans="1:3" ht="15" thickBot="1" x14ac:dyDescent="0.35">
      <c r="A206" s="48">
        <v>40262</v>
      </c>
      <c r="B206" s="49">
        <v>91.08</v>
      </c>
      <c r="C206" s="21">
        <v>110.54</v>
      </c>
    </row>
    <row r="207" spans="1:3" ht="15" thickBot="1" x14ac:dyDescent="0.35">
      <c r="A207" s="48">
        <v>40263</v>
      </c>
      <c r="B207" s="49">
        <v>91.1</v>
      </c>
      <c r="C207" s="21">
        <v>110.52</v>
      </c>
    </row>
    <row r="208" spans="1:3" ht="15" thickBot="1" x14ac:dyDescent="0.35">
      <c r="A208" s="48">
        <v>40264</v>
      </c>
      <c r="B208" s="49">
        <v>91.11</v>
      </c>
      <c r="C208" s="21">
        <v>110.51</v>
      </c>
    </row>
    <row r="209" spans="1:3" ht="15" thickBot="1" x14ac:dyDescent="0.35">
      <c r="A209" s="48">
        <v>40265</v>
      </c>
      <c r="B209" s="49">
        <v>91.11</v>
      </c>
      <c r="C209" s="21">
        <v>110.51</v>
      </c>
    </row>
    <row r="210" spans="1:3" ht="15" thickBot="1" x14ac:dyDescent="0.35">
      <c r="A210" s="48">
        <v>40266</v>
      </c>
      <c r="B210" s="49">
        <v>91.1</v>
      </c>
      <c r="C210" s="21">
        <v>110.52</v>
      </c>
    </row>
    <row r="211" spans="1:3" ht="15" thickBot="1" x14ac:dyDescent="0.35">
      <c r="A211" s="48">
        <v>40267</v>
      </c>
      <c r="B211" s="49">
        <v>91.11</v>
      </c>
      <c r="C211" s="21">
        <v>110.51</v>
      </c>
    </row>
    <row r="212" spans="1:3" ht="15" thickBot="1" x14ac:dyDescent="0.35">
      <c r="A212" s="48">
        <v>40268</v>
      </c>
      <c r="B212" s="49">
        <v>91.15</v>
      </c>
      <c r="C212" s="21">
        <v>110.47</v>
      </c>
    </row>
    <row r="213" spans="1:3" ht="15" thickBot="1" x14ac:dyDescent="0.35">
      <c r="A213" s="48">
        <v>40269</v>
      </c>
      <c r="B213" s="49">
        <v>91.14</v>
      </c>
      <c r="C213" s="21">
        <v>110.48</v>
      </c>
    </row>
    <row r="214" spans="1:3" ht="15" thickBot="1" x14ac:dyDescent="0.35">
      <c r="A214" s="48">
        <v>40270</v>
      </c>
      <c r="B214" s="49">
        <v>91.13</v>
      </c>
      <c r="C214" s="21">
        <v>110.49</v>
      </c>
    </row>
    <row r="215" spans="1:3" ht="15" thickBot="1" x14ac:dyDescent="0.35">
      <c r="A215" s="48">
        <v>40271</v>
      </c>
      <c r="B215" s="49">
        <v>91.14</v>
      </c>
      <c r="C215" s="21">
        <v>110.48</v>
      </c>
    </row>
    <row r="216" spans="1:3" ht="15" thickBot="1" x14ac:dyDescent="0.35">
      <c r="A216" s="48">
        <v>40272</v>
      </c>
      <c r="B216" s="49">
        <v>91.14</v>
      </c>
      <c r="C216" s="21">
        <v>110.48</v>
      </c>
    </row>
    <row r="217" spans="1:3" ht="15" thickBot="1" x14ac:dyDescent="0.35">
      <c r="A217" s="48">
        <v>40273</v>
      </c>
      <c r="B217" s="49">
        <v>91.16</v>
      </c>
      <c r="C217" s="21">
        <v>110.46</v>
      </c>
    </row>
    <row r="218" spans="1:3" ht="15" thickBot="1" x14ac:dyDescent="0.35">
      <c r="A218" s="48">
        <v>40274</v>
      </c>
      <c r="B218" s="49">
        <v>91.17</v>
      </c>
      <c r="C218" s="21">
        <v>110.45</v>
      </c>
    </row>
    <row r="219" spans="1:3" ht="15" thickBot="1" x14ac:dyDescent="0.35">
      <c r="A219" s="48">
        <v>40275</v>
      </c>
      <c r="B219" s="49">
        <v>91.17</v>
      </c>
      <c r="C219" s="21">
        <v>110.45</v>
      </c>
    </row>
    <row r="220" spans="1:3" ht="15" thickBot="1" x14ac:dyDescent="0.35">
      <c r="A220" s="48">
        <v>40276</v>
      </c>
      <c r="B220" s="49">
        <v>91.16</v>
      </c>
      <c r="C220" s="21">
        <v>110.46</v>
      </c>
    </row>
    <row r="221" spans="1:3" ht="15" thickBot="1" x14ac:dyDescent="0.35">
      <c r="A221" s="48">
        <v>40277</v>
      </c>
      <c r="B221" s="49">
        <v>91.18</v>
      </c>
      <c r="C221" s="21">
        <v>110.44</v>
      </c>
    </row>
    <row r="222" spans="1:3" ht="15" thickBot="1" x14ac:dyDescent="0.35">
      <c r="A222" s="48">
        <v>40278</v>
      </c>
      <c r="B222" s="49">
        <v>91.19</v>
      </c>
      <c r="C222" s="21">
        <v>110.43</v>
      </c>
    </row>
    <row r="223" spans="1:3" ht="15" thickBot="1" x14ac:dyDescent="0.35">
      <c r="A223" s="48">
        <v>40279</v>
      </c>
      <c r="B223" s="49">
        <v>91.18</v>
      </c>
      <c r="C223" s="21">
        <v>110.44</v>
      </c>
    </row>
    <row r="224" spans="1:3" ht="15" thickBot="1" x14ac:dyDescent="0.35">
      <c r="A224" s="48">
        <v>40280</v>
      </c>
      <c r="B224" s="49">
        <v>91.18</v>
      </c>
      <c r="C224" s="21">
        <v>110.44</v>
      </c>
    </row>
    <row r="225" spans="1:3" ht="15" thickBot="1" x14ac:dyDescent="0.35">
      <c r="A225" s="48">
        <v>40281</v>
      </c>
      <c r="B225" s="49">
        <v>91.19</v>
      </c>
      <c r="C225" s="21">
        <v>110.43</v>
      </c>
    </row>
    <row r="226" spans="1:3" ht="15" thickBot="1" x14ac:dyDescent="0.35">
      <c r="A226" s="48">
        <v>40282</v>
      </c>
      <c r="B226" s="49">
        <v>91.18</v>
      </c>
      <c r="C226" s="21">
        <v>110.44</v>
      </c>
    </row>
    <row r="227" spans="1:3" ht="15" thickBot="1" x14ac:dyDescent="0.35">
      <c r="A227" s="48">
        <v>40283</v>
      </c>
      <c r="B227" s="49">
        <v>91.22</v>
      </c>
      <c r="C227" s="21">
        <v>110.4</v>
      </c>
    </row>
    <row r="228" spans="1:3" ht="15" thickBot="1" x14ac:dyDescent="0.35">
      <c r="A228" s="48">
        <v>40284</v>
      </c>
      <c r="B228" s="49">
        <v>91.2</v>
      </c>
      <c r="C228" s="21">
        <v>110.42</v>
      </c>
    </row>
    <row r="229" spans="1:3" ht="15" thickBot="1" x14ac:dyDescent="0.35">
      <c r="A229" s="48">
        <v>40501</v>
      </c>
      <c r="B229" s="49">
        <v>92.19</v>
      </c>
      <c r="C229" s="21">
        <v>109.43</v>
      </c>
    </row>
    <row r="230" spans="1:3" ht="15" thickBot="1" x14ac:dyDescent="0.35">
      <c r="A230" s="48">
        <v>40502</v>
      </c>
      <c r="B230" s="49">
        <v>92.2</v>
      </c>
      <c r="C230" s="21">
        <v>109.42</v>
      </c>
    </row>
    <row r="231" spans="1:3" ht="15" thickBot="1" x14ac:dyDescent="0.35">
      <c r="A231" s="48">
        <v>40503</v>
      </c>
      <c r="B231" s="49">
        <v>92.2</v>
      </c>
      <c r="C231" s="21">
        <v>109.42</v>
      </c>
    </row>
    <row r="232" spans="1:3" ht="15" thickBot="1" x14ac:dyDescent="0.35">
      <c r="A232" s="48">
        <v>40504</v>
      </c>
      <c r="B232" s="49">
        <v>92.2</v>
      </c>
      <c r="C232" s="21">
        <v>109.42</v>
      </c>
    </row>
    <row r="233" spans="1:3" ht="15" thickBot="1" x14ac:dyDescent="0.35">
      <c r="A233" s="48">
        <v>40505</v>
      </c>
      <c r="B233" s="49">
        <v>92.2</v>
      </c>
      <c r="C233" s="21">
        <v>109.42</v>
      </c>
    </row>
    <row r="234" spans="1:3" ht="15" thickBot="1" x14ac:dyDescent="0.35">
      <c r="A234" s="48">
        <v>40506</v>
      </c>
      <c r="B234" s="49">
        <v>92.2</v>
      </c>
      <c r="C234" s="21">
        <v>109.42</v>
      </c>
    </row>
    <row r="235" spans="1:3" ht="15" thickBot="1" x14ac:dyDescent="0.35">
      <c r="A235" s="48">
        <v>40507</v>
      </c>
      <c r="B235" s="49">
        <v>92.21</v>
      </c>
      <c r="C235" s="21">
        <v>109.41</v>
      </c>
    </row>
    <row r="236" spans="1:3" ht="15" thickBot="1" x14ac:dyDescent="0.35">
      <c r="A236" s="48">
        <v>40508</v>
      </c>
      <c r="B236" s="49">
        <v>92.22</v>
      </c>
      <c r="C236" s="21">
        <v>109.4</v>
      </c>
    </row>
    <row r="237" spans="1:3" ht="15" thickBot="1" x14ac:dyDescent="0.35">
      <c r="A237" s="48">
        <v>40509</v>
      </c>
      <c r="B237" s="49">
        <v>92.22</v>
      </c>
      <c r="C237" s="21">
        <v>109.4</v>
      </c>
    </row>
    <row r="238" spans="1:3" ht="15" thickBot="1" x14ac:dyDescent="0.35">
      <c r="A238" s="48">
        <v>40510</v>
      </c>
      <c r="B238" s="49">
        <v>92.23</v>
      </c>
      <c r="C238" s="21">
        <v>109.39</v>
      </c>
    </row>
    <row r="239" spans="1:3" ht="15" thickBot="1" x14ac:dyDescent="0.35">
      <c r="A239" s="48">
        <v>40511</v>
      </c>
      <c r="B239" s="49">
        <v>92.25</v>
      </c>
      <c r="C239" s="21">
        <v>109.37</v>
      </c>
    </row>
    <row r="240" spans="1:3" ht="15" thickBot="1" x14ac:dyDescent="0.35">
      <c r="A240" s="48">
        <v>40512</v>
      </c>
      <c r="B240" s="49">
        <v>92.24</v>
      </c>
      <c r="C240" s="21">
        <v>109.38</v>
      </c>
    </row>
    <row r="241" spans="1:3" ht="15" thickBot="1" x14ac:dyDescent="0.35">
      <c r="A241" s="48">
        <v>40513</v>
      </c>
      <c r="B241" s="49">
        <v>92.24</v>
      </c>
      <c r="C241" s="21">
        <v>109.38</v>
      </c>
    </row>
    <row r="242" spans="1:3" ht="15" thickBot="1" x14ac:dyDescent="0.35">
      <c r="A242" s="48">
        <v>40527</v>
      </c>
      <c r="B242" s="49">
        <v>92.32</v>
      </c>
      <c r="C242" s="21">
        <v>109.3</v>
      </c>
    </row>
    <row r="243" spans="1:3" ht="15" thickBot="1" x14ac:dyDescent="0.35">
      <c r="A243" s="48">
        <v>40528</v>
      </c>
      <c r="B243" s="49">
        <v>92.34</v>
      </c>
      <c r="C243" s="21">
        <v>109.28</v>
      </c>
    </row>
    <row r="244" spans="1:3" ht="15" thickBot="1" x14ac:dyDescent="0.35">
      <c r="A244" s="48">
        <v>40529</v>
      </c>
      <c r="B244" s="49">
        <v>92.33</v>
      </c>
      <c r="C244" s="21">
        <v>109.29</v>
      </c>
    </row>
    <row r="245" spans="1:3" ht="15" thickBot="1" x14ac:dyDescent="0.35">
      <c r="A245" s="48">
        <v>40530</v>
      </c>
      <c r="B245" s="49">
        <v>92.33</v>
      </c>
      <c r="C245" s="21">
        <v>109.29</v>
      </c>
    </row>
    <row r="246" spans="1:3" ht="15" thickBot="1" x14ac:dyDescent="0.35">
      <c r="A246" s="48">
        <v>40531</v>
      </c>
      <c r="B246" s="49">
        <v>92.33</v>
      </c>
      <c r="C246" s="21">
        <v>109.29</v>
      </c>
    </row>
    <row r="247" spans="1:3" ht="15" thickBot="1" x14ac:dyDescent="0.35">
      <c r="A247" s="48">
        <v>40532</v>
      </c>
      <c r="B247" s="49">
        <v>92.34</v>
      </c>
      <c r="C247" s="21">
        <v>109.28</v>
      </c>
    </row>
    <row r="248" spans="1:3" ht="15" thickBot="1" x14ac:dyDescent="0.35">
      <c r="A248" s="48">
        <v>40533</v>
      </c>
      <c r="B248" s="49">
        <v>92.37</v>
      </c>
      <c r="C248" s="21">
        <v>109.25</v>
      </c>
    </row>
    <row r="249" spans="1:3" ht="15" thickBot="1" x14ac:dyDescent="0.35">
      <c r="A249" s="48">
        <v>40534</v>
      </c>
      <c r="B249" s="49">
        <v>92.38</v>
      </c>
      <c r="C249" s="21">
        <v>109.24</v>
      </c>
    </row>
    <row r="250" spans="1:3" ht="15" thickBot="1" x14ac:dyDescent="0.35">
      <c r="A250" s="48">
        <v>40535</v>
      </c>
      <c r="B250" s="49">
        <v>92.38</v>
      </c>
      <c r="C250" s="21">
        <v>109.24</v>
      </c>
    </row>
    <row r="251" spans="1:3" ht="15" thickBot="1" x14ac:dyDescent="0.35">
      <c r="A251" s="48">
        <v>40536</v>
      </c>
      <c r="B251" s="49">
        <v>92.37</v>
      </c>
      <c r="C251" s="21">
        <v>109.25</v>
      </c>
    </row>
    <row r="252" spans="1:3" ht="15" thickBot="1" x14ac:dyDescent="0.35">
      <c r="A252" s="48">
        <v>40537</v>
      </c>
      <c r="B252" s="49">
        <v>92.36</v>
      </c>
      <c r="C252" s="21">
        <v>109.26</v>
      </c>
    </row>
    <row r="253" spans="1:3" ht="15" thickBot="1" x14ac:dyDescent="0.35">
      <c r="A253" s="48">
        <v>40538</v>
      </c>
      <c r="B253" s="49">
        <v>92.36</v>
      </c>
      <c r="C253" s="21">
        <v>109.26</v>
      </c>
    </row>
    <row r="254" spans="1:3" ht="15" thickBot="1" x14ac:dyDescent="0.35">
      <c r="A254" s="48">
        <v>40539</v>
      </c>
      <c r="B254" s="49">
        <v>92.37</v>
      </c>
      <c r="C254" s="21">
        <v>109.25</v>
      </c>
    </row>
    <row r="255" spans="1:3" ht="15" thickBot="1" x14ac:dyDescent="0.35">
      <c r="A255" s="48">
        <v>40540</v>
      </c>
      <c r="B255" s="49">
        <v>92.37</v>
      </c>
      <c r="C255" s="21">
        <v>109.25</v>
      </c>
    </row>
    <row r="256" spans="1:3" ht="15" thickBot="1" x14ac:dyDescent="0.35">
      <c r="A256" s="48">
        <v>40541</v>
      </c>
      <c r="B256" s="49">
        <v>92.37</v>
      </c>
      <c r="C256" s="21">
        <v>109.25</v>
      </c>
    </row>
    <row r="257" spans="1:3" ht="15" thickBot="1" x14ac:dyDescent="0.35">
      <c r="A257" s="48">
        <v>40542</v>
      </c>
      <c r="B257" s="49">
        <v>92.36</v>
      </c>
      <c r="C257" s="21">
        <v>109.26</v>
      </c>
    </row>
    <row r="258" spans="1:3" ht="15" thickBot="1" x14ac:dyDescent="0.35">
      <c r="A258" s="48">
        <v>40543</v>
      </c>
      <c r="B258" s="49">
        <v>92.39</v>
      </c>
      <c r="C258" s="21">
        <v>109.23</v>
      </c>
    </row>
    <row r="259" spans="1:3" ht="15" thickBot="1" x14ac:dyDescent="0.35">
      <c r="A259" s="48">
        <v>40544</v>
      </c>
      <c r="B259" s="49">
        <v>92.4</v>
      </c>
      <c r="C259" s="21">
        <v>109.22</v>
      </c>
    </row>
    <row r="260" spans="1:3" ht="15" thickBot="1" x14ac:dyDescent="0.35">
      <c r="A260" s="48">
        <v>40545</v>
      </c>
      <c r="B260" s="49">
        <v>92.4</v>
      </c>
      <c r="C260" s="21">
        <v>109.22</v>
      </c>
    </row>
    <row r="261" spans="1:3" ht="15" thickBot="1" x14ac:dyDescent="0.35">
      <c r="A261" s="48">
        <v>40546</v>
      </c>
      <c r="B261" s="49">
        <v>92.4</v>
      </c>
      <c r="C261" s="21">
        <v>109.22</v>
      </c>
    </row>
    <row r="262" spans="1:3" ht="15" thickBot="1" x14ac:dyDescent="0.35">
      <c r="A262" s="48">
        <v>40547</v>
      </c>
      <c r="B262" s="49">
        <v>92.41</v>
      </c>
      <c r="C262" s="21">
        <v>109.21</v>
      </c>
    </row>
    <row r="263" spans="1:3" ht="15" thickBot="1" x14ac:dyDescent="0.35">
      <c r="A263" s="48">
        <v>40548</v>
      </c>
      <c r="B263" s="49">
        <v>92.41</v>
      </c>
      <c r="C263" s="21">
        <v>109.21</v>
      </c>
    </row>
    <row r="264" spans="1:3" ht="15" thickBot="1" x14ac:dyDescent="0.35">
      <c r="A264" s="48">
        <v>40549</v>
      </c>
      <c r="B264" s="49">
        <v>92.43</v>
      </c>
      <c r="C264" s="21">
        <v>109.19</v>
      </c>
    </row>
    <row r="265" spans="1:3" ht="15" thickBot="1" x14ac:dyDescent="0.35">
      <c r="A265" s="48">
        <v>40745</v>
      </c>
      <c r="B265" s="49">
        <v>91.55</v>
      </c>
      <c r="C265" s="21">
        <v>110.07</v>
      </c>
    </row>
    <row r="266" spans="1:3" ht="15" thickBot="1" x14ac:dyDescent="0.35">
      <c r="A266" s="48">
        <v>40777</v>
      </c>
      <c r="B266" s="49">
        <v>91.34</v>
      </c>
      <c r="C266" s="21">
        <v>110.28</v>
      </c>
    </row>
    <row r="267" spans="1:3" ht="15" thickBot="1" x14ac:dyDescent="0.35">
      <c r="A267" s="48">
        <v>40814</v>
      </c>
      <c r="B267" s="49">
        <v>91.29</v>
      </c>
      <c r="C267" s="21">
        <v>110.33</v>
      </c>
    </row>
    <row r="268" spans="1:3" ht="15" thickBot="1" x14ac:dyDescent="0.35">
      <c r="A268" s="48">
        <v>40834</v>
      </c>
      <c r="B268" s="49">
        <v>91.3</v>
      </c>
      <c r="C268" s="21">
        <v>110.32</v>
      </c>
    </row>
    <row r="269" spans="1:3" ht="15" thickBot="1" x14ac:dyDescent="0.35">
      <c r="A269" s="48">
        <v>40864</v>
      </c>
      <c r="B269" s="49">
        <v>91.3</v>
      </c>
      <c r="C269" s="21">
        <v>110.32</v>
      </c>
    </row>
    <row r="270" spans="1:3" ht="15" thickBot="1" x14ac:dyDescent="0.35">
      <c r="A270" s="48">
        <v>40889</v>
      </c>
      <c r="B270" s="49">
        <v>91.3</v>
      </c>
      <c r="C270" s="21">
        <v>110.32</v>
      </c>
    </row>
    <row r="271" spans="1:3" ht="15" thickBot="1" x14ac:dyDescent="0.35">
      <c r="A271" s="48">
        <v>40911</v>
      </c>
      <c r="B271" s="49">
        <v>91.3</v>
      </c>
      <c r="C271" s="21">
        <v>110.32</v>
      </c>
    </row>
    <row r="272" spans="1:3" ht="15" thickBot="1" x14ac:dyDescent="0.35">
      <c r="A272" s="48">
        <v>40967</v>
      </c>
      <c r="B272" s="49">
        <v>91.25</v>
      </c>
      <c r="C272" s="21">
        <v>110.37</v>
      </c>
    </row>
    <row r="273" spans="1:3" ht="15" thickBot="1" x14ac:dyDescent="0.35">
      <c r="A273" s="48">
        <v>41017</v>
      </c>
      <c r="B273" s="49">
        <v>91</v>
      </c>
      <c r="C273" s="21">
        <v>110.62</v>
      </c>
    </row>
    <row r="274" spans="1:3" ht="15" thickBot="1" x14ac:dyDescent="0.35">
      <c r="A274" s="48">
        <v>41072</v>
      </c>
      <c r="B274" s="49">
        <v>91.15</v>
      </c>
      <c r="C274" s="21">
        <v>110.47</v>
      </c>
    </row>
    <row r="275" spans="1:3" ht="15" thickBot="1" x14ac:dyDescent="0.35">
      <c r="A275" s="48">
        <v>41191</v>
      </c>
      <c r="B275" s="49">
        <v>91.34</v>
      </c>
      <c r="C275" s="21">
        <v>110.28</v>
      </c>
    </row>
    <row r="276" spans="1:3" ht="15" thickBot="1" x14ac:dyDescent="0.35">
      <c r="A276" s="48">
        <v>41235</v>
      </c>
      <c r="B276" s="49">
        <v>91.31</v>
      </c>
      <c r="C276" s="21">
        <v>110.31</v>
      </c>
    </row>
    <row r="277" spans="1:3" ht="15" thickBot="1" x14ac:dyDescent="0.35">
      <c r="A277" s="48">
        <v>41278</v>
      </c>
      <c r="B277" s="49">
        <v>91.52</v>
      </c>
      <c r="C277" s="21">
        <v>110.1</v>
      </c>
    </row>
    <row r="278" spans="1:3" ht="15" thickBot="1" x14ac:dyDescent="0.35">
      <c r="A278" s="48">
        <v>41368</v>
      </c>
      <c r="B278" s="49">
        <v>91.88</v>
      </c>
      <c r="C278" s="21">
        <v>109.74</v>
      </c>
    </row>
    <row r="279" spans="1:3" ht="15" thickBot="1" x14ac:dyDescent="0.35">
      <c r="A279" s="48">
        <v>41401</v>
      </c>
      <c r="B279" s="49">
        <v>91.95</v>
      </c>
      <c r="C279" s="21">
        <v>109.67</v>
      </c>
    </row>
    <row r="280" spans="1:3" ht="15" thickBot="1" x14ac:dyDescent="0.35">
      <c r="A280" s="48">
        <v>41432</v>
      </c>
      <c r="B280" s="49">
        <v>92.42</v>
      </c>
      <c r="C280" s="21">
        <v>109.2</v>
      </c>
    </row>
    <row r="281" spans="1:3" ht="15" thickBot="1" x14ac:dyDescent="0.35">
      <c r="A281" s="48">
        <v>41471</v>
      </c>
      <c r="B281" s="49">
        <v>92.41</v>
      </c>
      <c r="C281" s="21">
        <v>109.21</v>
      </c>
    </row>
    <row r="282" spans="1:3" ht="15" thickBot="1" x14ac:dyDescent="0.35">
      <c r="A282" s="48">
        <v>41506</v>
      </c>
      <c r="B282" s="49">
        <v>92.5</v>
      </c>
      <c r="C282" s="21">
        <v>109.12</v>
      </c>
    </row>
    <row r="283" spans="1:3" ht="15" thickBot="1" x14ac:dyDescent="0.35">
      <c r="A283" s="48">
        <v>41537</v>
      </c>
      <c r="B283" s="49">
        <v>92.81</v>
      </c>
      <c r="C283" s="21">
        <v>108.81</v>
      </c>
    </row>
    <row r="284" spans="1:3" ht="15" thickBot="1" x14ac:dyDescent="0.35">
      <c r="A284" s="48">
        <v>41555</v>
      </c>
      <c r="B284" s="49">
        <v>92.76</v>
      </c>
      <c r="C284" s="21">
        <v>108.86</v>
      </c>
    </row>
    <row r="285" spans="1:3" ht="15" thickBot="1" x14ac:dyDescent="0.35">
      <c r="A285" s="48">
        <v>41604</v>
      </c>
      <c r="B285" s="49">
        <v>93.1</v>
      </c>
      <c r="C285" s="21">
        <v>108.52</v>
      </c>
    </row>
    <row r="286" spans="1:3" ht="15" thickBot="1" x14ac:dyDescent="0.35">
      <c r="A286" s="48">
        <v>41617</v>
      </c>
      <c r="B286" s="49">
        <v>93.15</v>
      </c>
      <c r="C286" s="21">
        <v>108.47</v>
      </c>
    </row>
    <row r="287" spans="1:3" ht="15" thickBot="1" x14ac:dyDescent="0.35">
      <c r="A287" s="48">
        <v>41647</v>
      </c>
      <c r="B287" s="49">
        <v>93.35</v>
      </c>
      <c r="C287" s="21">
        <v>108.27</v>
      </c>
    </row>
    <row r="288" spans="1:3" ht="15" thickBot="1" x14ac:dyDescent="0.35">
      <c r="A288" s="48">
        <v>41683</v>
      </c>
      <c r="B288" s="49">
        <v>93.17</v>
      </c>
      <c r="C288" s="21">
        <v>108.45</v>
      </c>
    </row>
    <row r="289" spans="1:3" ht="15" thickBot="1" x14ac:dyDescent="0.35">
      <c r="A289" s="48">
        <v>41731</v>
      </c>
      <c r="B289" s="49">
        <v>93.8</v>
      </c>
      <c r="C289" s="21">
        <v>107.82</v>
      </c>
    </row>
    <row r="290" spans="1:3" ht="15" thickBot="1" x14ac:dyDescent="0.35">
      <c r="A290" s="48">
        <v>41764</v>
      </c>
      <c r="B290" s="49">
        <v>94.03</v>
      </c>
      <c r="C290" s="21">
        <v>107.59</v>
      </c>
    </row>
    <row r="291" spans="1:3" ht="15" thickBot="1" x14ac:dyDescent="0.35">
      <c r="A291" s="48">
        <v>41793</v>
      </c>
      <c r="B291" s="49">
        <v>94.15</v>
      </c>
      <c r="C291" s="21">
        <v>107.47</v>
      </c>
    </row>
    <row r="292" spans="1:3" ht="15" thickBot="1" x14ac:dyDescent="0.35">
      <c r="A292" s="48">
        <v>41830</v>
      </c>
      <c r="B292" s="49">
        <v>94.24</v>
      </c>
      <c r="C292" s="21">
        <v>107.38</v>
      </c>
    </row>
    <row r="293" spans="1:3" ht="15" thickBot="1" x14ac:dyDescent="0.35">
      <c r="A293" s="48">
        <v>41877</v>
      </c>
      <c r="B293" s="49">
        <v>94.42</v>
      </c>
      <c r="C293" s="21">
        <v>107.2</v>
      </c>
    </row>
    <row r="294" spans="1:3" ht="15" thickBot="1" x14ac:dyDescent="0.35">
      <c r="A294" s="48">
        <v>41906</v>
      </c>
      <c r="B294" s="49">
        <v>94.73</v>
      </c>
      <c r="C294" s="21">
        <v>106.89</v>
      </c>
    </row>
    <row r="295" spans="1:3" ht="15" thickBot="1" x14ac:dyDescent="0.35">
      <c r="A295" s="48">
        <v>41976</v>
      </c>
      <c r="B295" s="49">
        <v>95.01</v>
      </c>
      <c r="C295" s="21">
        <v>106.61</v>
      </c>
    </row>
    <row r="296" spans="1:3" ht="15" thickBot="1" x14ac:dyDescent="0.35">
      <c r="A296" s="48">
        <v>42009</v>
      </c>
      <c r="B296" s="49">
        <v>95.42</v>
      </c>
      <c r="C296" s="21">
        <v>106.2</v>
      </c>
    </row>
    <row r="297" spans="1:3" ht="15" thickBot="1" x14ac:dyDescent="0.35">
      <c r="A297" s="48">
        <v>42035</v>
      </c>
      <c r="B297" s="49">
        <v>95.58</v>
      </c>
      <c r="C297" s="21">
        <v>106.04</v>
      </c>
    </row>
    <row r="298" spans="1:3" ht="15" thickBot="1" x14ac:dyDescent="0.35">
      <c r="A298" s="48">
        <v>42063</v>
      </c>
      <c r="B298" s="49">
        <v>95.68</v>
      </c>
      <c r="C298" s="21">
        <v>105.94</v>
      </c>
    </row>
    <row r="299" spans="1:3" ht="15" thickBot="1" x14ac:dyDescent="0.35">
      <c r="A299" s="48">
        <v>42087</v>
      </c>
      <c r="B299" s="49">
        <v>95.86</v>
      </c>
      <c r="C299" s="21">
        <v>105.76</v>
      </c>
    </row>
    <row r="300" spans="1:3" ht="15" thickBot="1" x14ac:dyDescent="0.35">
      <c r="A300" s="48">
        <v>42157</v>
      </c>
      <c r="B300" s="49">
        <v>96</v>
      </c>
      <c r="C300" s="21">
        <v>105.62</v>
      </c>
    </row>
    <row r="301" spans="1:3" ht="15" thickBot="1" x14ac:dyDescent="0.35">
      <c r="A301" s="48">
        <v>42220</v>
      </c>
      <c r="B301" s="49">
        <v>96.2</v>
      </c>
      <c r="C301" s="21">
        <v>105.42</v>
      </c>
    </row>
    <row r="302" spans="1:3" ht="15" thickBot="1" x14ac:dyDescent="0.35">
      <c r="A302" s="48">
        <v>42255</v>
      </c>
      <c r="B302" s="49">
        <v>96.39</v>
      </c>
      <c r="C302" s="21">
        <v>105.23</v>
      </c>
    </row>
    <row r="303" spans="1:3" ht="15" thickBot="1" x14ac:dyDescent="0.35">
      <c r="A303" s="48">
        <v>42292</v>
      </c>
      <c r="B303" s="49">
        <v>96.68</v>
      </c>
      <c r="C303" s="21">
        <v>104.94</v>
      </c>
    </row>
    <row r="304" spans="1:3" ht="15" thickBot="1" x14ac:dyDescent="0.35">
      <c r="A304" s="48">
        <v>42353</v>
      </c>
      <c r="B304" s="49">
        <v>97.1</v>
      </c>
      <c r="C304" s="21">
        <v>104.52</v>
      </c>
    </row>
    <row r="305" spans="1:3" ht="15" thickBot="1" x14ac:dyDescent="0.35">
      <c r="A305" s="48">
        <v>42387</v>
      </c>
      <c r="B305" s="49">
        <v>97.4</v>
      </c>
      <c r="C305" s="21">
        <v>104.22</v>
      </c>
    </row>
    <row r="306" spans="1:3" ht="15" thickBot="1" x14ac:dyDescent="0.35">
      <c r="A306" s="48">
        <v>42429</v>
      </c>
      <c r="B306" s="49">
        <v>97.6</v>
      </c>
      <c r="C306" s="21">
        <v>104.02</v>
      </c>
    </row>
    <row r="307" spans="1:3" ht="15" thickBot="1" x14ac:dyDescent="0.35">
      <c r="A307" s="48">
        <v>42471</v>
      </c>
      <c r="B307" s="49">
        <v>97.71</v>
      </c>
      <c r="C307" s="21">
        <v>103.91</v>
      </c>
    </row>
    <row r="308" spans="1:3" ht="15" thickBot="1" x14ac:dyDescent="0.35">
      <c r="A308" s="48">
        <v>42494</v>
      </c>
      <c r="B308" s="49">
        <v>97.82</v>
      </c>
      <c r="C308" s="21">
        <v>103.8</v>
      </c>
    </row>
    <row r="309" spans="1:3" ht="15" thickBot="1" x14ac:dyDescent="0.35">
      <c r="A309" s="48">
        <v>42591</v>
      </c>
      <c r="B309" s="49">
        <v>98.1</v>
      </c>
      <c r="C309" s="21">
        <v>103.52</v>
      </c>
    </row>
    <row r="310" spans="1:3" ht="15" thickBot="1" x14ac:dyDescent="0.35">
      <c r="A310" s="48">
        <v>42686</v>
      </c>
      <c r="B310" s="49">
        <v>98.6</v>
      </c>
      <c r="C310" s="21">
        <v>103.02</v>
      </c>
    </row>
    <row r="311" spans="1:3" ht="15" thickBot="1" x14ac:dyDescent="0.35">
      <c r="A311" s="48">
        <v>42784</v>
      </c>
      <c r="B311" s="49">
        <v>98.93</v>
      </c>
      <c r="C311" s="21">
        <v>102.69</v>
      </c>
    </row>
    <row r="312" spans="1:3" ht="15" thickBot="1" x14ac:dyDescent="0.35">
      <c r="A312" s="48">
        <v>42852</v>
      </c>
      <c r="B312" s="49">
        <v>99.56</v>
      </c>
      <c r="C312" s="21">
        <v>102.06</v>
      </c>
    </row>
    <row r="313" spans="1:3" ht="15" thickBot="1" x14ac:dyDescent="0.35">
      <c r="A313" s="48">
        <v>42888</v>
      </c>
      <c r="B313" s="49">
        <v>99.69</v>
      </c>
      <c r="C313" s="21">
        <v>101.93</v>
      </c>
    </row>
    <row r="314" spans="1:3" ht="15" thickBot="1" x14ac:dyDescent="0.35">
      <c r="A314" s="48">
        <v>42955</v>
      </c>
      <c r="B314" s="49">
        <v>99.99</v>
      </c>
      <c r="C314" s="21">
        <v>101.63</v>
      </c>
    </row>
    <row r="315" spans="1:3" ht="15" thickBot="1" x14ac:dyDescent="0.35">
      <c r="A315" s="58">
        <v>42157</v>
      </c>
      <c r="B315" s="59">
        <v>96</v>
      </c>
      <c r="C315" s="60">
        <v>105.62</v>
      </c>
    </row>
    <row r="316" spans="1:3" ht="15" thickBot="1" x14ac:dyDescent="0.35">
      <c r="A316" s="58">
        <v>42220</v>
      </c>
      <c r="B316" s="59">
        <v>96.2</v>
      </c>
      <c r="C316" s="60">
        <v>105.42</v>
      </c>
    </row>
    <row r="317" spans="1:3" ht="15" thickBot="1" x14ac:dyDescent="0.35">
      <c r="A317" s="58">
        <v>42255</v>
      </c>
      <c r="B317" s="59">
        <v>96.39</v>
      </c>
      <c r="C317" s="60">
        <v>105.23</v>
      </c>
    </row>
    <row r="318" spans="1:3" ht="15" thickBot="1" x14ac:dyDescent="0.35">
      <c r="A318" s="58">
        <v>42292</v>
      </c>
      <c r="B318" s="59">
        <v>96.68</v>
      </c>
      <c r="C318" s="60">
        <v>104.94</v>
      </c>
    </row>
    <row r="319" spans="1:3" ht="15" thickBot="1" x14ac:dyDescent="0.35">
      <c r="A319" s="58">
        <v>42353</v>
      </c>
      <c r="B319" s="59">
        <v>97.1</v>
      </c>
      <c r="C319" s="60">
        <v>104.52</v>
      </c>
    </row>
    <row r="320" spans="1:3" ht="15" thickBot="1" x14ac:dyDescent="0.35">
      <c r="A320" s="58">
        <v>42387</v>
      </c>
      <c r="B320" s="59">
        <v>97.4</v>
      </c>
      <c r="C320" s="60">
        <v>104.22</v>
      </c>
    </row>
    <row r="321" spans="1:3" ht="15" thickBot="1" x14ac:dyDescent="0.35">
      <c r="A321" s="58">
        <v>42429</v>
      </c>
      <c r="B321" s="59">
        <v>98.8</v>
      </c>
      <c r="C321" s="60">
        <v>102.82</v>
      </c>
    </row>
    <row r="322" spans="1:3" ht="15" thickBot="1" x14ac:dyDescent="0.35">
      <c r="A322" s="58">
        <v>42471</v>
      </c>
      <c r="B322" s="61">
        <v>98.72</v>
      </c>
      <c r="C322" s="62">
        <v>201.62</v>
      </c>
    </row>
    <row r="323" spans="1:3" ht="15" thickBot="1" x14ac:dyDescent="0.35">
      <c r="A323" s="58">
        <v>42557</v>
      </c>
      <c r="B323" s="59">
        <v>98.61</v>
      </c>
      <c r="C323" s="60">
        <v>103.01</v>
      </c>
    </row>
    <row r="324" spans="1:3" ht="15" thickBot="1" x14ac:dyDescent="0.35">
      <c r="A324" s="58">
        <v>42591</v>
      </c>
      <c r="B324" s="59">
        <v>98.1</v>
      </c>
      <c r="C324" s="60">
        <v>103.52</v>
      </c>
    </row>
    <row r="325" spans="1:3" ht="15" thickBot="1" x14ac:dyDescent="0.35">
      <c r="A325" s="58">
        <v>42663</v>
      </c>
      <c r="B325" s="59">
        <v>98.43</v>
      </c>
      <c r="C325" s="60">
        <v>103.19</v>
      </c>
    </row>
    <row r="326" spans="1:3" ht="15" thickBot="1" x14ac:dyDescent="0.35">
      <c r="A326" s="58">
        <v>42774</v>
      </c>
      <c r="B326" s="59">
        <v>98.93</v>
      </c>
      <c r="C326" s="60">
        <v>102.69</v>
      </c>
    </row>
    <row r="327" spans="1:3" ht="15" thickBot="1" x14ac:dyDescent="0.35">
      <c r="A327" s="58">
        <v>42852</v>
      </c>
      <c r="B327" s="59">
        <v>99.56</v>
      </c>
      <c r="C327" s="60">
        <v>102.06</v>
      </c>
    </row>
    <row r="328" spans="1:3" ht="15" thickBot="1" x14ac:dyDescent="0.35">
      <c r="A328" s="58">
        <v>42888</v>
      </c>
      <c r="B328" s="59">
        <v>99.69</v>
      </c>
      <c r="C328" s="60">
        <v>101.93</v>
      </c>
    </row>
    <row r="329" spans="1:3" ht="15" thickBot="1" x14ac:dyDescent="0.35">
      <c r="A329" s="48">
        <v>42955</v>
      </c>
      <c r="B329" s="49">
        <v>99.99</v>
      </c>
      <c r="C329" s="21">
        <v>101.63</v>
      </c>
    </row>
    <row r="330" spans="1:3" ht="15" thickBot="1" x14ac:dyDescent="0.35">
      <c r="A330" s="50">
        <v>43048</v>
      </c>
      <c r="B330" s="49">
        <v>100.45</v>
      </c>
      <c r="C330" s="21">
        <v>101.17</v>
      </c>
    </row>
    <row r="331" spans="1:3" ht="15" thickBot="1" x14ac:dyDescent="0.35">
      <c r="A331" s="50">
        <v>43069</v>
      </c>
      <c r="B331" s="49">
        <v>101.03</v>
      </c>
      <c r="C331" s="21">
        <v>100.59</v>
      </c>
    </row>
    <row r="332" spans="1:3" ht="15" thickBot="1" x14ac:dyDescent="0.35">
      <c r="A332" s="50">
        <v>43123</v>
      </c>
      <c r="B332" s="49">
        <v>100.79</v>
      </c>
      <c r="C332" s="21">
        <v>100.83</v>
      </c>
    </row>
    <row r="333" spans="1:3" ht="15" thickBot="1" x14ac:dyDescent="0.35">
      <c r="A333" s="50">
        <v>43263</v>
      </c>
      <c r="B333" s="49">
        <v>101.74</v>
      </c>
      <c r="C333" s="21">
        <v>99.88</v>
      </c>
    </row>
    <row r="334" spans="1:3" ht="15" thickBot="1" x14ac:dyDescent="0.35">
      <c r="A334" s="50">
        <v>43297</v>
      </c>
      <c r="B334" s="49">
        <v>101.85</v>
      </c>
      <c r="C334" s="21">
        <v>99.77</v>
      </c>
    </row>
    <row r="335" spans="1:3" ht="15" thickBot="1" x14ac:dyDescent="0.35">
      <c r="A335" s="50">
        <v>43348</v>
      </c>
      <c r="B335" s="49">
        <v>102.19</v>
      </c>
      <c r="C335" s="21">
        <v>99.43</v>
      </c>
    </row>
    <row r="336" spans="1:3" ht="15" thickBot="1" x14ac:dyDescent="0.35">
      <c r="A336" s="50">
        <v>43558</v>
      </c>
      <c r="B336" s="49">
        <v>103.08</v>
      </c>
      <c r="C336" s="21">
        <v>98.54</v>
      </c>
    </row>
    <row r="337" spans="1:3" ht="15" thickBot="1" x14ac:dyDescent="0.35">
      <c r="A337" s="20">
        <v>43697</v>
      </c>
      <c r="B337" s="49">
        <v>103.9</v>
      </c>
      <c r="C337" s="21">
        <v>97.72</v>
      </c>
    </row>
    <row r="338" spans="1:3" ht="15" thickBot="1" x14ac:dyDescent="0.35">
      <c r="A338" s="20">
        <v>43759</v>
      </c>
      <c r="B338" s="49">
        <v>105.76</v>
      </c>
      <c r="C338" s="21">
        <v>95.86</v>
      </c>
    </row>
    <row r="339" spans="1:3" ht="15" thickBot="1" x14ac:dyDescent="0.35">
      <c r="A339" s="48">
        <v>43921</v>
      </c>
      <c r="B339" s="49">
        <v>105.38</v>
      </c>
      <c r="C339" s="21">
        <v>96.24</v>
      </c>
    </row>
    <row r="340" spans="1:3" ht="15" thickBot="1" x14ac:dyDescent="0.35">
      <c r="A340" s="52">
        <v>44489</v>
      </c>
      <c r="B340" s="53">
        <v>107.32</v>
      </c>
      <c r="C340" s="21">
        <v>94.3</v>
      </c>
    </row>
    <row r="341" spans="1:3" ht="15" thickBot="1" x14ac:dyDescent="0.35">
      <c r="A341" s="20">
        <v>44525</v>
      </c>
      <c r="B341" s="49">
        <v>109.36</v>
      </c>
      <c r="C341" s="21">
        <v>92.26</v>
      </c>
    </row>
    <row r="342" spans="1:3" ht="15" thickBot="1" x14ac:dyDescent="0.35">
      <c r="A342" s="48">
        <v>44526</v>
      </c>
      <c r="B342" s="49">
        <v>109.36</v>
      </c>
      <c r="C342" s="21">
        <v>92.26</v>
      </c>
    </row>
    <row r="343" spans="1:3" ht="15" thickBot="1" x14ac:dyDescent="0.35">
      <c r="A343" s="48">
        <v>44609</v>
      </c>
      <c r="B343" s="49">
        <v>108.6</v>
      </c>
      <c r="C343" s="21">
        <v>93.02</v>
      </c>
    </row>
    <row r="344" spans="1:3" ht="15" thickBot="1" x14ac:dyDescent="0.35">
      <c r="A344" s="20">
        <v>44768</v>
      </c>
      <c r="B344" s="49">
        <v>110.17</v>
      </c>
      <c r="C344" s="21">
        <v>91.45</v>
      </c>
    </row>
    <row r="345" spans="1:3" ht="15" thickBot="1" x14ac:dyDescent="0.35">
      <c r="A345" s="20">
        <v>44778</v>
      </c>
      <c r="B345" s="49">
        <v>110.41</v>
      </c>
      <c r="C345" s="21">
        <v>91.21</v>
      </c>
    </row>
    <row r="346" spans="1:3" ht="15" thickBot="1" x14ac:dyDescent="0.35">
      <c r="A346" s="20">
        <v>44785</v>
      </c>
      <c r="B346" s="54">
        <v>110.33</v>
      </c>
      <c r="C346" s="21">
        <v>91.29</v>
      </c>
    </row>
    <row r="347" spans="1:3" ht="15" thickBot="1" x14ac:dyDescent="0.35">
      <c r="A347" s="48">
        <v>44791</v>
      </c>
      <c r="B347" s="21">
        <v>110.49</v>
      </c>
      <c r="C347" s="21">
        <v>91.13</v>
      </c>
    </row>
    <row r="348" spans="1:3" ht="15" thickBot="1" x14ac:dyDescent="0.35">
      <c r="A348" s="20">
        <v>44797</v>
      </c>
      <c r="B348" s="49">
        <v>110.23</v>
      </c>
      <c r="C348" s="21">
        <v>91.39</v>
      </c>
    </row>
    <row r="349" spans="1:3" ht="15" thickBot="1" x14ac:dyDescent="0.35">
      <c r="A349" s="20">
        <v>44802</v>
      </c>
      <c r="B349" s="21">
        <v>110.5</v>
      </c>
      <c r="C349" s="21">
        <v>91.12</v>
      </c>
    </row>
    <row r="350" spans="1:3" ht="15" thickBot="1" x14ac:dyDescent="0.35">
      <c r="A350" s="48">
        <v>44844</v>
      </c>
      <c r="B350" s="49">
        <v>110.78</v>
      </c>
      <c r="C350" s="21">
        <v>90.84</v>
      </c>
    </row>
    <row r="351" spans="1:3" x14ac:dyDescent="0.3">
      <c r="A351" s="88">
        <v>45292</v>
      </c>
      <c r="B351">
        <v>112.5</v>
      </c>
    </row>
    <row r="352" spans="1:3" x14ac:dyDescent="0.3">
      <c r="A352" s="88">
        <v>45449</v>
      </c>
      <c r="B352">
        <v>113.6</v>
      </c>
    </row>
    <row r="353" spans="1:2" x14ac:dyDescent="0.3">
      <c r="A353" s="88">
        <v>45638</v>
      </c>
      <c r="B353">
        <v>112.44</v>
      </c>
    </row>
    <row r="354" spans="1:2" x14ac:dyDescent="0.3">
      <c r="A354" t="s">
        <v>23</v>
      </c>
      <c r="B354">
        <v>114.39</v>
      </c>
    </row>
  </sheetData>
  <autoFilter ref="A1:A354" xr:uid="{3B8266B4-6309-463B-AE99-EDC7FAF52174}"/>
  <mergeCells count="2">
    <mergeCell ref="A1:C1"/>
    <mergeCell ref="E1:G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D7CB-C33B-460C-BC25-DFF687B1B1C9}">
  <dimension ref="A1:L1085"/>
  <sheetViews>
    <sheetView workbookViewId="0">
      <selection activeCell="K19" sqref="K19"/>
    </sheetView>
  </sheetViews>
  <sheetFormatPr baseColWidth="10" defaultRowHeight="14.4" x14ac:dyDescent="0.3"/>
  <cols>
    <col min="1" max="1" width="13.88671875" customWidth="1"/>
    <col min="2" max="2" width="17.6640625" customWidth="1"/>
    <col min="3" max="3" width="16.21875" customWidth="1"/>
    <col min="6" max="6" width="11.5546875" style="121"/>
    <col min="7" max="7" width="11.5546875" style="85"/>
    <col min="8" max="8" width="22.21875" style="121" customWidth="1"/>
  </cols>
  <sheetData>
    <row r="1" spans="1:9" x14ac:dyDescent="0.3">
      <c r="A1" s="532" t="s">
        <v>13</v>
      </c>
      <c r="B1" s="533"/>
      <c r="C1" s="533"/>
      <c r="F1" s="529" t="s">
        <v>13</v>
      </c>
      <c r="G1" s="531"/>
      <c r="H1" s="531"/>
    </row>
    <row r="2" spans="1:9" ht="28.8" x14ac:dyDescent="0.3">
      <c r="A2" s="95" t="s">
        <v>1</v>
      </c>
      <c r="B2" s="95" t="s">
        <v>2</v>
      </c>
      <c r="C2" s="95" t="s">
        <v>3</v>
      </c>
      <c r="F2" s="95" t="s">
        <v>1</v>
      </c>
      <c r="G2" s="97" t="s">
        <v>2</v>
      </c>
      <c r="H2" s="97" t="s">
        <v>3</v>
      </c>
    </row>
    <row r="3" spans="1:9" x14ac:dyDescent="0.3">
      <c r="A3" s="129">
        <v>37811</v>
      </c>
      <c r="B3" s="101">
        <v>57.9</v>
      </c>
      <c r="C3" s="101">
        <v>127.37</v>
      </c>
      <c r="F3" s="84">
        <v>40330</v>
      </c>
      <c r="G3" s="114">
        <v>59.72</v>
      </c>
      <c r="H3" s="99">
        <v>125.55</v>
      </c>
      <c r="I3">
        <f>G3+H3</f>
        <v>185.26999999999998</v>
      </c>
    </row>
    <row r="4" spans="1:9" x14ac:dyDescent="0.3">
      <c r="A4" s="129">
        <v>37817</v>
      </c>
      <c r="B4" s="101">
        <v>57.79</v>
      </c>
      <c r="C4" s="101">
        <v>127.48</v>
      </c>
      <c r="F4" s="84">
        <v>40513</v>
      </c>
      <c r="G4" s="114">
        <v>58.85</v>
      </c>
      <c r="H4" s="99">
        <v>126.42</v>
      </c>
      <c r="I4">
        <f t="shared" ref="I4:I34" si="0">G4+H4</f>
        <v>185.27</v>
      </c>
    </row>
    <row r="5" spans="1:9" x14ac:dyDescent="0.3">
      <c r="A5" s="129">
        <v>37818</v>
      </c>
      <c r="B5" s="101">
        <v>57.77</v>
      </c>
      <c r="C5" s="101">
        <v>127.5</v>
      </c>
      <c r="D5" s="115"/>
      <c r="E5" s="132"/>
      <c r="F5" s="84">
        <v>40695</v>
      </c>
      <c r="G5" s="114">
        <v>57.99</v>
      </c>
      <c r="H5" s="99">
        <v>135.57</v>
      </c>
      <c r="I5">
        <f t="shared" si="0"/>
        <v>193.56</v>
      </c>
    </row>
    <row r="6" spans="1:9" x14ac:dyDescent="0.3">
      <c r="A6" s="129">
        <v>37819</v>
      </c>
      <c r="B6" s="101">
        <v>57.8</v>
      </c>
      <c r="C6" s="101">
        <v>127.47</v>
      </c>
      <c r="D6" s="115"/>
      <c r="E6" s="132"/>
      <c r="F6" s="84">
        <v>40878</v>
      </c>
      <c r="G6" s="114">
        <v>52.6</v>
      </c>
      <c r="H6" s="99">
        <v>135.57</v>
      </c>
      <c r="I6">
        <f t="shared" si="0"/>
        <v>188.17</v>
      </c>
    </row>
    <row r="7" spans="1:9" x14ac:dyDescent="0.3">
      <c r="A7" s="129">
        <v>37821</v>
      </c>
      <c r="B7" s="101">
        <v>57.89</v>
      </c>
      <c r="C7" s="101">
        <v>127.38</v>
      </c>
      <c r="F7" s="84">
        <v>41061</v>
      </c>
      <c r="G7" s="114">
        <v>58.05</v>
      </c>
      <c r="H7" s="99">
        <v>127.22</v>
      </c>
      <c r="I7">
        <f t="shared" si="0"/>
        <v>185.26999999999998</v>
      </c>
    </row>
    <row r="8" spans="1:9" x14ac:dyDescent="0.3">
      <c r="A8" s="129">
        <v>37823</v>
      </c>
      <c r="B8" s="101">
        <v>57.78</v>
      </c>
      <c r="C8" s="101">
        <v>127.49</v>
      </c>
      <c r="F8" s="84">
        <v>41244</v>
      </c>
      <c r="G8" s="114">
        <v>58.32</v>
      </c>
      <c r="H8" s="99">
        <v>126.95</v>
      </c>
      <c r="I8">
        <f t="shared" si="0"/>
        <v>185.27</v>
      </c>
    </row>
    <row r="9" spans="1:9" x14ac:dyDescent="0.3">
      <c r="A9" s="129">
        <v>37824</v>
      </c>
      <c r="B9" s="101">
        <v>57.8</v>
      </c>
      <c r="C9" s="101">
        <v>127.47</v>
      </c>
      <c r="F9" s="84">
        <v>41426</v>
      </c>
      <c r="G9" s="114">
        <v>59.36</v>
      </c>
      <c r="H9" s="99">
        <v>125.91</v>
      </c>
      <c r="I9">
        <f t="shared" si="0"/>
        <v>185.26999999999998</v>
      </c>
    </row>
    <row r="10" spans="1:9" x14ac:dyDescent="0.3">
      <c r="A10" s="129">
        <v>37825</v>
      </c>
      <c r="B10" s="101">
        <v>57.81</v>
      </c>
      <c r="C10" s="101">
        <v>127.46</v>
      </c>
      <c r="F10" s="84">
        <v>41609</v>
      </c>
      <c r="G10" s="114">
        <v>58.1</v>
      </c>
      <c r="H10" s="99">
        <v>127.17</v>
      </c>
      <c r="I10">
        <f t="shared" si="0"/>
        <v>185.27</v>
      </c>
    </row>
    <row r="11" spans="1:9" x14ac:dyDescent="0.3">
      <c r="A11" s="129">
        <v>37826</v>
      </c>
      <c r="B11" s="101">
        <v>57.76</v>
      </c>
      <c r="C11" s="101">
        <v>127.51</v>
      </c>
      <c r="F11" s="84">
        <v>41791</v>
      </c>
      <c r="G11" s="114">
        <v>59.2</v>
      </c>
      <c r="H11" s="99">
        <v>126.07</v>
      </c>
      <c r="I11">
        <f t="shared" si="0"/>
        <v>185.26999999999998</v>
      </c>
    </row>
    <row r="12" spans="1:9" x14ac:dyDescent="0.3">
      <c r="A12" s="129">
        <v>37830</v>
      </c>
      <c r="B12" s="101">
        <v>57.8</v>
      </c>
      <c r="C12" s="101">
        <v>127.47</v>
      </c>
      <c r="F12" s="84">
        <v>41974</v>
      </c>
      <c r="G12" s="114">
        <v>56.4</v>
      </c>
      <c r="H12" s="99">
        <v>128.87</v>
      </c>
      <c r="I12">
        <f t="shared" si="0"/>
        <v>185.27</v>
      </c>
    </row>
    <row r="13" spans="1:9" x14ac:dyDescent="0.3">
      <c r="A13" s="129">
        <v>37831</v>
      </c>
      <c r="B13" s="101">
        <v>57.83</v>
      </c>
      <c r="C13" s="101">
        <v>127.44</v>
      </c>
      <c r="F13" s="84">
        <v>42156</v>
      </c>
      <c r="G13" s="114">
        <v>59.58</v>
      </c>
      <c r="H13" s="99">
        <v>125.69</v>
      </c>
      <c r="I13">
        <f t="shared" si="0"/>
        <v>185.26999999999998</v>
      </c>
    </row>
    <row r="14" spans="1:9" x14ac:dyDescent="0.3">
      <c r="A14" s="129">
        <v>37832</v>
      </c>
      <c r="B14" s="101">
        <v>57.8</v>
      </c>
      <c r="C14" s="101">
        <v>127.47</v>
      </c>
      <c r="F14" s="84">
        <v>42339</v>
      </c>
      <c r="G14" s="114">
        <v>60.38</v>
      </c>
      <c r="H14" s="99">
        <v>124.89</v>
      </c>
      <c r="I14">
        <f t="shared" si="0"/>
        <v>185.27</v>
      </c>
    </row>
    <row r="15" spans="1:9" x14ac:dyDescent="0.3">
      <c r="A15" s="129">
        <v>37837</v>
      </c>
      <c r="B15" s="101">
        <v>57.88</v>
      </c>
      <c r="C15" s="101">
        <v>127.39</v>
      </c>
      <c r="F15" s="84">
        <v>42522</v>
      </c>
      <c r="G15" s="114">
        <v>60.73</v>
      </c>
      <c r="H15" s="99">
        <v>124.54</v>
      </c>
      <c r="I15">
        <f t="shared" si="0"/>
        <v>185.27</v>
      </c>
    </row>
    <row r="16" spans="1:9" x14ac:dyDescent="0.3">
      <c r="A16" s="129">
        <v>37846</v>
      </c>
      <c r="B16" s="101">
        <v>57.52</v>
      </c>
      <c r="C16" s="101">
        <v>127.75</v>
      </c>
      <c r="F16" s="84">
        <v>42705</v>
      </c>
      <c r="G16" s="114">
        <v>60.83</v>
      </c>
      <c r="H16" s="99">
        <v>124.44</v>
      </c>
      <c r="I16">
        <f t="shared" si="0"/>
        <v>185.26999999999998</v>
      </c>
    </row>
    <row r="17" spans="1:12" x14ac:dyDescent="0.3">
      <c r="A17" s="129">
        <v>37853</v>
      </c>
      <c r="B17" s="101">
        <v>57.39</v>
      </c>
      <c r="C17" s="101">
        <v>127.88</v>
      </c>
      <c r="F17" s="84">
        <v>42887</v>
      </c>
      <c r="G17" s="114">
        <v>61.41</v>
      </c>
      <c r="H17" s="99">
        <v>123.86</v>
      </c>
      <c r="I17">
        <f t="shared" si="0"/>
        <v>185.26999999999998</v>
      </c>
    </row>
    <row r="18" spans="1:12" x14ac:dyDescent="0.3">
      <c r="A18" s="129">
        <v>37858</v>
      </c>
      <c r="B18" s="101">
        <v>57.85</v>
      </c>
      <c r="C18" s="101">
        <v>127.42</v>
      </c>
      <c r="F18" s="84">
        <v>43070</v>
      </c>
      <c r="G18" s="114">
        <v>62.03</v>
      </c>
      <c r="H18" s="99">
        <v>123.24</v>
      </c>
      <c r="I18">
        <f t="shared" si="0"/>
        <v>185.26999999999998</v>
      </c>
      <c r="J18" s="128"/>
      <c r="K18" s="115"/>
      <c r="L18" s="132"/>
    </row>
    <row r="19" spans="1:12" x14ac:dyDescent="0.3">
      <c r="A19" s="129">
        <v>37865</v>
      </c>
      <c r="B19" s="101">
        <v>56.8</v>
      </c>
      <c r="C19" s="101">
        <v>128.47</v>
      </c>
      <c r="F19" s="84">
        <v>43252</v>
      </c>
      <c r="G19" s="114">
        <v>62.26</v>
      </c>
      <c r="H19" s="99">
        <v>123.01</v>
      </c>
      <c r="I19">
        <f t="shared" si="0"/>
        <v>185.27</v>
      </c>
      <c r="J19" s="128"/>
      <c r="K19" s="115"/>
      <c r="L19" s="132"/>
    </row>
    <row r="20" spans="1:12" x14ac:dyDescent="0.3">
      <c r="A20" s="129">
        <v>37872</v>
      </c>
      <c r="B20" s="101">
        <v>56.71</v>
      </c>
      <c r="C20" s="101">
        <v>128.56</v>
      </c>
      <c r="F20" s="84">
        <v>43435</v>
      </c>
      <c r="G20" s="114">
        <v>62.36</v>
      </c>
      <c r="H20" s="99">
        <v>122.91</v>
      </c>
      <c r="I20">
        <f t="shared" si="0"/>
        <v>185.26999999999998</v>
      </c>
    </row>
    <row r="21" spans="1:12" x14ac:dyDescent="0.3">
      <c r="A21" s="129">
        <v>37873</v>
      </c>
      <c r="B21" s="101">
        <v>56.71</v>
      </c>
      <c r="C21" s="101">
        <v>128.56</v>
      </c>
      <c r="F21" s="84">
        <v>43617</v>
      </c>
      <c r="G21" s="114">
        <v>66.06</v>
      </c>
      <c r="H21" s="99">
        <v>119.21</v>
      </c>
      <c r="I21">
        <f t="shared" si="0"/>
        <v>185.26999999999998</v>
      </c>
    </row>
    <row r="22" spans="1:12" x14ac:dyDescent="0.3">
      <c r="A22" s="129">
        <v>37881</v>
      </c>
      <c r="B22" s="101">
        <v>58.64</v>
      </c>
      <c r="C22" s="101">
        <v>126.63</v>
      </c>
      <c r="F22" s="84">
        <v>43800</v>
      </c>
      <c r="G22" s="114">
        <v>65.11</v>
      </c>
      <c r="H22" s="99">
        <v>120.16</v>
      </c>
      <c r="I22">
        <f t="shared" si="0"/>
        <v>185.26999999999998</v>
      </c>
    </row>
    <row r="23" spans="1:12" x14ac:dyDescent="0.3">
      <c r="A23" s="129">
        <v>37886</v>
      </c>
      <c r="B23" s="101">
        <v>56.59</v>
      </c>
      <c r="C23" s="101">
        <v>128.68</v>
      </c>
      <c r="F23" s="84">
        <v>43983</v>
      </c>
      <c r="G23" s="114">
        <v>64.900000000000006</v>
      </c>
      <c r="H23" s="99">
        <v>120.37</v>
      </c>
      <c r="I23">
        <f t="shared" si="0"/>
        <v>185.27</v>
      </c>
    </row>
    <row r="24" spans="1:12" x14ac:dyDescent="0.3">
      <c r="A24" s="129">
        <v>37895</v>
      </c>
      <c r="B24" s="101">
        <v>56.66</v>
      </c>
      <c r="C24" s="101">
        <v>128.61000000000001</v>
      </c>
      <c r="F24" s="84">
        <v>44166</v>
      </c>
      <c r="G24" s="111">
        <v>64.59</v>
      </c>
      <c r="H24" s="111">
        <f>185.27-G24</f>
        <v>120.68</v>
      </c>
      <c r="I24">
        <f t="shared" si="0"/>
        <v>185.27</v>
      </c>
    </row>
    <row r="25" spans="1:12" x14ac:dyDescent="0.3">
      <c r="A25" s="129">
        <v>37900</v>
      </c>
      <c r="B25" s="101">
        <v>56.72</v>
      </c>
      <c r="C25" s="101">
        <v>128.55000000000001</v>
      </c>
      <c r="F25" s="84">
        <v>44348</v>
      </c>
      <c r="G25" s="114">
        <v>64.599999999999994</v>
      </c>
      <c r="H25" s="114">
        <f t="shared" ref="H25:H34" si="1">185.27-G25</f>
        <v>120.67000000000002</v>
      </c>
      <c r="I25">
        <f t="shared" si="0"/>
        <v>185.27</v>
      </c>
    </row>
    <row r="26" spans="1:12" x14ac:dyDescent="0.3">
      <c r="A26" s="129">
        <v>37931</v>
      </c>
      <c r="B26" s="101">
        <v>56.22</v>
      </c>
      <c r="C26" s="101">
        <v>129.05000000000001</v>
      </c>
      <c r="F26" s="84">
        <v>44531</v>
      </c>
      <c r="G26" s="114">
        <v>65.430000000000007</v>
      </c>
      <c r="H26" s="114">
        <f t="shared" si="1"/>
        <v>119.84</v>
      </c>
      <c r="I26">
        <f t="shared" si="0"/>
        <v>185.27</v>
      </c>
    </row>
    <row r="27" spans="1:12" x14ac:dyDescent="0.3">
      <c r="A27" s="129">
        <v>37937</v>
      </c>
      <c r="B27" s="101">
        <v>56.25</v>
      </c>
      <c r="C27" s="101">
        <v>129.02000000000001</v>
      </c>
      <c r="F27" s="84">
        <v>44713</v>
      </c>
      <c r="G27" s="114">
        <v>65.540000000000006</v>
      </c>
      <c r="H27" s="114">
        <f t="shared" si="1"/>
        <v>119.73</v>
      </c>
      <c r="I27">
        <f t="shared" si="0"/>
        <v>185.27</v>
      </c>
    </row>
    <row r="28" spans="1:12" x14ac:dyDescent="0.3">
      <c r="A28" s="129">
        <v>37951</v>
      </c>
      <c r="B28" s="101">
        <v>56.45</v>
      </c>
      <c r="C28" s="101">
        <v>128.82</v>
      </c>
      <c r="F28" s="84">
        <v>44896</v>
      </c>
      <c r="G28" s="131">
        <v>67.06</v>
      </c>
      <c r="H28" s="114">
        <f t="shared" si="1"/>
        <v>118.21000000000001</v>
      </c>
      <c r="I28">
        <f t="shared" si="0"/>
        <v>185.27</v>
      </c>
    </row>
    <row r="29" spans="1:12" x14ac:dyDescent="0.3">
      <c r="A29" s="129">
        <v>37985</v>
      </c>
      <c r="B29" s="101">
        <v>56.47</v>
      </c>
      <c r="C29" s="101">
        <v>128.80000000000001</v>
      </c>
      <c r="F29" s="84">
        <v>45078</v>
      </c>
      <c r="G29" s="114">
        <v>67.77</v>
      </c>
      <c r="H29" s="114">
        <f t="shared" si="1"/>
        <v>117.50000000000001</v>
      </c>
      <c r="I29">
        <f t="shared" si="0"/>
        <v>185.27</v>
      </c>
    </row>
    <row r="30" spans="1:12" x14ac:dyDescent="0.3">
      <c r="A30" s="129">
        <v>37994</v>
      </c>
      <c r="B30" s="101">
        <v>56.46</v>
      </c>
      <c r="C30" s="101">
        <v>128.81</v>
      </c>
      <c r="F30" s="84">
        <v>45261</v>
      </c>
      <c r="G30" s="124">
        <v>67.39</v>
      </c>
      <c r="H30" s="111">
        <f t="shared" si="1"/>
        <v>117.88000000000001</v>
      </c>
      <c r="I30">
        <f t="shared" si="0"/>
        <v>185.27</v>
      </c>
    </row>
    <row r="31" spans="1:12" x14ac:dyDescent="0.3">
      <c r="A31" s="129">
        <v>38000</v>
      </c>
      <c r="B31" s="101">
        <v>56.31</v>
      </c>
      <c r="C31" s="101">
        <v>128.96</v>
      </c>
      <c r="F31" s="84">
        <v>45444</v>
      </c>
      <c r="G31" s="114">
        <v>68.680000000000007</v>
      </c>
      <c r="H31" s="114">
        <f t="shared" si="1"/>
        <v>116.59</v>
      </c>
      <c r="I31">
        <f t="shared" si="0"/>
        <v>185.27</v>
      </c>
    </row>
    <row r="32" spans="1:12" x14ac:dyDescent="0.3">
      <c r="A32" s="129">
        <v>38005</v>
      </c>
      <c r="B32" s="101">
        <v>56.41</v>
      </c>
      <c r="C32" s="101">
        <v>128.86000000000001</v>
      </c>
      <c r="F32" s="84">
        <v>45627</v>
      </c>
      <c r="G32" s="114">
        <v>67.61</v>
      </c>
      <c r="H32" s="114">
        <f t="shared" si="1"/>
        <v>117.66000000000001</v>
      </c>
      <c r="I32">
        <f t="shared" si="0"/>
        <v>185.27</v>
      </c>
    </row>
    <row r="33" spans="1:9" x14ac:dyDescent="0.3">
      <c r="A33" s="129">
        <v>38014</v>
      </c>
      <c r="B33" s="101">
        <v>56.42</v>
      </c>
      <c r="C33" s="101">
        <v>128.85</v>
      </c>
      <c r="F33" s="84">
        <v>45809</v>
      </c>
      <c r="G33" s="114">
        <v>68.86</v>
      </c>
      <c r="H33" s="114">
        <f t="shared" si="1"/>
        <v>116.41000000000001</v>
      </c>
      <c r="I33">
        <f t="shared" si="0"/>
        <v>185.27</v>
      </c>
    </row>
    <row r="34" spans="1:9" x14ac:dyDescent="0.3">
      <c r="A34" s="129">
        <v>38049</v>
      </c>
      <c r="B34" s="101">
        <v>56.25</v>
      </c>
      <c r="C34" s="101">
        <v>129.02000000000001</v>
      </c>
      <c r="F34" s="84">
        <v>45992</v>
      </c>
      <c r="G34" s="96">
        <v>68.69</v>
      </c>
      <c r="H34" s="111">
        <f t="shared" si="1"/>
        <v>116.58000000000001</v>
      </c>
      <c r="I34">
        <f t="shared" si="0"/>
        <v>185.27</v>
      </c>
    </row>
    <row r="35" spans="1:9" x14ac:dyDescent="0.3">
      <c r="A35" s="129">
        <v>38076</v>
      </c>
      <c r="B35" s="101">
        <v>56.35</v>
      </c>
      <c r="C35" s="101">
        <v>128.91999999999999</v>
      </c>
      <c r="F35"/>
      <c r="G35" s="81"/>
      <c r="H35"/>
    </row>
    <row r="36" spans="1:9" x14ac:dyDescent="0.3">
      <c r="A36" s="129">
        <v>38083</v>
      </c>
      <c r="B36" s="101">
        <v>56.32</v>
      </c>
      <c r="C36" s="101">
        <v>128.94999999999999</v>
      </c>
      <c r="F36"/>
      <c r="G36" s="81"/>
      <c r="H36"/>
    </row>
    <row r="37" spans="1:9" x14ac:dyDescent="0.3">
      <c r="A37" s="129">
        <v>38096</v>
      </c>
      <c r="B37" s="101">
        <v>56.37</v>
      </c>
      <c r="C37" s="101">
        <v>128.9</v>
      </c>
      <c r="F37"/>
      <c r="G37" s="81"/>
      <c r="H37"/>
    </row>
    <row r="38" spans="1:9" x14ac:dyDescent="0.3">
      <c r="A38" s="129">
        <v>38107</v>
      </c>
      <c r="B38" s="101">
        <v>56.37</v>
      </c>
      <c r="C38" s="101">
        <v>128.9</v>
      </c>
      <c r="E38" s="127"/>
      <c r="F38" s="115"/>
      <c r="G38" s="81"/>
      <c r="H38"/>
    </row>
    <row r="39" spans="1:9" x14ac:dyDescent="0.3">
      <c r="A39" s="129">
        <v>38119</v>
      </c>
      <c r="B39" s="101">
        <v>56.35</v>
      </c>
      <c r="C39" s="101">
        <v>128.91999999999999</v>
      </c>
      <c r="E39" s="128"/>
      <c r="F39" s="115"/>
      <c r="G39" s="81"/>
      <c r="H39"/>
    </row>
    <row r="40" spans="1:9" x14ac:dyDescent="0.3">
      <c r="A40" s="129">
        <v>38133</v>
      </c>
      <c r="B40" s="101">
        <v>56.25</v>
      </c>
      <c r="C40" s="101">
        <v>129.02000000000001</v>
      </c>
      <c r="E40" s="127"/>
      <c r="F40" s="115"/>
      <c r="G40" s="81"/>
      <c r="H40"/>
    </row>
    <row r="41" spans="1:9" x14ac:dyDescent="0.3">
      <c r="A41" s="129">
        <v>38141</v>
      </c>
      <c r="B41" s="101">
        <v>56.3</v>
      </c>
      <c r="C41" s="101">
        <v>128.97</v>
      </c>
      <c r="F41"/>
      <c r="G41" s="81"/>
      <c r="H41"/>
    </row>
    <row r="42" spans="1:9" x14ac:dyDescent="0.3">
      <c r="A42" s="129">
        <v>38153</v>
      </c>
      <c r="B42" s="101">
        <v>56.13</v>
      </c>
      <c r="C42" s="101">
        <v>129.13999999999999</v>
      </c>
      <c r="F42"/>
      <c r="G42" s="81"/>
      <c r="H42"/>
    </row>
    <row r="43" spans="1:9" x14ac:dyDescent="0.3">
      <c r="A43" s="129">
        <v>38155</v>
      </c>
      <c r="B43" s="101">
        <v>56.28</v>
      </c>
      <c r="C43" s="101">
        <v>128.99</v>
      </c>
      <c r="F43"/>
      <c r="G43" s="81"/>
      <c r="H43"/>
    </row>
    <row r="44" spans="1:9" x14ac:dyDescent="0.3">
      <c r="A44" s="129">
        <v>38161</v>
      </c>
      <c r="B44" s="111">
        <v>55.96</v>
      </c>
      <c r="C44" s="101">
        <v>129.31</v>
      </c>
      <c r="F44"/>
      <c r="G44" s="81"/>
      <c r="H44"/>
    </row>
    <row r="45" spans="1:9" x14ac:dyDescent="0.3">
      <c r="A45" s="129">
        <v>38183</v>
      </c>
      <c r="B45" s="101">
        <v>56.31</v>
      </c>
      <c r="C45" s="101">
        <v>128.96</v>
      </c>
      <c r="F45"/>
      <c r="G45" s="81"/>
      <c r="H45"/>
    </row>
    <row r="46" spans="1:9" x14ac:dyDescent="0.3">
      <c r="A46" s="129">
        <v>38197</v>
      </c>
      <c r="B46" s="101">
        <v>56.4</v>
      </c>
      <c r="C46" s="101">
        <v>128.87</v>
      </c>
      <c r="F46"/>
      <c r="G46" s="81"/>
      <c r="H46"/>
    </row>
    <row r="47" spans="1:9" x14ac:dyDescent="0.3">
      <c r="A47" s="129">
        <v>38202</v>
      </c>
      <c r="B47" s="101">
        <v>56.45</v>
      </c>
      <c r="C47" s="101">
        <v>128.82</v>
      </c>
      <c r="F47"/>
      <c r="G47" s="81"/>
      <c r="H47"/>
    </row>
    <row r="48" spans="1:9" x14ac:dyDescent="0.3">
      <c r="A48" s="129">
        <v>38209</v>
      </c>
      <c r="B48" s="101">
        <v>56.33</v>
      </c>
      <c r="C48" s="101">
        <v>128.94</v>
      </c>
      <c r="F48"/>
      <c r="G48" s="81"/>
      <c r="H48"/>
    </row>
    <row r="49" spans="1:8" x14ac:dyDescent="0.3">
      <c r="A49" s="129">
        <v>38216</v>
      </c>
      <c r="B49" s="101">
        <v>56.42</v>
      </c>
      <c r="C49" s="101">
        <v>128.85</v>
      </c>
      <c r="F49"/>
      <c r="G49" s="81"/>
      <c r="H49"/>
    </row>
    <row r="50" spans="1:8" x14ac:dyDescent="0.3">
      <c r="A50" s="129">
        <v>38222</v>
      </c>
      <c r="B50" s="101">
        <v>56.45</v>
      </c>
      <c r="C50" s="101">
        <v>128.82</v>
      </c>
      <c r="F50"/>
      <c r="G50" s="81"/>
      <c r="H50"/>
    </row>
    <row r="51" spans="1:8" x14ac:dyDescent="0.3">
      <c r="A51" s="129">
        <v>38226</v>
      </c>
      <c r="B51" s="101">
        <v>56.35</v>
      </c>
      <c r="C51" s="101">
        <v>128.91999999999999</v>
      </c>
      <c r="F51"/>
      <c r="G51" s="81"/>
      <c r="H51"/>
    </row>
    <row r="52" spans="1:8" x14ac:dyDescent="0.3">
      <c r="A52" s="129">
        <v>38230</v>
      </c>
      <c r="B52" s="101">
        <v>56.47</v>
      </c>
      <c r="C52" s="101">
        <v>128.80000000000001</v>
      </c>
      <c r="F52"/>
      <c r="G52" s="81"/>
      <c r="H52"/>
    </row>
    <row r="53" spans="1:8" x14ac:dyDescent="0.3">
      <c r="A53" s="129">
        <v>38237</v>
      </c>
      <c r="B53" s="101">
        <v>56.52</v>
      </c>
      <c r="C53" s="101">
        <v>128.75</v>
      </c>
      <c r="F53"/>
      <c r="G53" s="81"/>
      <c r="H53"/>
    </row>
    <row r="54" spans="1:8" x14ac:dyDescent="0.3">
      <c r="A54" s="129">
        <v>38246</v>
      </c>
      <c r="B54" s="101">
        <v>56.52</v>
      </c>
      <c r="C54" s="101">
        <v>128.75</v>
      </c>
      <c r="F54"/>
      <c r="G54" s="81"/>
      <c r="H54"/>
    </row>
    <row r="55" spans="1:8" x14ac:dyDescent="0.3">
      <c r="A55" s="129">
        <v>38251</v>
      </c>
      <c r="B55" s="101">
        <v>56.57</v>
      </c>
      <c r="C55" s="101">
        <v>128.69999999999999</v>
      </c>
      <c r="F55"/>
      <c r="G55" s="81"/>
      <c r="H55"/>
    </row>
    <row r="56" spans="1:8" x14ac:dyDescent="0.3">
      <c r="A56" s="129">
        <v>38265</v>
      </c>
      <c r="B56" s="101">
        <v>56.46</v>
      </c>
      <c r="C56" s="101">
        <v>128.81</v>
      </c>
      <c r="F56"/>
      <c r="G56" s="81"/>
      <c r="H56"/>
    </row>
    <row r="57" spans="1:8" x14ac:dyDescent="0.3">
      <c r="A57" s="129">
        <v>38288</v>
      </c>
      <c r="B57" s="101">
        <v>56.55</v>
      </c>
      <c r="C57" s="101">
        <v>128.72</v>
      </c>
      <c r="F57"/>
      <c r="G57" s="81"/>
      <c r="H57"/>
    </row>
    <row r="58" spans="1:8" x14ac:dyDescent="0.3">
      <c r="A58" s="129">
        <v>38308</v>
      </c>
      <c r="B58" s="101">
        <v>56.24</v>
      </c>
      <c r="C58" s="101">
        <v>129.03</v>
      </c>
      <c r="F58"/>
      <c r="G58" s="81"/>
      <c r="H58"/>
    </row>
    <row r="59" spans="1:8" x14ac:dyDescent="0.3">
      <c r="A59" s="129">
        <v>38313</v>
      </c>
      <c r="B59" s="101">
        <v>56.62</v>
      </c>
      <c r="C59" s="101">
        <v>128.65</v>
      </c>
      <c r="F59"/>
      <c r="G59" s="81"/>
      <c r="H59"/>
    </row>
    <row r="60" spans="1:8" x14ac:dyDescent="0.3">
      <c r="A60" s="129">
        <v>38322</v>
      </c>
      <c r="B60" s="101">
        <v>56.66</v>
      </c>
      <c r="C60" s="101">
        <v>128.61000000000001</v>
      </c>
      <c r="F60"/>
      <c r="G60" s="81"/>
      <c r="H60"/>
    </row>
    <row r="61" spans="1:8" x14ac:dyDescent="0.3">
      <c r="A61" s="129">
        <v>38342</v>
      </c>
      <c r="B61" s="101">
        <v>56.92</v>
      </c>
      <c r="C61" s="101">
        <v>128.35</v>
      </c>
      <c r="F61"/>
      <c r="G61" s="81"/>
      <c r="H61"/>
    </row>
    <row r="62" spans="1:8" x14ac:dyDescent="0.3">
      <c r="A62" s="129">
        <v>38378</v>
      </c>
      <c r="B62" s="101">
        <v>56.67</v>
      </c>
      <c r="C62" s="101">
        <v>128.6</v>
      </c>
      <c r="F62"/>
      <c r="G62" s="81"/>
      <c r="H62"/>
    </row>
    <row r="63" spans="1:8" x14ac:dyDescent="0.3">
      <c r="A63" s="129">
        <v>38404</v>
      </c>
      <c r="B63" s="101">
        <v>56.98</v>
      </c>
      <c r="C63" s="101">
        <v>128.29</v>
      </c>
      <c r="F63"/>
      <c r="G63" s="81"/>
      <c r="H63"/>
    </row>
    <row r="64" spans="1:8" x14ac:dyDescent="0.3">
      <c r="A64" s="129">
        <v>38687</v>
      </c>
      <c r="B64" s="101">
        <v>57.3</v>
      </c>
      <c r="C64" s="101">
        <v>127.97</v>
      </c>
      <c r="F64"/>
      <c r="G64" s="81"/>
      <c r="H64"/>
    </row>
    <row r="65" spans="1:8" x14ac:dyDescent="0.3">
      <c r="A65" s="129">
        <v>38740</v>
      </c>
      <c r="B65" s="101">
        <v>57.06</v>
      </c>
      <c r="C65" s="101">
        <v>128.21</v>
      </c>
      <c r="F65"/>
      <c r="G65" s="81"/>
      <c r="H65"/>
    </row>
    <row r="66" spans="1:8" x14ac:dyDescent="0.3">
      <c r="A66" s="129">
        <v>38754</v>
      </c>
      <c r="B66" s="101">
        <v>57.2</v>
      </c>
      <c r="C66" s="101">
        <v>128.07</v>
      </c>
      <c r="F66"/>
      <c r="G66" s="81"/>
      <c r="H66"/>
    </row>
    <row r="67" spans="1:8" x14ac:dyDescent="0.3">
      <c r="A67" s="129">
        <v>38779</v>
      </c>
      <c r="B67" s="101">
        <v>57.25</v>
      </c>
      <c r="C67" s="101">
        <v>128.02000000000001</v>
      </c>
      <c r="F67"/>
      <c r="G67" s="81"/>
      <c r="H67"/>
    </row>
    <row r="68" spans="1:8" x14ac:dyDescent="0.3">
      <c r="A68" s="129">
        <v>38817</v>
      </c>
      <c r="B68" s="101">
        <v>57.14</v>
      </c>
      <c r="C68" s="101">
        <v>128.13</v>
      </c>
      <c r="F68"/>
      <c r="G68" s="81"/>
      <c r="H68"/>
    </row>
    <row r="69" spans="1:8" x14ac:dyDescent="0.3">
      <c r="A69" s="129">
        <v>38825</v>
      </c>
      <c r="B69" s="101">
        <v>57.06</v>
      </c>
      <c r="C69" s="101">
        <v>128.21</v>
      </c>
      <c r="F69"/>
      <c r="G69" s="81"/>
      <c r="H69"/>
    </row>
    <row r="70" spans="1:8" x14ac:dyDescent="0.3">
      <c r="A70" s="129">
        <v>38833</v>
      </c>
      <c r="B70" s="101">
        <v>57.09</v>
      </c>
      <c r="C70" s="101">
        <v>128.18</v>
      </c>
      <c r="F70"/>
      <c r="G70" s="81"/>
      <c r="H70"/>
    </row>
    <row r="71" spans="1:8" x14ac:dyDescent="0.3">
      <c r="A71" s="129">
        <v>38844</v>
      </c>
      <c r="B71" s="101">
        <v>57.09</v>
      </c>
      <c r="C71" s="101">
        <v>128.18</v>
      </c>
      <c r="F71"/>
      <c r="G71" s="81"/>
      <c r="H71"/>
    </row>
    <row r="72" spans="1:8" x14ac:dyDescent="0.3">
      <c r="A72" s="129">
        <v>38849</v>
      </c>
      <c r="B72" s="101">
        <v>57.11</v>
      </c>
      <c r="C72" s="101">
        <v>128.16</v>
      </c>
      <c r="F72"/>
      <c r="G72" s="81"/>
      <c r="H72"/>
    </row>
    <row r="73" spans="1:8" x14ac:dyDescent="0.3">
      <c r="A73" s="129">
        <v>38855</v>
      </c>
      <c r="B73" s="101">
        <v>57.07</v>
      </c>
      <c r="C73" s="101">
        <v>128.19999999999999</v>
      </c>
      <c r="F73"/>
      <c r="G73" s="81"/>
      <c r="H73"/>
    </row>
    <row r="74" spans="1:8" x14ac:dyDescent="0.3">
      <c r="A74" s="129">
        <v>38860</v>
      </c>
      <c r="B74" s="101">
        <v>57.05</v>
      </c>
      <c r="C74" s="101">
        <v>128.22</v>
      </c>
      <c r="F74"/>
      <c r="G74" s="81"/>
      <c r="H74"/>
    </row>
    <row r="75" spans="1:8" x14ac:dyDescent="0.3">
      <c r="A75" s="129">
        <v>38909</v>
      </c>
      <c r="B75" s="101">
        <v>57.07</v>
      </c>
      <c r="C75" s="101">
        <v>128.19999999999999</v>
      </c>
      <c r="F75"/>
      <c r="G75" s="81"/>
      <c r="H75"/>
    </row>
    <row r="76" spans="1:8" x14ac:dyDescent="0.3">
      <c r="A76" s="129">
        <v>38929</v>
      </c>
      <c r="B76" s="101">
        <v>57.07</v>
      </c>
      <c r="C76" s="101">
        <v>128.19999999999999</v>
      </c>
      <c r="F76"/>
      <c r="G76" s="81"/>
      <c r="H76"/>
    </row>
    <row r="77" spans="1:8" x14ac:dyDescent="0.3">
      <c r="A77" s="129">
        <v>38960</v>
      </c>
      <c r="B77" s="101">
        <v>56.92</v>
      </c>
      <c r="C77" s="101">
        <v>128.35</v>
      </c>
      <c r="F77"/>
      <c r="G77" s="81"/>
      <c r="H77"/>
    </row>
    <row r="78" spans="1:8" x14ac:dyDescent="0.3">
      <c r="A78" s="129">
        <v>38974</v>
      </c>
      <c r="B78" s="101">
        <v>57.17</v>
      </c>
      <c r="C78" s="101">
        <v>128.1</v>
      </c>
      <c r="F78"/>
      <c r="G78" s="81"/>
      <c r="H78"/>
    </row>
    <row r="79" spans="1:8" x14ac:dyDescent="0.3">
      <c r="A79" s="129">
        <v>38988</v>
      </c>
      <c r="B79" s="101">
        <v>57.09</v>
      </c>
      <c r="C79" s="101">
        <v>128.18</v>
      </c>
      <c r="F79"/>
      <c r="G79" s="81"/>
      <c r="H79"/>
    </row>
    <row r="80" spans="1:8" x14ac:dyDescent="0.3">
      <c r="A80" s="129">
        <v>38999</v>
      </c>
      <c r="B80" s="101">
        <v>57.15</v>
      </c>
      <c r="C80" s="101">
        <v>128.12</v>
      </c>
      <c r="F80"/>
      <c r="G80" s="81"/>
      <c r="H80"/>
    </row>
    <row r="81" spans="1:8" x14ac:dyDescent="0.3">
      <c r="A81" s="129">
        <v>39085</v>
      </c>
      <c r="B81" s="101">
        <v>57.24</v>
      </c>
      <c r="C81" s="101">
        <v>128.03</v>
      </c>
      <c r="F81"/>
      <c r="G81" s="81"/>
      <c r="H81"/>
    </row>
    <row r="82" spans="1:8" x14ac:dyDescent="0.3">
      <c r="A82" s="129">
        <v>39107</v>
      </c>
      <c r="B82" s="101">
        <v>57.29</v>
      </c>
      <c r="C82" s="101">
        <v>127.98</v>
      </c>
      <c r="F82"/>
      <c r="G82" s="81"/>
      <c r="H82"/>
    </row>
    <row r="83" spans="1:8" x14ac:dyDescent="0.3">
      <c r="A83" s="129">
        <v>39140</v>
      </c>
      <c r="B83" s="101">
        <v>57.32</v>
      </c>
      <c r="C83" s="101">
        <v>127.95</v>
      </c>
      <c r="F83"/>
      <c r="G83" s="81"/>
      <c r="H83"/>
    </row>
    <row r="84" spans="1:8" x14ac:dyDescent="0.3">
      <c r="A84" s="129">
        <v>39184</v>
      </c>
      <c r="B84" s="101">
        <v>57.44</v>
      </c>
      <c r="C84" s="101">
        <v>127.83</v>
      </c>
      <c r="F84"/>
      <c r="G84" s="81"/>
      <c r="H84"/>
    </row>
    <row r="85" spans="1:8" x14ac:dyDescent="0.3">
      <c r="A85" s="129">
        <v>39213</v>
      </c>
      <c r="B85" s="101">
        <v>57.51</v>
      </c>
      <c r="C85" s="101">
        <v>127.76</v>
      </c>
      <c r="F85"/>
      <c r="G85" s="81"/>
      <c r="H85"/>
    </row>
    <row r="86" spans="1:8" x14ac:dyDescent="0.3">
      <c r="A86" s="129">
        <v>39253</v>
      </c>
      <c r="B86" s="101">
        <v>57.4</v>
      </c>
      <c r="C86" s="101">
        <v>127.87</v>
      </c>
      <c r="F86"/>
      <c r="G86" s="81"/>
      <c r="H86"/>
    </row>
    <row r="87" spans="1:8" x14ac:dyDescent="0.3">
      <c r="A87" s="130">
        <v>39420</v>
      </c>
      <c r="B87" s="111">
        <v>58.01</v>
      </c>
      <c r="C87" s="101">
        <v>127.26</v>
      </c>
      <c r="F87"/>
      <c r="G87" s="81"/>
      <c r="H87"/>
    </row>
    <row r="88" spans="1:8" x14ac:dyDescent="0.3">
      <c r="A88" s="130">
        <v>39421</v>
      </c>
      <c r="B88" s="111">
        <v>58.03</v>
      </c>
      <c r="C88" s="101">
        <v>127.24</v>
      </c>
      <c r="F88"/>
      <c r="G88" s="81"/>
      <c r="H88"/>
    </row>
    <row r="89" spans="1:8" x14ac:dyDescent="0.3">
      <c r="A89" s="130">
        <v>39422</v>
      </c>
      <c r="B89" s="111">
        <v>58.04</v>
      </c>
      <c r="C89" s="101">
        <v>127.23</v>
      </c>
      <c r="F89"/>
      <c r="G89" s="81"/>
      <c r="H89"/>
    </row>
    <row r="90" spans="1:8" x14ac:dyDescent="0.3">
      <c r="A90" s="130">
        <v>39427</v>
      </c>
      <c r="B90" s="111">
        <v>58.05</v>
      </c>
      <c r="C90" s="101">
        <v>127.22</v>
      </c>
      <c r="F90"/>
      <c r="G90" s="81"/>
      <c r="H90"/>
    </row>
    <row r="91" spans="1:8" x14ac:dyDescent="0.3">
      <c r="A91" s="130">
        <v>39428</v>
      </c>
      <c r="B91" s="111">
        <v>58.05</v>
      </c>
      <c r="C91" s="101">
        <v>127.22</v>
      </c>
      <c r="F91"/>
      <c r="G91" s="81"/>
      <c r="H91"/>
    </row>
    <row r="92" spans="1:8" x14ac:dyDescent="0.3">
      <c r="A92" s="130">
        <v>39429</v>
      </c>
      <c r="B92" s="111">
        <v>58.04</v>
      </c>
      <c r="C92" s="101">
        <v>127.23</v>
      </c>
      <c r="F92"/>
      <c r="G92" s="81"/>
      <c r="H92"/>
    </row>
    <row r="93" spans="1:8" x14ac:dyDescent="0.3">
      <c r="A93" s="130">
        <v>39430</v>
      </c>
      <c r="B93" s="111">
        <v>58.04</v>
      </c>
      <c r="C93" s="101">
        <v>127.23</v>
      </c>
      <c r="F93"/>
      <c r="G93" s="81"/>
      <c r="H93"/>
    </row>
    <row r="94" spans="1:8" x14ac:dyDescent="0.3">
      <c r="A94" s="130">
        <v>39433</v>
      </c>
      <c r="B94" s="111">
        <v>57.99</v>
      </c>
      <c r="C94" s="101">
        <v>127.28</v>
      </c>
      <c r="F94"/>
      <c r="G94" s="81"/>
      <c r="H94"/>
    </row>
    <row r="95" spans="1:8" x14ac:dyDescent="0.3">
      <c r="A95" s="130">
        <v>39434</v>
      </c>
      <c r="B95" s="111">
        <v>58.01</v>
      </c>
      <c r="C95" s="101">
        <v>127.26</v>
      </c>
      <c r="F95"/>
      <c r="G95" s="81"/>
      <c r="H95"/>
    </row>
    <row r="96" spans="1:8" x14ac:dyDescent="0.3">
      <c r="A96" s="129">
        <v>39479</v>
      </c>
      <c r="B96" s="101">
        <v>58.79</v>
      </c>
      <c r="C96" s="101">
        <v>126.48</v>
      </c>
      <c r="F96"/>
      <c r="G96" s="81"/>
      <c r="H96"/>
    </row>
    <row r="97" spans="1:8" x14ac:dyDescent="0.3">
      <c r="A97" s="129">
        <v>39507</v>
      </c>
      <c r="B97" s="101">
        <v>58.8</v>
      </c>
      <c r="C97" s="101">
        <v>126.47</v>
      </c>
      <c r="F97"/>
      <c r="G97" s="81"/>
      <c r="H97"/>
    </row>
    <row r="98" spans="1:8" x14ac:dyDescent="0.3">
      <c r="A98" s="129">
        <v>39538</v>
      </c>
      <c r="B98" s="101">
        <v>58.82</v>
      </c>
      <c r="C98" s="101">
        <v>126.45</v>
      </c>
      <c r="F98"/>
      <c r="G98" s="81"/>
      <c r="H98"/>
    </row>
    <row r="99" spans="1:8" x14ac:dyDescent="0.3">
      <c r="A99" s="129">
        <v>39545</v>
      </c>
      <c r="B99" s="101">
        <v>58.76</v>
      </c>
      <c r="C99" s="101">
        <v>126.51</v>
      </c>
      <c r="F99"/>
      <c r="G99" s="81"/>
      <c r="H99"/>
    </row>
    <row r="100" spans="1:8" x14ac:dyDescent="0.3">
      <c r="A100" s="129">
        <v>39546</v>
      </c>
      <c r="B100" s="101">
        <v>58.76</v>
      </c>
      <c r="C100" s="101">
        <v>126.51</v>
      </c>
      <c r="F100"/>
      <c r="G100" s="81"/>
      <c r="H100"/>
    </row>
    <row r="101" spans="1:8" x14ac:dyDescent="0.3">
      <c r="A101" s="129">
        <v>39547</v>
      </c>
      <c r="B101" s="101">
        <v>58.76</v>
      </c>
      <c r="C101" s="101">
        <v>126.51</v>
      </c>
      <c r="F101"/>
      <c r="G101" s="81"/>
      <c r="H101"/>
    </row>
    <row r="102" spans="1:8" x14ac:dyDescent="0.3">
      <c r="A102" s="129">
        <v>39548</v>
      </c>
      <c r="B102" s="101">
        <v>58.75</v>
      </c>
      <c r="C102" s="101">
        <v>126.52</v>
      </c>
      <c r="F102"/>
      <c r="G102" s="81"/>
      <c r="H102"/>
    </row>
    <row r="103" spans="1:8" x14ac:dyDescent="0.3">
      <c r="A103" s="129">
        <v>39549</v>
      </c>
      <c r="B103" s="101">
        <v>58.76</v>
      </c>
      <c r="C103" s="101">
        <v>126.51</v>
      </c>
      <c r="F103"/>
      <c r="G103" s="81"/>
      <c r="H103"/>
    </row>
    <row r="104" spans="1:8" x14ac:dyDescent="0.3">
      <c r="A104" s="129">
        <v>39552</v>
      </c>
      <c r="B104" s="101">
        <v>58.76</v>
      </c>
      <c r="C104" s="101">
        <v>126.51</v>
      </c>
      <c r="F104"/>
      <c r="G104" s="81"/>
      <c r="H104"/>
    </row>
    <row r="105" spans="1:8" x14ac:dyDescent="0.3">
      <c r="A105" s="129">
        <v>39553</v>
      </c>
      <c r="B105" s="101">
        <v>58.77</v>
      </c>
      <c r="C105" s="101">
        <v>126.5</v>
      </c>
      <c r="F105"/>
      <c r="G105" s="81"/>
      <c r="H105"/>
    </row>
    <row r="106" spans="1:8" x14ac:dyDescent="0.3">
      <c r="A106" s="129">
        <v>39554</v>
      </c>
      <c r="B106" s="101">
        <v>58.78</v>
      </c>
      <c r="C106" s="101">
        <v>126.49</v>
      </c>
      <c r="F106"/>
      <c r="G106" s="81"/>
      <c r="H106"/>
    </row>
    <row r="107" spans="1:8" x14ac:dyDescent="0.3">
      <c r="A107" s="129">
        <v>39555</v>
      </c>
      <c r="B107" s="101">
        <v>58.78</v>
      </c>
      <c r="C107" s="101">
        <v>126.49</v>
      </c>
      <c r="F107"/>
      <c r="G107" s="81"/>
      <c r="H107"/>
    </row>
    <row r="108" spans="1:8" x14ac:dyDescent="0.3">
      <c r="A108" s="129">
        <v>39559</v>
      </c>
      <c r="B108" s="101">
        <v>58.78</v>
      </c>
      <c r="C108" s="101">
        <v>126.49</v>
      </c>
      <c r="F108"/>
      <c r="G108" s="81"/>
      <c r="H108"/>
    </row>
    <row r="109" spans="1:8" x14ac:dyDescent="0.3">
      <c r="A109" s="129">
        <v>39560</v>
      </c>
      <c r="B109" s="101">
        <v>58.79</v>
      </c>
      <c r="C109" s="101">
        <v>126.48</v>
      </c>
      <c r="F109"/>
      <c r="G109" s="81"/>
      <c r="H109"/>
    </row>
    <row r="110" spans="1:8" x14ac:dyDescent="0.3">
      <c r="A110" s="129">
        <v>39562</v>
      </c>
      <c r="B110" s="101">
        <v>58.8</v>
      </c>
      <c r="C110" s="101">
        <v>126.47</v>
      </c>
      <c r="F110"/>
      <c r="G110" s="81"/>
      <c r="H110"/>
    </row>
    <row r="111" spans="1:8" x14ac:dyDescent="0.3">
      <c r="A111" s="129">
        <v>39566</v>
      </c>
      <c r="B111" s="101">
        <v>58.8</v>
      </c>
      <c r="C111" s="101">
        <v>126.47</v>
      </c>
      <c r="F111"/>
      <c r="G111" s="81"/>
      <c r="H111"/>
    </row>
    <row r="112" spans="1:8" x14ac:dyDescent="0.3">
      <c r="A112" s="129">
        <v>39567</v>
      </c>
      <c r="B112" s="101">
        <v>58.8</v>
      </c>
      <c r="C112" s="101">
        <v>126.47</v>
      </c>
      <c r="F112"/>
      <c r="G112" s="81"/>
      <c r="H112"/>
    </row>
    <row r="113" spans="1:8" x14ac:dyDescent="0.3">
      <c r="A113" s="129">
        <v>39580</v>
      </c>
      <c r="B113" s="101">
        <v>58.82</v>
      </c>
      <c r="C113" s="101">
        <v>126.45</v>
      </c>
      <c r="F113"/>
      <c r="G113" s="81"/>
      <c r="H113"/>
    </row>
    <row r="114" spans="1:8" x14ac:dyDescent="0.3">
      <c r="A114" s="129">
        <v>39581</v>
      </c>
      <c r="B114" s="101">
        <v>58.83</v>
      </c>
      <c r="C114" s="101">
        <v>126.44</v>
      </c>
      <c r="F114"/>
      <c r="G114" s="81"/>
      <c r="H114"/>
    </row>
    <row r="115" spans="1:8" x14ac:dyDescent="0.3">
      <c r="A115" s="129">
        <v>39582</v>
      </c>
      <c r="B115" s="101">
        <v>58.82</v>
      </c>
      <c r="C115" s="101">
        <v>126.45</v>
      </c>
      <c r="F115"/>
      <c r="G115" s="81"/>
      <c r="H115"/>
    </row>
    <row r="116" spans="1:8" x14ac:dyDescent="0.3">
      <c r="A116" s="129">
        <v>39583</v>
      </c>
      <c r="B116" s="101">
        <v>58.82</v>
      </c>
      <c r="C116" s="101">
        <v>126.45</v>
      </c>
      <c r="F116"/>
      <c r="G116" s="81"/>
      <c r="H116"/>
    </row>
    <row r="117" spans="1:8" x14ac:dyDescent="0.3">
      <c r="A117" s="129">
        <v>39587</v>
      </c>
      <c r="B117" s="101">
        <v>58.84</v>
      </c>
      <c r="C117" s="101">
        <v>126.43</v>
      </c>
      <c r="F117"/>
      <c r="G117" s="81"/>
      <c r="H117"/>
    </row>
    <row r="118" spans="1:8" x14ac:dyDescent="0.3">
      <c r="A118" s="129">
        <v>39588</v>
      </c>
      <c r="B118" s="101">
        <v>58.85</v>
      </c>
      <c r="C118" s="101">
        <v>126.42</v>
      </c>
      <c r="F118"/>
      <c r="G118" s="81"/>
      <c r="H118"/>
    </row>
    <row r="119" spans="1:8" x14ac:dyDescent="0.3">
      <c r="A119" s="129">
        <v>39589</v>
      </c>
      <c r="B119" s="101">
        <v>58.85</v>
      </c>
      <c r="C119" s="101">
        <v>126.42</v>
      </c>
      <c r="F119"/>
      <c r="G119" s="81"/>
      <c r="H119"/>
    </row>
    <row r="120" spans="1:8" x14ac:dyDescent="0.3">
      <c r="A120" s="129">
        <v>39590</v>
      </c>
      <c r="B120" s="101">
        <v>58.84</v>
      </c>
      <c r="C120" s="101">
        <v>126.43</v>
      </c>
      <c r="F120"/>
      <c r="G120" s="81"/>
      <c r="H120"/>
    </row>
    <row r="121" spans="1:8" x14ac:dyDescent="0.3">
      <c r="A121" s="129">
        <v>39595</v>
      </c>
      <c r="B121" s="101">
        <v>58.83</v>
      </c>
      <c r="C121" s="101">
        <v>126.44</v>
      </c>
      <c r="F121"/>
      <c r="G121" s="81"/>
      <c r="H121"/>
    </row>
    <row r="122" spans="1:8" x14ac:dyDescent="0.3">
      <c r="A122" s="129">
        <v>39596</v>
      </c>
      <c r="B122" s="101">
        <v>58.85</v>
      </c>
      <c r="C122" s="101">
        <v>126.42</v>
      </c>
      <c r="F122"/>
      <c r="G122" s="81"/>
      <c r="H122"/>
    </row>
    <row r="123" spans="1:8" x14ac:dyDescent="0.3">
      <c r="A123" s="129">
        <v>39597</v>
      </c>
      <c r="B123" s="101">
        <v>58.86</v>
      </c>
      <c r="C123" s="101">
        <v>126.41</v>
      </c>
      <c r="F123"/>
      <c r="G123" s="81"/>
      <c r="H123"/>
    </row>
    <row r="124" spans="1:8" x14ac:dyDescent="0.3">
      <c r="A124" s="129">
        <v>39602</v>
      </c>
      <c r="B124" s="101">
        <v>58.84</v>
      </c>
      <c r="C124" s="101">
        <v>126.43</v>
      </c>
      <c r="F124"/>
      <c r="G124" s="81"/>
      <c r="H124"/>
    </row>
    <row r="125" spans="1:8" x14ac:dyDescent="0.3">
      <c r="A125" s="129">
        <v>39603</v>
      </c>
      <c r="B125" s="101">
        <v>58.86</v>
      </c>
      <c r="C125" s="101">
        <v>126.41</v>
      </c>
      <c r="F125"/>
      <c r="G125" s="81"/>
      <c r="H125"/>
    </row>
    <row r="126" spans="1:8" x14ac:dyDescent="0.3">
      <c r="A126" s="129">
        <v>39604</v>
      </c>
      <c r="B126" s="101">
        <v>58.86</v>
      </c>
      <c r="C126" s="101">
        <v>126.41</v>
      </c>
      <c r="F126"/>
      <c r="G126" s="81"/>
      <c r="H126"/>
    </row>
    <row r="127" spans="1:8" x14ac:dyDescent="0.3">
      <c r="A127" s="129">
        <v>39608</v>
      </c>
      <c r="B127" s="101">
        <v>58.85</v>
      </c>
      <c r="C127" s="101">
        <v>126.42</v>
      </c>
      <c r="F127"/>
      <c r="G127" s="81"/>
      <c r="H127"/>
    </row>
    <row r="128" spans="1:8" x14ac:dyDescent="0.3">
      <c r="A128" s="129">
        <v>39609</v>
      </c>
      <c r="B128" s="101">
        <v>58.85</v>
      </c>
      <c r="C128" s="101">
        <v>126.42</v>
      </c>
      <c r="F128"/>
      <c r="G128" s="81"/>
      <c r="H128"/>
    </row>
    <row r="129" spans="1:8" x14ac:dyDescent="0.3">
      <c r="A129" s="129">
        <v>39610</v>
      </c>
      <c r="B129" s="101">
        <v>58.86</v>
      </c>
      <c r="C129" s="101">
        <v>126.41</v>
      </c>
      <c r="F129"/>
      <c r="G129" s="81"/>
      <c r="H129"/>
    </row>
    <row r="130" spans="1:8" x14ac:dyDescent="0.3">
      <c r="A130" s="129">
        <v>39611</v>
      </c>
      <c r="B130" s="101">
        <v>58.86</v>
      </c>
      <c r="C130" s="101">
        <v>126.41</v>
      </c>
      <c r="F130"/>
      <c r="G130" s="81"/>
      <c r="H130"/>
    </row>
    <row r="131" spans="1:8" x14ac:dyDescent="0.3">
      <c r="A131" s="129">
        <v>39612</v>
      </c>
      <c r="B131" s="101">
        <v>58.86</v>
      </c>
      <c r="C131" s="101">
        <v>126.41</v>
      </c>
      <c r="F131"/>
      <c r="G131" s="81"/>
      <c r="H131"/>
    </row>
    <row r="132" spans="1:8" x14ac:dyDescent="0.3">
      <c r="A132" s="129">
        <v>39615</v>
      </c>
      <c r="B132" s="101">
        <v>58.88</v>
      </c>
      <c r="C132" s="101">
        <v>126.39</v>
      </c>
      <c r="F132"/>
      <c r="G132" s="81"/>
      <c r="H132"/>
    </row>
    <row r="133" spans="1:8" x14ac:dyDescent="0.3">
      <c r="A133" s="129">
        <v>39616</v>
      </c>
      <c r="B133" s="101">
        <v>58.88</v>
      </c>
      <c r="C133" s="101">
        <v>126.39</v>
      </c>
      <c r="F133"/>
      <c r="G133" s="81"/>
      <c r="H133"/>
    </row>
    <row r="134" spans="1:8" x14ac:dyDescent="0.3">
      <c r="A134" s="129">
        <v>39617</v>
      </c>
      <c r="B134" s="101">
        <v>58.89</v>
      </c>
      <c r="C134" s="101">
        <v>126.38</v>
      </c>
      <c r="F134"/>
      <c r="G134" s="81"/>
      <c r="H134"/>
    </row>
    <row r="135" spans="1:8" x14ac:dyDescent="0.3">
      <c r="A135" s="129">
        <v>39618</v>
      </c>
      <c r="B135" s="101">
        <v>58.9</v>
      </c>
      <c r="C135" s="101">
        <v>126.37</v>
      </c>
      <c r="F135"/>
      <c r="G135" s="81"/>
      <c r="H135"/>
    </row>
    <row r="136" spans="1:8" x14ac:dyDescent="0.3">
      <c r="A136" s="129">
        <v>39624</v>
      </c>
      <c r="B136" s="101">
        <v>58.9</v>
      </c>
      <c r="C136" s="101">
        <v>126.37</v>
      </c>
      <c r="F136"/>
      <c r="G136" s="81"/>
      <c r="H136"/>
    </row>
    <row r="137" spans="1:8" x14ac:dyDescent="0.3">
      <c r="A137" s="129">
        <v>39633</v>
      </c>
      <c r="B137" s="101">
        <v>59.02</v>
      </c>
      <c r="C137" s="101">
        <v>126.25</v>
      </c>
      <c r="F137"/>
      <c r="G137" s="81"/>
      <c r="H137"/>
    </row>
    <row r="138" spans="1:8" x14ac:dyDescent="0.3">
      <c r="A138" s="129">
        <v>39634</v>
      </c>
      <c r="B138" s="101">
        <v>59.02</v>
      </c>
      <c r="C138" s="101">
        <v>126.25</v>
      </c>
      <c r="F138"/>
      <c r="G138" s="81"/>
      <c r="H138"/>
    </row>
    <row r="139" spans="1:8" x14ac:dyDescent="0.3">
      <c r="A139" s="129">
        <v>39635</v>
      </c>
      <c r="B139" s="101">
        <v>59.02</v>
      </c>
      <c r="C139" s="101">
        <v>126.25</v>
      </c>
      <c r="F139"/>
      <c r="G139" s="81"/>
      <c r="H139"/>
    </row>
    <row r="140" spans="1:8" x14ac:dyDescent="0.3">
      <c r="A140" s="129">
        <v>39636</v>
      </c>
      <c r="B140" s="101">
        <v>58.9</v>
      </c>
      <c r="C140" s="101">
        <v>126.37</v>
      </c>
      <c r="F140"/>
      <c r="G140" s="81"/>
      <c r="H140"/>
    </row>
    <row r="141" spans="1:8" x14ac:dyDescent="0.3">
      <c r="A141" s="129">
        <v>39637</v>
      </c>
      <c r="B141" s="101">
        <v>58.9</v>
      </c>
      <c r="C141" s="101">
        <v>126.37</v>
      </c>
      <c r="F141"/>
      <c r="G141" s="81"/>
      <c r="H141"/>
    </row>
    <row r="142" spans="1:8" x14ac:dyDescent="0.3">
      <c r="A142" s="129">
        <v>39638</v>
      </c>
      <c r="B142" s="101">
        <v>58.9</v>
      </c>
      <c r="C142" s="101">
        <v>126.37</v>
      </c>
      <c r="F142"/>
      <c r="G142" s="81"/>
      <c r="H142"/>
    </row>
    <row r="143" spans="1:8" x14ac:dyDescent="0.3">
      <c r="A143" s="129">
        <v>39639</v>
      </c>
      <c r="B143" s="101">
        <v>58.9</v>
      </c>
      <c r="C143" s="101">
        <v>126.37</v>
      </c>
      <c r="F143"/>
      <c r="G143" s="81"/>
      <c r="H143"/>
    </row>
    <row r="144" spans="1:8" x14ac:dyDescent="0.3">
      <c r="A144" s="129">
        <v>39640</v>
      </c>
      <c r="B144" s="101">
        <v>58.93</v>
      </c>
      <c r="C144" s="101">
        <v>126.34</v>
      </c>
      <c r="F144"/>
      <c r="G144" s="81"/>
      <c r="H144"/>
    </row>
    <row r="145" spans="1:8" x14ac:dyDescent="0.3">
      <c r="A145" s="129">
        <v>39641</v>
      </c>
      <c r="B145" s="101">
        <v>58.91</v>
      </c>
      <c r="C145" s="101">
        <v>126.36</v>
      </c>
      <c r="F145"/>
      <c r="G145" s="81"/>
      <c r="H145"/>
    </row>
    <row r="146" spans="1:8" x14ac:dyDescent="0.3">
      <c r="A146" s="129">
        <v>39642</v>
      </c>
      <c r="B146" s="101">
        <v>58.93</v>
      </c>
      <c r="C146" s="101">
        <v>126.34</v>
      </c>
      <c r="F146"/>
      <c r="G146" s="81"/>
      <c r="H146"/>
    </row>
    <row r="147" spans="1:8" x14ac:dyDescent="0.3">
      <c r="A147" s="129">
        <v>39643</v>
      </c>
      <c r="B147" s="101">
        <v>58.93</v>
      </c>
      <c r="C147" s="101">
        <v>126.34</v>
      </c>
      <c r="F147"/>
      <c r="G147" s="81"/>
      <c r="H147"/>
    </row>
    <row r="148" spans="1:8" x14ac:dyDescent="0.3">
      <c r="A148" s="129">
        <v>39644</v>
      </c>
      <c r="B148" s="101">
        <v>58.94</v>
      </c>
      <c r="C148" s="101">
        <v>126.33</v>
      </c>
      <c r="F148"/>
      <c r="G148" s="81"/>
      <c r="H148"/>
    </row>
    <row r="149" spans="1:8" x14ac:dyDescent="0.3">
      <c r="A149" s="129">
        <v>39645</v>
      </c>
      <c r="B149" s="101">
        <v>58.93</v>
      </c>
      <c r="C149" s="101">
        <v>126.34</v>
      </c>
      <c r="F149"/>
      <c r="G149" s="81"/>
      <c r="H149"/>
    </row>
    <row r="150" spans="1:8" x14ac:dyDescent="0.3">
      <c r="A150" s="129">
        <v>39646</v>
      </c>
      <c r="B150" s="101">
        <v>58.94</v>
      </c>
      <c r="C150" s="101">
        <v>126.33</v>
      </c>
      <c r="F150"/>
      <c r="G150" s="81"/>
      <c r="H150"/>
    </row>
    <row r="151" spans="1:8" x14ac:dyDescent="0.3">
      <c r="A151" s="129">
        <v>39647</v>
      </c>
      <c r="B151" s="101">
        <v>58.93</v>
      </c>
      <c r="C151" s="101">
        <v>126.34</v>
      </c>
      <c r="F151"/>
      <c r="G151" s="81"/>
      <c r="H151"/>
    </row>
    <row r="152" spans="1:8" x14ac:dyDescent="0.3">
      <c r="A152" s="129">
        <v>39648</v>
      </c>
      <c r="B152" s="101">
        <v>58.93</v>
      </c>
      <c r="C152" s="101">
        <v>126.34</v>
      </c>
      <c r="F152"/>
      <c r="G152" s="81"/>
      <c r="H152"/>
    </row>
    <row r="153" spans="1:8" x14ac:dyDescent="0.3">
      <c r="A153" s="129">
        <v>39649</v>
      </c>
      <c r="B153" s="101">
        <v>58.94</v>
      </c>
      <c r="C153" s="101">
        <v>126.33</v>
      </c>
      <c r="F153"/>
      <c r="G153" s="81"/>
      <c r="H153"/>
    </row>
    <row r="154" spans="1:8" x14ac:dyDescent="0.3">
      <c r="A154" s="129">
        <v>39650</v>
      </c>
      <c r="B154" s="101">
        <v>58.95</v>
      </c>
      <c r="C154" s="101">
        <v>126.32</v>
      </c>
      <c r="F154"/>
      <c r="G154" s="81"/>
      <c r="H154"/>
    </row>
    <row r="155" spans="1:8" x14ac:dyDescent="0.3">
      <c r="A155" s="129">
        <v>39714</v>
      </c>
      <c r="B155" s="101">
        <v>58.92</v>
      </c>
      <c r="C155" s="101">
        <v>126.35</v>
      </c>
      <c r="F155"/>
      <c r="G155" s="81"/>
      <c r="H155"/>
    </row>
    <row r="156" spans="1:8" x14ac:dyDescent="0.3">
      <c r="A156" s="129">
        <v>39805</v>
      </c>
      <c r="B156" s="101">
        <v>59.72</v>
      </c>
      <c r="C156" s="101">
        <v>125.55</v>
      </c>
      <c r="F156"/>
      <c r="G156" s="81"/>
      <c r="H156"/>
    </row>
    <row r="157" spans="1:8" x14ac:dyDescent="0.3">
      <c r="A157" s="129">
        <v>39847</v>
      </c>
      <c r="B157" s="101">
        <v>58.42</v>
      </c>
      <c r="C157" s="101">
        <v>126.85</v>
      </c>
      <c r="F157"/>
      <c r="G157" s="81"/>
      <c r="H157"/>
    </row>
    <row r="158" spans="1:8" x14ac:dyDescent="0.3">
      <c r="A158" s="129">
        <v>39881</v>
      </c>
      <c r="B158" s="101">
        <v>58.9</v>
      </c>
      <c r="C158" s="101">
        <v>126.37</v>
      </c>
      <c r="F158"/>
      <c r="G158" s="81"/>
      <c r="H158"/>
    </row>
    <row r="159" spans="1:8" x14ac:dyDescent="0.3">
      <c r="A159" s="129">
        <v>39939</v>
      </c>
      <c r="B159" s="101">
        <v>59.04</v>
      </c>
      <c r="C159" s="101">
        <v>126.23</v>
      </c>
      <c r="F159"/>
      <c r="G159" s="81"/>
      <c r="H159"/>
    </row>
    <row r="160" spans="1:8" x14ac:dyDescent="0.3">
      <c r="A160" s="130">
        <v>40049</v>
      </c>
      <c r="B160" s="111">
        <v>59.35</v>
      </c>
      <c r="C160" s="101">
        <v>125.92</v>
      </c>
      <c r="F160"/>
      <c r="G160" s="81"/>
      <c r="H160"/>
    </row>
    <row r="161" spans="1:8" x14ac:dyDescent="0.3">
      <c r="A161" s="130">
        <v>40190</v>
      </c>
      <c r="B161" s="111">
        <v>59.55</v>
      </c>
      <c r="C161" s="101">
        <v>125.72</v>
      </c>
      <c r="F161"/>
      <c r="G161" s="81"/>
      <c r="H161"/>
    </row>
    <row r="162" spans="1:8" x14ac:dyDescent="0.3">
      <c r="A162" s="130">
        <v>40238</v>
      </c>
      <c r="B162" s="111">
        <v>60.06</v>
      </c>
      <c r="C162" s="101">
        <v>125.21</v>
      </c>
      <c r="F162"/>
      <c r="G162" s="81"/>
      <c r="H162"/>
    </row>
    <row r="163" spans="1:8" x14ac:dyDescent="0.3">
      <c r="A163" s="130">
        <v>40242</v>
      </c>
      <c r="B163" s="111">
        <v>61.16</v>
      </c>
      <c r="C163" s="101">
        <v>124.11</v>
      </c>
      <c r="F163"/>
      <c r="G163" s="81"/>
      <c r="H163"/>
    </row>
    <row r="164" spans="1:8" x14ac:dyDescent="0.3">
      <c r="A164" s="130">
        <v>40243</v>
      </c>
      <c r="B164" s="111">
        <v>61.14</v>
      </c>
      <c r="C164" s="101">
        <v>124.13</v>
      </c>
      <c r="F164"/>
      <c r="G164" s="81"/>
      <c r="H164"/>
    </row>
    <row r="165" spans="1:8" x14ac:dyDescent="0.3">
      <c r="A165" s="130">
        <v>40244</v>
      </c>
      <c r="B165" s="111">
        <v>61.16</v>
      </c>
      <c r="C165" s="101">
        <v>124.11</v>
      </c>
      <c r="F165"/>
      <c r="G165" s="81"/>
      <c r="H165"/>
    </row>
    <row r="166" spans="1:8" x14ac:dyDescent="0.3">
      <c r="A166" s="130">
        <v>40245</v>
      </c>
      <c r="B166" s="111">
        <v>61.16</v>
      </c>
      <c r="C166" s="101">
        <v>124.11</v>
      </c>
      <c r="F166"/>
      <c r="G166" s="81"/>
      <c r="H166"/>
    </row>
    <row r="167" spans="1:8" x14ac:dyDescent="0.3">
      <c r="A167" s="130">
        <v>40246</v>
      </c>
      <c r="B167" s="111">
        <v>61.16</v>
      </c>
      <c r="C167" s="101">
        <v>124.11</v>
      </c>
      <c r="F167"/>
      <c r="G167" s="81"/>
      <c r="H167"/>
    </row>
    <row r="168" spans="1:8" x14ac:dyDescent="0.3">
      <c r="A168" s="130">
        <v>40247</v>
      </c>
      <c r="B168" s="111">
        <v>61.15</v>
      </c>
      <c r="C168" s="101">
        <v>124.12</v>
      </c>
      <c r="F168"/>
      <c r="G168" s="81"/>
      <c r="H168"/>
    </row>
    <row r="169" spans="1:8" x14ac:dyDescent="0.3">
      <c r="A169" s="130">
        <v>40248</v>
      </c>
      <c r="B169" s="111">
        <v>61.15</v>
      </c>
      <c r="C169" s="101">
        <v>124.12</v>
      </c>
      <c r="F169"/>
      <c r="G169" s="81"/>
      <c r="H169"/>
    </row>
    <row r="170" spans="1:8" x14ac:dyDescent="0.3">
      <c r="A170" s="130">
        <v>40249</v>
      </c>
      <c r="B170" s="111">
        <v>61.15</v>
      </c>
      <c r="C170" s="101">
        <v>124.12</v>
      </c>
      <c r="F170"/>
      <c r="G170" s="81"/>
      <c r="H170"/>
    </row>
    <row r="171" spans="1:8" x14ac:dyDescent="0.3">
      <c r="A171" s="130">
        <v>40250</v>
      </c>
      <c r="B171" s="111">
        <v>61.15</v>
      </c>
      <c r="C171" s="101">
        <v>124.12</v>
      </c>
      <c r="F171"/>
      <c r="G171" s="81"/>
      <c r="H171"/>
    </row>
    <row r="172" spans="1:8" x14ac:dyDescent="0.3">
      <c r="A172" s="130">
        <v>40251</v>
      </c>
      <c r="B172" s="111">
        <v>61.15</v>
      </c>
      <c r="C172" s="101">
        <v>124.12</v>
      </c>
      <c r="F172"/>
      <c r="G172" s="81"/>
      <c r="H172"/>
    </row>
    <row r="173" spans="1:8" x14ac:dyDescent="0.3">
      <c r="A173" s="130">
        <v>40252</v>
      </c>
      <c r="B173" s="111">
        <v>61.15</v>
      </c>
      <c r="C173" s="101">
        <v>124.12</v>
      </c>
      <c r="F173"/>
      <c r="G173" s="81"/>
      <c r="H173"/>
    </row>
    <row r="174" spans="1:8" x14ac:dyDescent="0.3">
      <c r="A174" s="130">
        <v>40253</v>
      </c>
      <c r="B174" s="111">
        <v>61.16</v>
      </c>
      <c r="C174" s="101">
        <v>124.11</v>
      </c>
      <c r="F174"/>
      <c r="G174" s="81"/>
      <c r="H174"/>
    </row>
    <row r="175" spans="1:8" x14ac:dyDescent="0.3">
      <c r="A175" s="130">
        <v>40254</v>
      </c>
      <c r="B175" s="111">
        <v>61.16</v>
      </c>
      <c r="C175" s="101">
        <v>124.11</v>
      </c>
      <c r="F175"/>
      <c r="G175" s="81"/>
      <c r="H175"/>
    </row>
    <row r="176" spans="1:8" x14ac:dyDescent="0.3">
      <c r="A176" s="130">
        <v>40255</v>
      </c>
      <c r="B176" s="111">
        <v>61.17</v>
      </c>
      <c r="C176" s="101">
        <v>124.1</v>
      </c>
      <c r="F176"/>
      <c r="G176" s="81"/>
      <c r="H176"/>
    </row>
    <row r="177" spans="1:8" x14ac:dyDescent="0.3">
      <c r="A177" s="130">
        <v>40256</v>
      </c>
      <c r="B177" s="111">
        <v>61.18</v>
      </c>
      <c r="C177" s="101">
        <v>124.09</v>
      </c>
      <c r="F177"/>
      <c r="G177" s="81"/>
      <c r="H177"/>
    </row>
    <row r="178" spans="1:8" x14ac:dyDescent="0.3">
      <c r="A178" s="130">
        <v>40257</v>
      </c>
      <c r="B178" s="111">
        <v>61.17</v>
      </c>
      <c r="C178" s="101">
        <v>124.1</v>
      </c>
      <c r="F178"/>
      <c r="G178" s="81"/>
      <c r="H178"/>
    </row>
    <row r="179" spans="1:8" x14ac:dyDescent="0.3">
      <c r="A179" s="130">
        <v>40258</v>
      </c>
      <c r="B179" s="111">
        <v>61.17</v>
      </c>
      <c r="C179" s="101">
        <v>124.1</v>
      </c>
      <c r="F179"/>
      <c r="G179" s="81"/>
      <c r="H179"/>
    </row>
    <row r="180" spans="1:8" x14ac:dyDescent="0.3">
      <c r="A180" s="130">
        <v>40259</v>
      </c>
      <c r="B180" s="111">
        <v>61.17</v>
      </c>
      <c r="C180" s="101">
        <v>124.1</v>
      </c>
      <c r="F180"/>
      <c r="G180" s="81"/>
      <c r="H180"/>
    </row>
    <row r="181" spans="1:8" x14ac:dyDescent="0.3">
      <c r="A181" s="130">
        <v>40260</v>
      </c>
      <c r="B181" s="111">
        <v>61.16</v>
      </c>
      <c r="C181" s="101">
        <v>124.11</v>
      </c>
      <c r="F181"/>
      <c r="G181" s="81"/>
      <c r="H181"/>
    </row>
    <row r="182" spans="1:8" x14ac:dyDescent="0.3">
      <c r="A182" s="130">
        <v>40261</v>
      </c>
      <c r="B182" s="111">
        <v>61.16</v>
      </c>
      <c r="C182" s="101">
        <v>124.11</v>
      </c>
      <c r="F182"/>
      <c r="G182" s="81"/>
      <c r="H182"/>
    </row>
    <row r="183" spans="1:8" x14ac:dyDescent="0.3">
      <c r="A183" s="130">
        <v>40262</v>
      </c>
      <c r="B183" s="111">
        <v>61.16</v>
      </c>
      <c r="C183" s="101">
        <v>124.11</v>
      </c>
      <c r="F183"/>
      <c r="G183" s="81"/>
      <c r="H183"/>
    </row>
    <row r="184" spans="1:8" x14ac:dyDescent="0.3">
      <c r="A184" s="130">
        <v>40263</v>
      </c>
      <c r="B184" s="111">
        <v>61.17</v>
      </c>
      <c r="C184" s="101">
        <v>124.1</v>
      </c>
      <c r="F184"/>
      <c r="G184" s="81"/>
      <c r="H184"/>
    </row>
    <row r="185" spans="1:8" x14ac:dyDescent="0.3">
      <c r="A185" s="130">
        <v>40264</v>
      </c>
      <c r="B185" s="111">
        <v>61.17</v>
      </c>
      <c r="C185" s="101">
        <v>124.1</v>
      </c>
      <c r="F185"/>
      <c r="G185" s="81"/>
      <c r="H185"/>
    </row>
    <row r="186" spans="1:8" x14ac:dyDescent="0.3">
      <c r="A186" s="130">
        <v>40265</v>
      </c>
      <c r="B186" s="111">
        <v>61.16</v>
      </c>
      <c r="C186" s="101">
        <v>124.11</v>
      </c>
      <c r="F186"/>
      <c r="G186" s="81"/>
      <c r="H186"/>
    </row>
    <row r="187" spans="1:8" x14ac:dyDescent="0.3">
      <c r="A187" s="130">
        <v>40266</v>
      </c>
      <c r="B187" s="111">
        <v>61.15</v>
      </c>
      <c r="C187" s="101">
        <v>124.12</v>
      </c>
      <c r="F187"/>
      <c r="G187" s="81"/>
      <c r="H187"/>
    </row>
    <row r="188" spans="1:8" x14ac:dyDescent="0.3">
      <c r="A188" s="130">
        <v>40267</v>
      </c>
      <c r="B188" s="111">
        <v>61.16</v>
      </c>
      <c r="C188" s="101">
        <v>124.11</v>
      </c>
      <c r="F188"/>
      <c r="G188" s="81"/>
      <c r="H188"/>
    </row>
    <row r="189" spans="1:8" x14ac:dyDescent="0.3">
      <c r="A189" s="130">
        <v>40268</v>
      </c>
      <c r="B189" s="111">
        <v>61.17</v>
      </c>
      <c r="C189" s="101">
        <v>124.1</v>
      </c>
      <c r="F189"/>
      <c r="G189" s="81"/>
      <c r="H189"/>
    </row>
    <row r="190" spans="1:8" x14ac:dyDescent="0.3">
      <c r="A190" s="130">
        <v>40269</v>
      </c>
      <c r="B190" s="111">
        <v>61.17</v>
      </c>
      <c r="C190" s="101">
        <v>124.1</v>
      </c>
      <c r="F190"/>
      <c r="G190" s="81"/>
      <c r="H190"/>
    </row>
    <row r="191" spans="1:8" x14ac:dyDescent="0.3">
      <c r="A191" s="130">
        <v>40270</v>
      </c>
      <c r="B191" s="111">
        <v>61.17</v>
      </c>
      <c r="C191" s="101">
        <v>124.1</v>
      </c>
      <c r="F191"/>
      <c r="G191" s="81"/>
      <c r="H191"/>
    </row>
    <row r="192" spans="1:8" x14ac:dyDescent="0.3">
      <c r="A192" s="130">
        <v>40271</v>
      </c>
      <c r="B192" s="111">
        <v>61.17</v>
      </c>
      <c r="C192" s="101">
        <v>124.1</v>
      </c>
      <c r="F192"/>
      <c r="G192" s="81"/>
      <c r="H192"/>
    </row>
    <row r="193" spans="1:8" x14ac:dyDescent="0.3">
      <c r="A193" s="130">
        <v>40272</v>
      </c>
      <c r="B193" s="111">
        <v>61.17</v>
      </c>
      <c r="C193" s="101">
        <v>124.1</v>
      </c>
      <c r="F193"/>
      <c r="G193" s="81"/>
      <c r="H193"/>
    </row>
    <row r="194" spans="1:8" x14ac:dyDescent="0.3">
      <c r="A194" s="130">
        <v>40273</v>
      </c>
      <c r="B194" s="111">
        <v>61.17</v>
      </c>
      <c r="C194" s="101">
        <v>124.1</v>
      </c>
      <c r="F194"/>
      <c r="G194" s="81"/>
      <c r="H194"/>
    </row>
    <row r="195" spans="1:8" x14ac:dyDescent="0.3">
      <c r="A195" s="130">
        <v>40274</v>
      </c>
      <c r="B195" s="111">
        <v>61.18</v>
      </c>
      <c r="C195" s="101">
        <v>124.09</v>
      </c>
      <c r="F195"/>
      <c r="G195" s="81"/>
      <c r="H195"/>
    </row>
    <row r="196" spans="1:8" x14ac:dyDescent="0.3">
      <c r="A196" s="130">
        <v>40275</v>
      </c>
      <c r="B196" s="111">
        <v>61.18</v>
      </c>
      <c r="C196" s="101">
        <v>124.09</v>
      </c>
      <c r="F196"/>
      <c r="G196" s="81"/>
      <c r="H196"/>
    </row>
    <row r="197" spans="1:8" x14ac:dyDescent="0.3">
      <c r="A197" s="130">
        <v>40276</v>
      </c>
      <c r="B197" s="111">
        <v>61.18</v>
      </c>
      <c r="C197" s="101">
        <v>124.09</v>
      </c>
      <c r="F197"/>
      <c r="G197" s="81"/>
      <c r="H197"/>
    </row>
    <row r="198" spans="1:8" x14ac:dyDescent="0.3">
      <c r="A198" s="130">
        <v>40277</v>
      </c>
      <c r="B198" s="111">
        <v>61.18</v>
      </c>
      <c r="C198" s="101">
        <v>124.09</v>
      </c>
      <c r="F198"/>
      <c r="G198" s="81"/>
      <c r="H198"/>
    </row>
    <row r="199" spans="1:8" x14ac:dyDescent="0.3">
      <c r="A199" s="130">
        <v>40278</v>
      </c>
      <c r="B199" s="111">
        <v>61.18</v>
      </c>
      <c r="C199" s="101">
        <v>124.09</v>
      </c>
      <c r="F199"/>
      <c r="G199" s="81"/>
      <c r="H199"/>
    </row>
    <row r="200" spans="1:8" x14ac:dyDescent="0.3">
      <c r="A200" s="130">
        <v>40279</v>
      </c>
      <c r="B200" s="111">
        <v>61.18</v>
      </c>
      <c r="C200" s="101">
        <v>124.09</v>
      </c>
      <c r="F200"/>
      <c r="G200" s="81"/>
      <c r="H200"/>
    </row>
    <row r="201" spans="1:8" x14ac:dyDescent="0.3">
      <c r="A201" s="130">
        <v>40280</v>
      </c>
      <c r="B201" s="111">
        <v>61.18</v>
      </c>
      <c r="C201" s="101">
        <v>124.09</v>
      </c>
      <c r="F201"/>
      <c r="G201" s="81"/>
      <c r="H201"/>
    </row>
    <row r="202" spans="1:8" x14ac:dyDescent="0.3">
      <c r="A202" s="130">
        <v>40281</v>
      </c>
      <c r="B202" s="111">
        <v>61.18</v>
      </c>
      <c r="C202" s="101">
        <v>124.09</v>
      </c>
      <c r="F202"/>
      <c r="G202" s="81"/>
      <c r="H202"/>
    </row>
    <row r="203" spans="1:8" x14ac:dyDescent="0.3">
      <c r="A203" s="130">
        <v>40282</v>
      </c>
      <c r="B203" s="111">
        <v>61.19</v>
      </c>
      <c r="C203" s="101">
        <v>124.08</v>
      </c>
      <c r="F203"/>
      <c r="G203" s="81"/>
      <c r="H203"/>
    </row>
    <row r="204" spans="1:8" x14ac:dyDescent="0.3">
      <c r="A204" s="130">
        <v>40283</v>
      </c>
      <c r="B204" s="111">
        <v>61.19</v>
      </c>
      <c r="C204" s="101">
        <v>124.08</v>
      </c>
      <c r="F204"/>
      <c r="G204" s="81"/>
      <c r="H204"/>
    </row>
    <row r="205" spans="1:8" x14ac:dyDescent="0.3">
      <c r="A205" s="130">
        <v>40284</v>
      </c>
      <c r="B205" s="111">
        <v>61.19</v>
      </c>
      <c r="C205" s="101">
        <v>124.08</v>
      </c>
      <c r="F205"/>
      <c r="G205" s="81"/>
      <c r="H205"/>
    </row>
    <row r="206" spans="1:8" x14ac:dyDescent="0.3">
      <c r="A206" s="130">
        <v>40287</v>
      </c>
      <c r="B206" s="111">
        <v>59.72</v>
      </c>
      <c r="C206" s="101">
        <v>125.55</v>
      </c>
      <c r="F206"/>
      <c r="G206" s="81"/>
      <c r="H206"/>
    </row>
    <row r="207" spans="1:8" x14ac:dyDescent="0.3">
      <c r="A207" s="130">
        <v>40501</v>
      </c>
      <c r="B207" s="111">
        <v>58.35</v>
      </c>
      <c r="C207" s="101">
        <v>126.92</v>
      </c>
      <c r="F207"/>
      <c r="G207" s="81"/>
      <c r="H207"/>
    </row>
    <row r="208" spans="1:8" x14ac:dyDescent="0.3">
      <c r="A208" s="130">
        <v>40502</v>
      </c>
      <c r="B208" s="111">
        <v>58.36</v>
      </c>
      <c r="C208" s="101">
        <v>126.91</v>
      </c>
      <c r="F208"/>
      <c r="G208" s="81"/>
      <c r="H208"/>
    </row>
    <row r="209" spans="1:8" x14ac:dyDescent="0.3">
      <c r="A209" s="130">
        <v>40503</v>
      </c>
      <c r="B209" s="111">
        <v>58.7</v>
      </c>
      <c r="C209" s="101">
        <v>126.57</v>
      </c>
      <c r="F209"/>
      <c r="G209" s="81"/>
      <c r="H209"/>
    </row>
    <row r="210" spans="1:8" x14ac:dyDescent="0.3">
      <c r="A210" s="130">
        <v>40504</v>
      </c>
      <c r="B210" s="111">
        <v>58.37</v>
      </c>
      <c r="C210" s="101">
        <v>126.9</v>
      </c>
      <c r="F210"/>
      <c r="G210" s="81"/>
      <c r="H210"/>
    </row>
    <row r="211" spans="1:8" x14ac:dyDescent="0.3">
      <c r="A211" s="130">
        <v>40505</v>
      </c>
      <c r="B211" s="111">
        <v>58.79</v>
      </c>
      <c r="C211" s="101">
        <v>126.48</v>
      </c>
      <c r="F211"/>
      <c r="G211" s="81"/>
      <c r="H211"/>
    </row>
    <row r="212" spans="1:8" x14ac:dyDescent="0.3">
      <c r="A212" s="130">
        <v>40506</v>
      </c>
      <c r="B212" s="111">
        <v>58.34</v>
      </c>
      <c r="C212" s="101">
        <v>126.93</v>
      </c>
      <c r="F212"/>
      <c r="G212" s="81"/>
      <c r="H212"/>
    </row>
    <row r="213" spans="1:8" x14ac:dyDescent="0.3">
      <c r="A213" s="130">
        <v>40507</v>
      </c>
      <c r="B213" s="111">
        <v>58.58</v>
      </c>
      <c r="C213" s="101">
        <v>126.69</v>
      </c>
      <c r="F213"/>
      <c r="G213" s="81"/>
      <c r="H213"/>
    </row>
    <row r="214" spans="1:8" x14ac:dyDescent="0.3">
      <c r="A214" s="130">
        <v>40508</v>
      </c>
      <c r="B214" s="111">
        <v>58.22</v>
      </c>
      <c r="C214" s="101">
        <v>127.05</v>
      </c>
      <c r="F214"/>
      <c r="G214" s="81"/>
      <c r="H214"/>
    </row>
    <row r="215" spans="1:8" x14ac:dyDescent="0.3">
      <c r="A215" s="130">
        <v>40509</v>
      </c>
      <c r="B215" s="111">
        <v>58</v>
      </c>
      <c r="C215" s="101">
        <v>127.27</v>
      </c>
      <c r="F215"/>
      <c r="G215" s="81"/>
      <c r="H215"/>
    </row>
    <row r="216" spans="1:8" x14ac:dyDescent="0.3">
      <c r="A216" s="130">
        <v>40510</v>
      </c>
      <c r="B216" s="111">
        <v>58</v>
      </c>
      <c r="C216" s="101">
        <v>127.27</v>
      </c>
      <c r="F216"/>
      <c r="G216" s="81"/>
      <c r="H216"/>
    </row>
    <row r="217" spans="1:8" x14ac:dyDescent="0.3">
      <c r="A217" s="130">
        <v>40511</v>
      </c>
      <c r="B217" s="111">
        <v>57.98</v>
      </c>
      <c r="C217" s="101">
        <v>127.29</v>
      </c>
      <c r="F217"/>
      <c r="G217" s="81"/>
      <c r="H217"/>
    </row>
    <row r="218" spans="1:8" x14ac:dyDescent="0.3">
      <c r="A218" s="130">
        <v>40512</v>
      </c>
      <c r="B218" s="111">
        <v>58.1</v>
      </c>
      <c r="C218" s="101">
        <v>127.17</v>
      </c>
      <c r="F218"/>
      <c r="G218" s="81"/>
      <c r="H218"/>
    </row>
    <row r="219" spans="1:8" x14ac:dyDescent="0.3">
      <c r="A219" s="130">
        <v>40513</v>
      </c>
      <c r="B219" s="111">
        <v>57.67</v>
      </c>
      <c r="C219" s="101">
        <v>127.6</v>
      </c>
      <c r="F219"/>
      <c r="G219" s="81"/>
      <c r="H219"/>
    </row>
    <row r="220" spans="1:8" x14ac:dyDescent="0.3">
      <c r="A220" s="130">
        <v>40527</v>
      </c>
      <c r="B220" s="111">
        <v>58.96</v>
      </c>
      <c r="C220" s="101">
        <v>126.31</v>
      </c>
      <c r="F220"/>
      <c r="G220" s="81"/>
      <c r="H220"/>
    </row>
    <row r="221" spans="1:8" x14ac:dyDescent="0.3">
      <c r="A221" s="130">
        <v>40528</v>
      </c>
      <c r="B221" s="111">
        <v>58.98</v>
      </c>
      <c r="C221" s="101">
        <v>126.29</v>
      </c>
      <c r="F221"/>
      <c r="G221" s="81"/>
      <c r="H221"/>
    </row>
    <row r="222" spans="1:8" x14ac:dyDescent="0.3">
      <c r="A222" s="130">
        <v>40529</v>
      </c>
      <c r="B222" s="111">
        <v>58.94</v>
      </c>
      <c r="C222" s="101">
        <v>126.33</v>
      </c>
      <c r="F222"/>
      <c r="G222" s="81"/>
      <c r="H222"/>
    </row>
    <row r="223" spans="1:8" x14ac:dyDescent="0.3">
      <c r="A223" s="130">
        <v>40530</v>
      </c>
      <c r="B223" s="111">
        <v>58.94</v>
      </c>
      <c r="C223" s="101">
        <v>126.33</v>
      </c>
      <c r="F223"/>
      <c r="G223" s="81"/>
      <c r="H223"/>
    </row>
    <row r="224" spans="1:8" x14ac:dyDescent="0.3">
      <c r="A224" s="130">
        <v>40531</v>
      </c>
      <c r="B224" s="111">
        <v>58.93</v>
      </c>
      <c r="C224" s="101">
        <v>126.34</v>
      </c>
      <c r="F224"/>
      <c r="G224" s="81"/>
      <c r="H224"/>
    </row>
    <row r="225" spans="1:8" x14ac:dyDescent="0.3">
      <c r="A225" s="130">
        <v>40532</v>
      </c>
      <c r="B225" s="111">
        <v>58.93</v>
      </c>
      <c r="C225" s="101">
        <v>126.34</v>
      </c>
      <c r="F225"/>
      <c r="G225" s="81"/>
      <c r="H225"/>
    </row>
    <row r="226" spans="1:8" x14ac:dyDescent="0.3">
      <c r="A226" s="130">
        <v>40533</v>
      </c>
      <c r="B226" s="111">
        <v>58.92</v>
      </c>
      <c r="C226" s="101">
        <v>126.35</v>
      </c>
      <c r="F226"/>
      <c r="G226" s="81"/>
      <c r="H226"/>
    </row>
    <row r="227" spans="1:8" x14ac:dyDescent="0.3">
      <c r="A227" s="130">
        <v>40534</v>
      </c>
      <c r="B227" s="111">
        <v>58.92</v>
      </c>
      <c r="C227" s="101">
        <v>126.35</v>
      </c>
      <c r="F227"/>
      <c r="G227" s="81"/>
      <c r="H227"/>
    </row>
    <row r="228" spans="1:8" x14ac:dyDescent="0.3">
      <c r="A228" s="130">
        <v>40535</v>
      </c>
      <c r="B228" s="111">
        <v>58.98</v>
      </c>
      <c r="C228" s="101">
        <v>126.29</v>
      </c>
      <c r="F228"/>
      <c r="G228" s="81"/>
      <c r="H228"/>
    </row>
    <row r="229" spans="1:8" x14ac:dyDescent="0.3">
      <c r="A229" s="130">
        <v>40536</v>
      </c>
      <c r="B229" s="111">
        <v>58.95</v>
      </c>
      <c r="C229" s="101">
        <v>126.32</v>
      </c>
      <c r="F229"/>
      <c r="G229" s="81"/>
      <c r="H229"/>
    </row>
    <row r="230" spans="1:8" x14ac:dyDescent="0.3">
      <c r="A230" s="130">
        <v>40537</v>
      </c>
      <c r="B230" s="111">
        <v>58.94</v>
      </c>
      <c r="C230" s="101">
        <v>126.33</v>
      </c>
      <c r="F230"/>
      <c r="G230" s="81"/>
      <c r="H230"/>
    </row>
    <row r="231" spans="1:8" x14ac:dyDescent="0.3">
      <c r="A231" s="130">
        <v>40538</v>
      </c>
      <c r="B231" s="111">
        <v>58.93</v>
      </c>
      <c r="C231" s="101">
        <v>126.34</v>
      </c>
      <c r="F231"/>
      <c r="G231" s="81"/>
      <c r="H231"/>
    </row>
    <row r="232" spans="1:8" x14ac:dyDescent="0.3">
      <c r="A232" s="130">
        <v>40539</v>
      </c>
      <c r="B232" s="111">
        <v>58.93</v>
      </c>
      <c r="C232" s="101">
        <v>126.34</v>
      </c>
      <c r="F232"/>
      <c r="G232" s="81"/>
      <c r="H232"/>
    </row>
    <row r="233" spans="1:8" x14ac:dyDescent="0.3">
      <c r="A233" s="130">
        <v>40540</v>
      </c>
      <c r="B233" s="111">
        <v>58.93</v>
      </c>
      <c r="C233" s="101">
        <v>126.34</v>
      </c>
      <c r="F233"/>
      <c r="G233" s="81"/>
      <c r="H233"/>
    </row>
    <row r="234" spans="1:8" x14ac:dyDescent="0.3">
      <c r="A234" s="130">
        <v>40541</v>
      </c>
      <c r="B234" s="111">
        <v>58.92</v>
      </c>
      <c r="C234" s="101">
        <v>126.35</v>
      </c>
      <c r="F234"/>
      <c r="G234" s="81"/>
      <c r="H234"/>
    </row>
    <row r="235" spans="1:8" x14ac:dyDescent="0.3">
      <c r="A235" s="130">
        <v>40542</v>
      </c>
      <c r="B235" s="111">
        <v>58.88</v>
      </c>
      <c r="C235" s="101">
        <v>126.39</v>
      </c>
      <c r="F235"/>
      <c r="G235" s="81"/>
      <c r="H235"/>
    </row>
    <row r="236" spans="1:8" x14ac:dyDescent="0.3">
      <c r="A236" s="130">
        <v>40543</v>
      </c>
      <c r="B236" s="111">
        <v>58.85</v>
      </c>
      <c r="C236" s="101">
        <v>126.42</v>
      </c>
      <c r="F236"/>
      <c r="G236" s="81"/>
      <c r="H236"/>
    </row>
    <row r="237" spans="1:8" x14ac:dyDescent="0.3">
      <c r="A237" s="130">
        <v>40544</v>
      </c>
      <c r="B237" s="111">
        <v>58.9</v>
      </c>
      <c r="C237" s="101">
        <v>126.37</v>
      </c>
      <c r="F237"/>
      <c r="G237" s="81"/>
      <c r="H237"/>
    </row>
    <row r="238" spans="1:8" x14ac:dyDescent="0.3">
      <c r="A238" s="130">
        <v>40545</v>
      </c>
      <c r="B238" s="111">
        <v>57.5</v>
      </c>
      <c r="C238" s="101">
        <v>127.77</v>
      </c>
      <c r="F238"/>
      <c r="G238" s="81"/>
      <c r="H238"/>
    </row>
    <row r="239" spans="1:8" x14ac:dyDescent="0.3">
      <c r="A239" s="130">
        <v>40546</v>
      </c>
      <c r="B239" s="111">
        <v>57.95</v>
      </c>
      <c r="C239" s="101">
        <v>127.32</v>
      </c>
      <c r="F239"/>
      <c r="G239" s="81"/>
      <c r="H239"/>
    </row>
    <row r="240" spans="1:8" x14ac:dyDescent="0.3">
      <c r="A240" s="130">
        <v>40547</v>
      </c>
      <c r="B240" s="111">
        <v>56.5</v>
      </c>
      <c r="C240" s="101">
        <v>128.77000000000001</v>
      </c>
      <c r="F240"/>
      <c r="G240" s="81"/>
      <c r="H240"/>
    </row>
    <row r="241" spans="1:8" x14ac:dyDescent="0.3">
      <c r="A241" s="130">
        <v>40548</v>
      </c>
      <c r="B241" s="111">
        <v>55.9</v>
      </c>
      <c r="C241" s="101">
        <v>129.37</v>
      </c>
      <c r="F241"/>
      <c r="G241" s="81"/>
      <c r="H241"/>
    </row>
    <row r="242" spans="1:8" x14ac:dyDescent="0.3">
      <c r="A242" s="130">
        <v>40549</v>
      </c>
      <c r="B242" s="111">
        <v>55.95</v>
      </c>
      <c r="C242" s="101">
        <v>129.32</v>
      </c>
      <c r="F242"/>
      <c r="G242" s="81"/>
      <c r="H242"/>
    </row>
    <row r="243" spans="1:8" x14ac:dyDescent="0.3">
      <c r="A243" s="130">
        <v>40745</v>
      </c>
      <c r="B243" s="111">
        <v>57.99</v>
      </c>
      <c r="C243" s="101">
        <v>127.28</v>
      </c>
      <c r="F243"/>
      <c r="G243" s="81"/>
      <c r="H243"/>
    </row>
    <row r="244" spans="1:8" x14ac:dyDescent="0.3">
      <c r="A244" s="130">
        <v>40777</v>
      </c>
      <c r="B244" s="111">
        <v>55.8</v>
      </c>
      <c r="C244" s="101">
        <v>129.47</v>
      </c>
      <c r="F244"/>
      <c r="G244" s="81"/>
      <c r="H244"/>
    </row>
    <row r="245" spans="1:8" x14ac:dyDescent="0.3">
      <c r="A245" s="130">
        <v>40814</v>
      </c>
      <c r="B245" s="111">
        <v>56.4</v>
      </c>
      <c r="C245" s="101">
        <v>128.87</v>
      </c>
      <c r="F245"/>
      <c r="G245" s="81"/>
      <c r="H245"/>
    </row>
    <row r="246" spans="1:8" x14ac:dyDescent="0.3">
      <c r="A246" s="130">
        <v>40834</v>
      </c>
      <c r="B246" s="111">
        <v>55.25</v>
      </c>
      <c r="C246" s="101">
        <v>130.02000000000001</v>
      </c>
      <c r="F246"/>
      <c r="G246" s="81"/>
      <c r="H246"/>
    </row>
    <row r="247" spans="1:8" x14ac:dyDescent="0.3">
      <c r="A247" s="130">
        <v>40864</v>
      </c>
      <c r="B247" s="111">
        <v>50.9</v>
      </c>
      <c r="C247" s="101">
        <v>134.37</v>
      </c>
      <c r="F247"/>
      <c r="G247" s="81"/>
      <c r="H247"/>
    </row>
    <row r="248" spans="1:8" x14ac:dyDescent="0.3">
      <c r="A248" s="130">
        <v>40889</v>
      </c>
      <c r="B248" s="111">
        <v>49.7</v>
      </c>
      <c r="C248" s="101">
        <v>135.57</v>
      </c>
      <c r="F248"/>
      <c r="G248" s="81"/>
      <c r="H248"/>
    </row>
    <row r="249" spans="1:8" x14ac:dyDescent="0.3">
      <c r="A249" s="130">
        <v>40911</v>
      </c>
      <c r="B249" s="111">
        <v>52.6</v>
      </c>
      <c r="C249" s="101">
        <v>132.66999999999999</v>
      </c>
      <c r="F249"/>
      <c r="G249" s="81"/>
      <c r="H249"/>
    </row>
    <row r="250" spans="1:8" x14ac:dyDescent="0.3">
      <c r="A250" s="130">
        <v>40967</v>
      </c>
      <c r="B250" s="111">
        <v>54.3</v>
      </c>
      <c r="C250" s="101">
        <v>130.97</v>
      </c>
      <c r="F250"/>
      <c r="G250" s="81"/>
      <c r="H250"/>
    </row>
    <row r="251" spans="1:8" x14ac:dyDescent="0.3">
      <c r="A251" s="130">
        <v>41017</v>
      </c>
      <c r="B251" s="111">
        <v>58.18</v>
      </c>
      <c r="C251" s="101">
        <v>127.09</v>
      </c>
      <c r="F251"/>
      <c r="G251" s="81"/>
      <c r="H251"/>
    </row>
    <row r="252" spans="1:8" x14ac:dyDescent="0.3">
      <c r="A252" s="130">
        <v>41041</v>
      </c>
      <c r="B252" s="111">
        <v>58.05</v>
      </c>
      <c r="C252" s="101">
        <v>127.22</v>
      </c>
      <c r="F252"/>
      <c r="G252" s="81"/>
      <c r="H252"/>
    </row>
    <row r="253" spans="1:8" x14ac:dyDescent="0.3">
      <c r="A253" s="130">
        <v>41191</v>
      </c>
      <c r="B253" s="111">
        <v>57.26</v>
      </c>
      <c r="C253" s="101">
        <v>128.01</v>
      </c>
      <c r="F253"/>
      <c r="G253" s="81"/>
      <c r="H253"/>
    </row>
    <row r="254" spans="1:8" x14ac:dyDescent="0.3">
      <c r="A254" s="130">
        <v>41235</v>
      </c>
      <c r="B254" s="111">
        <v>58.05</v>
      </c>
      <c r="C254" s="101">
        <v>127.22</v>
      </c>
      <c r="F254"/>
      <c r="G254" s="81"/>
      <c r="H254"/>
    </row>
    <row r="255" spans="1:8" x14ac:dyDescent="0.3">
      <c r="A255" s="130">
        <v>41278</v>
      </c>
      <c r="B255" s="111">
        <v>58.32</v>
      </c>
      <c r="C255" s="101">
        <v>126.95</v>
      </c>
      <c r="F255"/>
      <c r="G255" s="81"/>
      <c r="H255"/>
    </row>
    <row r="256" spans="1:8" x14ac:dyDescent="0.3">
      <c r="A256" s="130">
        <v>41368</v>
      </c>
      <c r="B256" s="111">
        <v>58.57</v>
      </c>
      <c r="C256" s="101">
        <v>126.7</v>
      </c>
      <c r="F256"/>
      <c r="G256" s="81"/>
      <c r="H256"/>
    </row>
    <row r="257" spans="1:8" x14ac:dyDescent="0.3">
      <c r="A257" s="130">
        <v>41401</v>
      </c>
      <c r="B257" s="111">
        <v>58.55</v>
      </c>
      <c r="C257" s="101">
        <v>126.72</v>
      </c>
      <c r="F257"/>
      <c r="G257" s="81"/>
      <c r="H257"/>
    </row>
    <row r="258" spans="1:8" x14ac:dyDescent="0.3">
      <c r="A258" s="130">
        <v>41432</v>
      </c>
      <c r="B258" s="111">
        <v>59.36</v>
      </c>
      <c r="C258" s="101">
        <v>125.91</v>
      </c>
      <c r="F258"/>
      <c r="G258" s="81"/>
      <c r="H258"/>
    </row>
    <row r="259" spans="1:8" x14ac:dyDescent="0.3">
      <c r="A259" s="130">
        <v>41471</v>
      </c>
      <c r="B259" s="111">
        <v>58.24</v>
      </c>
      <c r="C259" s="101">
        <v>127.03</v>
      </c>
      <c r="F259"/>
      <c r="G259" s="81"/>
      <c r="H259"/>
    </row>
    <row r="260" spans="1:8" x14ac:dyDescent="0.3">
      <c r="A260" s="130">
        <v>41506</v>
      </c>
      <c r="B260" s="111">
        <v>56.83</v>
      </c>
      <c r="C260" s="101">
        <v>128.44</v>
      </c>
      <c r="F260"/>
      <c r="G260" s="81"/>
      <c r="H260"/>
    </row>
    <row r="261" spans="1:8" x14ac:dyDescent="0.3">
      <c r="A261" s="130">
        <v>41537</v>
      </c>
      <c r="B261" s="111">
        <v>57.45</v>
      </c>
      <c r="C261" s="101">
        <v>127.82</v>
      </c>
      <c r="F261"/>
      <c r="G261" s="81"/>
      <c r="H261"/>
    </row>
    <row r="262" spans="1:8" x14ac:dyDescent="0.3">
      <c r="A262" s="130">
        <v>41555</v>
      </c>
      <c r="B262" s="111">
        <v>55.9</v>
      </c>
      <c r="C262" s="101">
        <v>129.37</v>
      </c>
      <c r="F262"/>
      <c r="G262" s="81"/>
      <c r="H262"/>
    </row>
    <row r="263" spans="1:8" x14ac:dyDescent="0.3">
      <c r="A263" s="130">
        <v>41556</v>
      </c>
      <c r="B263" s="111">
        <v>55.93</v>
      </c>
      <c r="C263" s="101">
        <v>129.34</v>
      </c>
      <c r="F263"/>
      <c r="G263" s="81"/>
      <c r="H263"/>
    </row>
    <row r="264" spans="1:8" x14ac:dyDescent="0.3">
      <c r="A264" s="130">
        <v>41604</v>
      </c>
      <c r="B264" s="111">
        <v>54.14</v>
      </c>
      <c r="C264" s="101">
        <v>131.13</v>
      </c>
      <c r="F264"/>
      <c r="G264" s="81"/>
      <c r="H264"/>
    </row>
    <row r="265" spans="1:8" x14ac:dyDescent="0.3">
      <c r="A265" s="130">
        <v>41617</v>
      </c>
      <c r="B265" s="111">
        <v>55.1</v>
      </c>
      <c r="C265" s="101">
        <v>130.16999999999999</v>
      </c>
      <c r="F265"/>
      <c r="G265" s="81"/>
      <c r="H265"/>
    </row>
    <row r="266" spans="1:8" x14ac:dyDescent="0.3">
      <c r="A266" s="130">
        <v>41647</v>
      </c>
      <c r="B266" s="111">
        <v>58.1</v>
      </c>
      <c r="C266" s="101">
        <v>127.17</v>
      </c>
      <c r="F266"/>
      <c r="G266" s="81"/>
      <c r="H266"/>
    </row>
    <row r="267" spans="1:8" x14ac:dyDescent="0.3">
      <c r="A267" s="130">
        <v>41683</v>
      </c>
      <c r="B267" s="111">
        <v>58.82</v>
      </c>
      <c r="C267" s="101">
        <v>126.45</v>
      </c>
      <c r="F267"/>
      <c r="G267" s="81"/>
      <c r="H267"/>
    </row>
    <row r="268" spans="1:8" x14ac:dyDescent="0.3">
      <c r="A268" s="130">
        <v>41731</v>
      </c>
      <c r="B268" s="111">
        <v>59.12</v>
      </c>
      <c r="C268" s="101">
        <v>126.15</v>
      </c>
      <c r="F268"/>
      <c r="G268" s="81"/>
      <c r="H268"/>
    </row>
    <row r="269" spans="1:8" x14ac:dyDescent="0.3">
      <c r="A269" s="130">
        <v>41764</v>
      </c>
      <c r="B269" s="111">
        <v>59.13</v>
      </c>
      <c r="C269" s="101">
        <v>126.14</v>
      </c>
      <c r="F269"/>
      <c r="G269" s="81"/>
      <c r="H269"/>
    </row>
    <row r="270" spans="1:8" x14ac:dyDescent="0.3">
      <c r="A270" s="130">
        <v>41793</v>
      </c>
      <c r="B270" s="111">
        <v>59.2</v>
      </c>
      <c r="C270" s="101">
        <v>126.07</v>
      </c>
      <c r="F270"/>
      <c r="G270" s="81"/>
      <c r="H270"/>
    </row>
    <row r="271" spans="1:8" x14ac:dyDescent="0.3">
      <c r="A271" s="130">
        <v>41830</v>
      </c>
      <c r="B271" s="111">
        <v>59.14</v>
      </c>
      <c r="C271" s="101">
        <v>126.13</v>
      </c>
      <c r="F271"/>
      <c r="G271" s="81"/>
      <c r="H271"/>
    </row>
    <row r="272" spans="1:8" x14ac:dyDescent="0.3">
      <c r="A272" s="130">
        <v>41877</v>
      </c>
      <c r="B272" s="111">
        <v>59.46</v>
      </c>
      <c r="C272" s="101">
        <v>125.81</v>
      </c>
      <c r="F272"/>
      <c r="G272" s="81"/>
      <c r="H272"/>
    </row>
    <row r="273" spans="1:8" x14ac:dyDescent="0.3">
      <c r="A273" s="130">
        <v>41906</v>
      </c>
      <c r="B273" s="111">
        <v>60.86</v>
      </c>
      <c r="C273" s="101">
        <v>124.41</v>
      </c>
      <c r="F273"/>
      <c r="G273" s="81"/>
      <c r="H273"/>
    </row>
    <row r="274" spans="1:8" x14ac:dyDescent="0.3">
      <c r="A274" s="130">
        <v>41976</v>
      </c>
      <c r="B274" s="111">
        <v>56.4</v>
      </c>
      <c r="C274" s="101">
        <v>128.87</v>
      </c>
      <c r="F274"/>
      <c r="G274" s="81"/>
      <c r="H274"/>
    </row>
    <row r="275" spans="1:8" x14ac:dyDescent="0.3">
      <c r="A275" s="130">
        <v>42157</v>
      </c>
      <c r="B275" s="111">
        <v>59.58</v>
      </c>
      <c r="C275" s="101">
        <v>125.69</v>
      </c>
      <c r="F275"/>
      <c r="G275" s="81"/>
      <c r="H275"/>
    </row>
    <row r="276" spans="1:8" x14ac:dyDescent="0.3">
      <c r="A276" s="136">
        <v>42220</v>
      </c>
      <c r="B276" s="137">
        <v>59.78</v>
      </c>
      <c r="C276" s="138">
        <v>125.49</v>
      </c>
      <c r="F276"/>
      <c r="G276" s="81"/>
      <c r="H276"/>
    </row>
    <row r="277" spans="1:8" x14ac:dyDescent="0.3">
      <c r="A277" s="130">
        <v>42255</v>
      </c>
      <c r="B277" s="111">
        <v>59.95</v>
      </c>
      <c r="C277" s="101">
        <v>125.32</v>
      </c>
      <c r="F277"/>
      <c r="G277" s="81"/>
      <c r="H277"/>
    </row>
    <row r="278" spans="1:8" x14ac:dyDescent="0.3">
      <c r="A278" s="130">
        <v>42292</v>
      </c>
      <c r="B278" s="111">
        <v>60.02</v>
      </c>
      <c r="C278" s="101">
        <v>125.25</v>
      </c>
      <c r="F278"/>
      <c r="G278" s="81"/>
      <c r="H278"/>
    </row>
    <row r="279" spans="1:8" x14ac:dyDescent="0.3">
      <c r="A279" s="130">
        <v>42353</v>
      </c>
      <c r="B279" s="111">
        <v>60.12</v>
      </c>
      <c r="C279" s="101">
        <v>125.15</v>
      </c>
      <c r="F279"/>
      <c r="G279" s="81"/>
      <c r="H279"/>
    </row>
    <row r="280" spans="1:8" x14ac:dyDescent="0.3">
      <c r="A280" s="130">
        <v>42387</v>
      </c>
      <c r="B280" s="111">
        <v>60.38</v>
      </c>
      <c r="C280" s="101">
        <v>124.89</v>
      </c>
      <c r="F280"/>
      <c r="G280" s="81"/>
      <c r="H280"/>
    </row>
    <row r="281" spans="1:8" x14ac:dyDescent="0.3">
      <c r="A281" s="130">
        <v>42429</v>
      </c>
      <c r="B281" s="111">
        <v>62.31</v>
      </c>
      <c r="C281" s="101">
        <v>122.96</v>
      </c>
      <c r="F281"/>
      <c r="G281" s="81"/>
      <c r="H281"/>
    </row>
    <row r="282" spans="1:8" x14ac:dyDescent="0.3">
      <c r="A282" s="130">
        <v>42494</v>
      </c>
      <c r="B282" s="111">
        <v>61.07</v>
      </c>
      <c r="C282" s="101">
        <v>124.2</v>
      </c>
      <c r="F282"/>
      <c r="G282" s="81"/>
      <c r="H282"/>
    </row>
    <row r="283" spans="1:8" x14ac:dyDescent="0.3">
      <c r="A283" s="130">
        <v>42557</v>
      </c>
      <c r="B283" s="111">
        <v>60.73</v>
      </c>
      <c r="C283" s="101">
        <v>124.54</v>
      </c>
      <c r="F283"/>
      <c r="G283" s="81"/>
      <c r="H283"/>
    </row>
    <row r="284" spans="1:8" x14ac:dyDescent="0.3">
      <c r="A284" s="130">
        <v>42591</v>
      </c>
      <c r="B284" s="111">
        <v>60.98</v>
      </c>
      <c r="C284" s="101">
        <v>124.29</v>
      </c>
      <c r="F284"/>
      <c r="G284" s="81"/>
      <c r="H284"/>
    </row>
    <row r="285" spans="1:8" x14ac:dyDescent="0.3">
      <c r="A285" s="130">
        <v>42663</v>
      </c>
      <c r="B285" s="111">
        <v>60.83</v>
      </c>
      <c r="C285" s="101">
        <v>124.44</v>
      </c>
      <c r="F285"/>
      <c r="G285" s="81"/>
      <c r="H285"/>
    </row>
    <row r="286" spans="1:8" x14ac:dyDescent="0.3">
      <c r="A286" s="130">
        <v>42774</v>
      </c>
      <c r="B286" s="111">
        <v>61.12</v>
      </c>
      <c r="C286" s="101">
        <v>124.15</v>
      </c>
      <c r="F286"/>
      <c r="G286" s="81"/>
      <c r="H286"/>
    </row>
    <row r="287" spans="1:8" x14ac:dyDescent="0.3">
      <c r="A287" s="130">
        <v>42852</v>
      </c>
      <c r="B287" s="111">
        <v>61.32</v>
      </c>
      <c r="C287" s="101">
        <v>123.95</v>
      </c>
      <c r="F287"/>
      <c r="G287" s="81"/>
      <c r="H287"/>
    </row>
    <row r="288" spans="1:8" x14ac:dyDescent="0.3">
      <c r="A288" s="130">
        <v>42888</v>
      </c>
      <c r="B288" s="111">
        <v>61.41</v>
      </c>
      <c r="C288" s="101">
        <v>123.86</v>
      </c>
      <c r="F288"/>
      <c r="G288" s="81"/>
      <c r="H288"/>
    </row>
    <row r="289" spans="1:8" x14ac:dyDescent="0.3">
      <c r="A289" s="130">
        <v>42955</v>
      </c>
      <c r="B289" s="111">
        <v>61.53</v>
      </c>
      <c r="C289" s="101">
        <v>123.74</v>
      </c>
      <c r="F289"/>
      <c r="G289" s="81"/>
      <c r="H289"/>
    </row>
    <row r="290" spans="1:8" x14ac:dyDescent="0.3">
      <c r="A290" s="130">
        <v>43048</v>
      </c>
      <c r="B290" s="111">
        <v>61.72</v>
      </c>
      <c r="C290" s="101">
        <v>123.55</v>
      </c>
      <c r="F290"/>
      <c r="G290" s="81"/>
      <c r="H290"/>
    </row>
    <row r="291" spans="1:8" x14ac:dyDescent="0.3">
      <c r="A291" s="130">
        <v>43069</v>
      </c>
      <c r="B291" s="111">
        <v>62.29</v>
      </c>
      <c r="C291" s="101">
        <v>122.98</v>
      </c>
      <c r="F291"/>
      <c r="G291" s="81"/>
      <c r="H291"/>
    </row>
    <row r="292" spans="1:8" x14ac:dyDescent="0.3">
      <c r="A292" s="130">
        <v>43123</v>
      </c>
      <c r="B292" s="111">
        <v>62.03</v>
      </c>
      <c r="C292" s="101">
        <v>123.24</v>
      </c>
      <c r="F292"/>
      <c r="G292" s="81"/>
      <c r="H292"/>
    </row>
    <row r="293" spans="1:8" x14ac:dyDescent="0.3">
      <c r="A293" s="130">
        <v>43263</v>
      </c>
      <c r="B293" s="111">
        <v>62.26</v>
      </c>
      <c r="C293" s="101">
        <v>123.01</v>
      </c>
      <c r="F293"/>
      <c r="G293" s="81"/>
      <c r="H293"/>
    </row>
    <row r="294" spans="1:8" x14ac:dyDescent="0.3">
      <c r="A294" s="130">
        <v>43297</v>
      </c>
      <c r="B294" s="111">
        <v>62.21</v>
      </c>
      <c r="C294" s="101">
        <v>123.06</v>
      </c>
      <c r="F294"/>
      <c r="G294" s="81"/>
      <c r="H294"/>
    </row>
    <row r="295" spans="1:8" x14ac:dyDescent="0.3">
      <c r="A295" s="130">
        <v>43348</v>
      </c>
      <c r="B295" s="111">
        <v>62.36</v>
      </c>
      <c r="C295" s="101">
        <v>122.91</v>
      </c>
      <c r="F295"/>
      <c r="G295" s="81"/>
      <c r="H295"/>
    </row>
    <row r="296" spans="1:8" x14ac:dyDescent="0.3">
      <c r="A296" s="130">
        <v>43558</v>
      </c>
      <c r="B296" s="111">
        <v>63.1</v>
      </c>
      <c r="C296" s="101">
        <v>122.17</v>
      </c>
      <c r="F296"/>
      <c r="G296" s="81"/>
      <c r="H296"/>
    </row>
    <row r="297" spans="1:8" x14ac:dyDescent="0.3">
      <c r="A297" s="129">
        <v>43697</v>
      </c>
      <c r="B297" s="111">
        <v>66.06</v>
      </c>
      <c r="C297" s="101">
        <v>119.21</v>
      </c>
      <c r="F297"/>
      <c r="G297" s="81"/>
      <c r="H297"/>
    </row>
    <row r="298" spans="1:8" x14ac:dyDescent="0.3">
      <c r="A298" s="129">
        <v>43759</v>
      </c>
      <c r="B298" s="111">
        <v>65.11</v>
      </c>
      <c r="C298" s="101">
        <v>120.16</v>
      </c>
      <c r="F298"/>
      <c r="G298" s="81"/>
      <c r="H298"/>
    </row>
    <row r="299" spans="1:8" x14ac:dyDescent="0.3">
      <c r="A299" s="130">
        <v>43964</v>
      </c>
      <c r="B299" s="111">
        <v>64.900000000000006</v>
      </c>
      <c r="C299" s="101">
        <v>120.37</v>
      </c>
      <c r="F299"/>
      <c r="G299" s="81"/>
      <c r="H299"/>
    </row>
    <row r="300" spans="1:8" x14ac:dyDescent="0.3">
      <c r="A300" s="130">
        <v>44489</v>
      </c>
      <c r="B300" s="111">
        <v>64.599999999999994</v>
      </c>
      <c r="C300" s="101">
        <v>120.67</v>
      </c>
      <c r="F300"/>
      <c r="G300" s="81"/>
      <c r="H300"/>
    </row>
    <row r="301" spans="1:8" x14ac:dyDescent="0.3">
      <c r="A301" s="130">
        <v>44593</v>
      </c>
      <c r="B301" s="111">
        <v>65.430000000000007</v>
      </c>
      <c r="C301" s="101"/>
      <c r="F301"/>
      <c r="G301" s="81"/>
      <c r="H301"/>
    </row>
    <row r="302" spans="1:8" x14ac:dyDescent="0.3">
      <c r="A302" s="129">
        <v>44743</v>
      </c>
      <c r="B302" s="111">
        <v>65.540000000000006</v>
      </c>
      <c r="C302" s="101"/>
      <c r="F302"/>
      <c r="G302" s="81"/>
      <c r="H302"/>
    </row>
    <row r="303" spans="1:8" x14ac:dyDescent="0.3">
      <c r="A303" s="130">
        <v>44846</v>
      </c>
      <c r="B303" s="111">
        <v>57.06</v>
      </c>
      <c r="C303" s="101"/>
      <c r="F303"/>
      <c r="G303" s="81"/>
      <c r="H303"/>
    </row>
    <row r="304" spans="1:8" x14ac:dyDescent="0.3">
      <c r="A304" s="129">
        <v>45292</v>
      </c>
      <c r="B304" s="111">
        <v>67.77</v>
      </c>
      <c r="C304" s="101"/>
      <c r="F304"/>
      <c r="G304" s="81"/>
      <c r="H304"/>
    </row>
    <row r="305" spans="1:8" x14ac:dyDescent="0.3">
      <c r="A305" s="129">
        <v>45449</v>
      </c>
      <c r="B305" s="111">
        <v>68.680000000000007</v>
      </c>
      <c r="C305" s="101"/>
      <c r="F305"/>
      <c r="G305" s="81"/>
      <c r="H305"/>
    </row>
    <row r="306" spans="1:8" x14ac:dyDescent="0.3">
      <c r="A306" s="130">
        <v>45638</v>
      </c>
      <c r="B306" s="111">
        <v>67.61</v>
      </c>
      <c r="C306" s="101"/>
      <c r="F306"/>
      <c r="G306" s="81"/>
      <c r="H306"/>
    </row>
    <row r="307" spans="1:8" x14ac:dyDescent="0.3">
      <c r="A307" s="129">
        <v>45751</v>
      </c>
      <c r="B307" s="111">
        <v>68.86</v>
      </c>
      <c r="C307" s="101"/>
      <c r="F307"/>
      <c r="G307" s="81"/>
      <c r="H307"/>
    </row>
    <row r="308" spans="1:8" x14ac:dyDescent="0.3">
      <c r="A308" s="129"/>
      <c r="B308" s="111"/>
      <c r="C308" s="101"/>
      <c r="F308"/>
      <c r="G308" s="81"/>
      <c r="H308"/>
    </row>
    <row r="309" spans="1:8" ht="15" thickBot="1" x14ac:dyDescent="0.35">
      <c r="A309" s="133"/>
      <c r="B309" s="134"/>
      <c r="C309" s="135"/>
      <c r="F309"/>
      <c r="G309" s="81"/>
      <c r="H309"/>
    </row>
    <row r="310" spans="1:8" ht="15" thickBot="1" x14ac:dyDescent="0.35">
      <c r="A310" s="63"/>
      <c r="B310" s="56"/>
      <c r="C310" s="57"/>
      <c r="F310"/>
      <c r="G310" s="81"/>
      <c r="H310"/>
    </row>
    <row r="311" spans="1:8" ht="15" thickBot="1" x14ac:dyDescent="0.35">
      <c r="A311" s="63"/>
      <c r="B311" s="56"/>
      <c r="C311" s="57"/>
      <c r="F311"/>
      <c r="G311" s="81"/>
      <c r="H311"/>
    </row>
    <row r="312" spans="1:8" ht="15" thickBot="1" x14ac:dyDescent="0.35">
      <c r="A312" s="63"/>
      <c r="B312" s="56"/>
      <c r="C312" s="57"/>
      <c r="F312"/>
      <c r="G312" s="81"/>
      <c r="H312"/>
    </row>
    <row r="313" spans="1:8" ht="15" thickBot="1" x14ac:dyDescent="0.35">
      <c r="A313" s="63"/>
      <c r="B313" s="56"/>
      <c r="C313" s="57"/>
      <c r="F313"/>
      <c r="G313" s="81"/>
      <c r="H313"/>
    </row>
    <row r="314" spans="1:8" ht="15" thickBot="1" x14ac:dyDescent="0.35">
      <c r="A314" s="63"/>
      <c r="B314" s="56"/>
      <c r="C314" s="57"/>
      <c r="F314"/>
      <c r="G314" s="81"/>
      <c r="H314"/>
    </row>
    <row r="315" spans="1:8" ht="15" thickBot="1" x14ac:dyDescent="0.35">
      <c r="A315" s="63"/>
      <c r="B315" s="56"/>
      <c r="C315" s="57"/>
      <c r="F315"/>
      <c r="G315" s="81"/>
      <c r="H315"/>
    </row>
    <row r="316" spans="1:8" ht="15" thickBot="1" x14ac:dyDescent="0.35">
      <c r="A316" s="63"/>
      <c r="B316" s="45"/>
      <c r="C316" s="45"/>
      <c r="F316"/>
      <c r="G316" s="81"/>
      <c r="H316"/>
    </row>
    <row r="317" spans="1:8" ht="15" thickBot="1" x14ac:dyDescent="0.35">
      <c r="A317" s="63"/>
      <c r="B317" s="56"/>
      <c r="C317" s="57"/>
      <c r="F317"/>
      <c r="G317" s="81"/>
      <c r="H317"/>
    </row>
    <row r="318" spans="1:8" ht="15" thickBot="1" x14ac:dyDescent="0.35">
      <c r="A318" s="63"/>
      <c r="B318" s="56"/>
      <c r="C318" s="57"/>
      <c r="F318"/>
      <c r="G318" s="81"/>
      <c r="H318"/>
    </row>
    <row r="319" spans="1:8" ht="15" thickBot="1" x14ac:dyDescent="0.35">
      <c r="A319" s="63"/>
      <c r="B319" s="56"/>
      <c r="C319" s="57"/>
      <c r="F319"/>
      <c r="G319" s="81"/>
      <c r="H319"/>
    </row>
    <row r="320" spans="1:8" ht="15" thickBot="1" x14ac:dyDescent="0.35">
      <c r="A320" s="63"/>
      <c r="B320" s="56"/>
      <c r="C320" s="57"/>
      <c r="F320"/>
      <c r="G320" s="81"/>
      <c r="H320"/>
    </row>
    <row r="321" spans="1:8" ht="15" thickBot="1" x14ac:dyDescent="0.35">
      <c r="A321" s="63"/>
      <c r="B321" s="56"/>
      <c r="C321" s="57"/>
      <c r="F321"/>
      <c r="G321" s="81"/>
      <c r="H321"/>
    </row>
    <row r="322" spans="1:8" ht="15" thickBot="1" x14ac:dyDescent="0.35">
      <c r="A322" s="63"/>
      <c r="B322" s="56"/>
      <c r="C322" s="57"/>
      <c r="F322"/>
      <c r="G322" s="81"/>
      <c r="H322"/>
    </row>
    <row r="323" spans="1:8" ht="15" thickBot="1" x14ac:dyDescent="0.35">
      <c r="A323" s="55"/>
      <c r="B323" s="56"/>
      <c r="C323" s="57"/>
      <c r="F323"/>
      <c r="G323" s="81"/>
      <c r="H323"/>
    </row>
    <row r="324" spans="1:8" ht="15" thickBot="1" x14ac:dyDescent="0.35">
      <c r="A324" s="63"/>
      <c r="B324" s="56"/>
      <c r="C324" s="57"/>
      <c r="F324"/>
      <c r="G324" s="81"/>
      <c r="H324"/>
    </row>
    <row r="325" spans="1:8" ht="15" thickBot="1" x14ac:dyDescent="0.35">
      <c r="A325" s="63"/>
      <c r="B325" s="56"/>
      <c r="C325" s="57"/>
      <c r="F325"/>
      <c r="G325" s="81"/>
      <c r="H325"/>
    </row>
    <row r="326" spans="1:8" ht="15" thickBot="1" x14ac:dyDescent="0.35">
      <c r="A326" s="63"/>
      <c r="B326" s="56"/>
      <c r="C326" s="57"/>
      <c r="F326"/>
      <c r="G326" s="81"/>
      <c r="H326"/>
    </row>
    <row r="327" spans="1:8" ht="15" thickBot="1" x14ac:dyDescent="0.35">
      <c r="A327" s="63"/>
      <c r="B327" s="56"/>
      <c r="C327" s="57"/>
      <c r="F327"/>
      <c r="G327" s="81"/>
      <c r="H327"/>
    </row>
    <row r="328" spans="1:8" ht="15" thickBot="1" x14ac:dyDescent="0.35">
      <c r="A328" s="63"/>
      <c r="B328" s="56"/>
      <c r="C328" s="57"/>
      <c r="F328"/>
      <c r="G328" s="81"/>
      <c r="H328"/>
    </row>
    <row r="329" spans="1:8" ht="15" thickBot="1" x14ac:dyDescent="0.35">
      <c r="A329" s="63"/>
      <c r="B329" s="56"/>
      <c r="C329" s="57"/>
      <c r="F329"/>
      <c r="G329" s="81"/>
      <c r="H329"/>
    </row>
    <row r="330" spans="1:8" ht="15" thickBot="1" x14ac:dyDescent="0.35">
      <c r="A330" s="63"/>
      <c r="B330" s="56"/>
      <c r="C330" s="57"/>
      <c r="F330"/>
      <c r="G330" s="81"/>
      <c r="H330"/>
    </row>
    <row r="331" spans="1:8" ht="15" thickBot="1" x14ac:dyDescent="0.35">
      <c r="A331" s="64"/>
      <c r="B331" s="56"/>
      <c r="C331" s="57"/>
      <c r="F331"/>
      <c r="G331" s="81"/>
      <c r="H331"/>
    </row>
    <row r="332" spans="1:8" ht="15" thickBot="1" x14ac:dyDescent="0.35">
      <c r="A332" s="64"/>
      <c r="B332" s="56"/>
      <c r="C332" s="57"/>
      <c r="F332"/>
      <c r="G332" s="81"/>
      <c r="H332"/>
    </row>
    <row r="333" spans="1:8" ht="15" thickBot="1" x14ac:dyDescent="0.35">
      <c r="A333" s="55"/>
      <c r="B333" s="56"/>
      <c r="C333" s="57"/>
      <c r="F333"/>
      <c r="G333" s="81"/>
      <c r="H333"/>
    </row>
    <row r="334" spans="1:8" ht="15" thickBot="1" x14ac:dyDescent="0.35">
      <c r="A334" s="66"/>
      <c r="B334" s="67"/>
      <c r="C334" s="57"/>
      <c r="F334"/>
      <c r="G334" s="81"/>
      <c r="H334"/>
    </row>
    <row r="335" spans="1:8" ht="15" thickBot="1" x14ac:dyDescent="0.35">
      <c r="A335" s="64"/>
      <c r="B335" s="56"/>
      <c r="C335" s="57"/>
      <c r="F335"/>
      <c r="G335" s="81"/>
      <c r="H335"/>
    </row>
    <row r="336" spans="1:8" ht="15" thickBot="1" x14ac:dyDescent="0.35">
      <c r="A336" s="55"/>
      <c r="B336" s="56"/>
      <c r="C336" s="57"/>
      <c r="F336"/>
      <c r="G336" s="81"/>
      <c r="H336"/>
    </row>
    <row r="337" spans="1:8" ht="15" thickBot="1" x14ac:dyDescent="0.35">
      <c r="A337" s="55"/>
      <c r="B337" s="56"/>
      <c r="C337" s="57"/>
      <c r="F337"/>
      <c r="G337" s="81"/>
      <c r="H337"/>
    </row>
    <row r="338" spans="1:8" ht="15" thickBot="1" x14ac:dyDescent="0.35">
      <c r="A338" s="64"/>
      <c r="B338" s="56"/>
      <c r="C338" s="57"/>
      <c r="F338"/>
      <c r="G338" s="81"/>
      <c r="H338"/>
    </row>
    <row r="339" spans="1:8" ht="15" thickBot="1" x14ac:dyDescent="0.35">
      <c r="A339" s="64"/>
      <c r="B339" s="56"/>
      <c r="C339" s="57"/>
      <c r="F339"/>
      <c r="G339" s="81"/>
      <c r="H339"/>
    </row>
    <row r="340" spans="1:8" ht="15" thickBot="1" x14ac:dyDescent="0.35">
      <c r="A340" s="64"/>
      <c r="B340" s="68"/>
      <c r="C340" s="57"/>
      <c r="F340"/>
      <c r="G340" s="81"/>
      <c r="H340"/>
    </row>
    <row r="341" spans="1:8" ht="15" thickBot="1" x14ac:dyDescent="0.35">
      <c r="A341" s="55"/>
      <c r="B341" s="57"/>
      <c r="C341" s="57"/>
      <c r="F341"/>
      <c r="G341" s="81"/>
      <c r="H341"/>
    </row>
    <row r="342" spans="1:8" ht="15" thickBot="1" x14ac:dyDescent="0.35">
      <c r="A342" s="64"/>
      <c r="B342" s="56"/>
      <c r="C342" s="57"/>
      <c r="F342"/>
      <c r="G342" s="81"/>
      <c r="H342"/>
    </row>
    <row r="343" spans="1:8" ht="15" thickBot="1" x14ac:dyDescent="0.35">
      <c r="A343" s="64"/>
      <c r="B343" s="57"/>
      <c r="C343" s="57"/>
      <c r="F343"/>
      <c r="G343" s="81"/>
      <c r="H343"/>
    </row>
    <row r="344" spans="1:8" ht="15" thickBot="1" x14ac:dyDescent="0.35">
      <c r="A344" s="55"/>
      <c r="B344" s="56"/>
      <c r="C344" s="57"/>
      <c r="F344"/>
      <c r="G344" s="81"/>
      <c r="H344"/>
    </row>
    <row r="345" spans="1:8" x14ac:dyDescent="0.3">
      <c r="A345" s="88">
        <v>45627</v>
      </c>
      <c r="F345"/>
      <c r="G345" s="81"/>
      <c r="H345"/>
    </row>
    <row r="346" spans="1:8" x14ac:dyDescent="0.3">
      <c r="F346"/>
      <c r="G346" s="81"/>
      <c r="H346"/>
    </row>
    <row r="347" spans="1:8" x14ac:dyDescent="0.3">
      <c r="F347"/>
      <c r="G347" s="81"/>
      <c r="H347"/>
    </row>
    <row r="348" spans="1:8" x14ac:dyDescent="0.3">
      <c r="F348"/>
      <c r="G348" s="81"/>
      <c r="H348"/>
    </row>
    <row r="349" spans="1:8" x14ac:dyDescent="0.3">
      <c r="F349"/>
      <c r="G349" s="81"/>
      <c r="H349"/>
    </row>
    <row r="350" spans="1:8" x14ac:dyDescent="0.3">
      <c r="F350"/>
      <c r="G350" s="81"/>
      <c r="H350"/>
    </row>
    <row r="351" spans="1:8" x14ac:dyDescent="0.3">
      <c r="F351"/>
      <c r="G351" s="81"/>
      <c r="H351"/>
    </row>
    <row r="352" spans="1:8" x14ac:dyDescent="0.3">
      <c r="F352"/>
      <c r="G352" s="81"/>
      <c r="H352"/>
    </row>
    <row r="353" spans="6:8" x14ac:dyDescent="0.3">
      <c r="F353"/>
      <c r="G353" s="81"/>
      <c r="H353"/>
    </row>
    <row r="354" spans="6:8" x14ac:dyDescent="0.3">
      <c r="F354"/>
      <c r="G354" s="81"/>
      <c r="H354"/>
    </row>
    <row r="355" spans="6:8" x14ac:dyDescent="0.3">
      <c r="F355"/>
      <c r="G355" s="81"/>
      <c r="H355"/>
    </row>
    <row r="356" spans="6:8" x14ac:dyDescent="0.3">
      <c r="F356"/>
      <c r="G356" s="81"/>
      <c r="H356"/>
    </row>
    <row r="357" spans="6:8" x14ac:dyDescent="0.3">
      <c r="F357"/>
      <c r="G357" s="81"/>
      <c r="H357"/>
    </row>
    <row r="358" spans="6:8" x14ac:dyDescent="0.3">
      <c r="F358"/>
      <c r="G358" s="81"/>
      <c r="H358"/>
    </row>
    <row r="359" spans="6:8" x14ac:dyDescent="0.3">
      <c r="F359"/>
      <c r="G359" s="81"/>
      <c r="H359"/>
    </row>
    <row r="360" spans="6:8" x14ac:dyDescent="0.3">
      <c r="F360"/>
      <c r="G360" s="81"/>
      <c r="H360"/>
    </row>
    <row r="361" spans="6:8" x14ac:dyDescent="0.3">
      <c r="F361"/>
      <c r="G361" s="81"/>
      <c r="H361"/>
    </row>
    <row r="362" spans="6:8" x14ac:dyDescent="0.3">
      <c r="F362"/>
      <c r="G362" s="81"/>
      <c r="H362"/>
    </row>
    <row r="363" spans="6:8" x14ac:dyDescent="0.3">
      <c r="F363"/>
      <c r="G363" s="81"/>
      <c r="H363"/>
    </row>
    <row r="364" spans="6:8" x14ac:dyDescent="0.3">
      <c r="F364"/>
      <c r="G364" s="81"/>
      <c r="H364"/>
    </row>
    <row r="365" spans="6:8" x14ac:dyDescent="0.3">
      <c r="F365"/>
      <c r="G365" s="81"/>
      <c r="H365"/>
    </row>
    <row r="366" spans="6:8" x14ac:dyDescent="0.3">
      <c r="F366"/>
      <c r="G366" s="81"/>
      <c r="H366"/>
    </row>
    <row r="367" spans="6:8" x14ac:dyDescent="0.3">
      <c r="F367"/>
      <c r="G367" s="81"/>
      <c r="H367"/>
    </row>
    <row r="368" spans="6:8" x14ac:dyDescent="0.3">
      <c r="F368"/>
      <c r="G368" s="81"/>
      <c r="H368"/>
    </row>
    <row r="369" spans="6:8" x14ac:dyDescent="0.3">
      <c r="F369"/>
      <c r="G369" s="81"/>
      <c r="H369"/>
    </row>
    <row r="370" spans="6:8" x14ac:dyDescent="0.3">
      <c r="F370"/>
      <c r="G370" s="81"/>
      <c r="H370"/>
    </row>
    <row r="371" spans="6:8" x14ac:dyDescent="0.3">
      <c r="F371"/>
      <c r="G371" s="81"/>
      <c r="H371"/>
    </row>
    <row r="372" spans="6:8" x14ac:dyDescent="0.3">
      <c r="F372"/>
      <c r="G372" s="81"/>
      <c r="H372"/>
    </row>
    <row r="373" spans="6:8" x14ac:dyDescent="0.3">
      <c r="F373"/>
      <c r="G373" s="81"/>
      <c r="H373"/>
    </row>
    <row r="374" spans="6:8" x14ac:dyDescent="0.3">
      <c r="F374"/>
      <c r="G374" s="81"/>
      <c r="H374"/>
    </row>
    <row r="375" spans="6:8" x14ac:dyDescent="0.3">
      <c r="F375"/>
      <c r="G375" s="81"/>
      <c r="H375"/>
    </row>
    <row r="376" spans="6:8" x14ac:dyDescent="0.3">
      <c r="F376"/>
      <c r="G376" s="81"/>
      <c r="H376"/>
    </row>
    <row r="377" spans="6:8" x14ac:dyDescent="0.3">
      <c r="F377"/>
      <c r="G377" s="81"/>
      <c r="H377"/>
    </row>
    <row r="378" spans="6:8" x14ac:dyDescent="0.3">
      <c r="F378"/>
      <c r="G378" s="81"/>
      <c r="H378"/>
    </row>
    <row r="379" spans="6:8" x14ac:dyDescent="0.3">
      <c r="F379"/>
      <c r="G379" s="81"/>
      <c r="H379"/>
    </row>
    <row r="380" spans="6:8" x14ac:dyDescent="0.3">
      <c r="F380"/>
      <c r="G380" s="81"/>
      <c r="H380"/>
    </row>
    <row r="381" spans="6:8" x14ac:dyDescent="0.3">
      <c r="F381"/>
      <c r="G381" s="81"/>
      <c r="H381"/>
    </row>
    <row r="382" spans="6:8" x14ac:dyDescent="0.3">
      <c r="F382"/>
      <c r="G382" s="81"/>
      <c r="H382"/>
    </row>
    <row r="383" spans="6:8" x14ac:dyDescent="0.3">
      <c r="F383"/>
      <c r="G383" s="81"/>
      <c r="H383"/>
    </row>
    <row r="384" spans="6:8" x14ac:dyDescent="0.3">
      <c r="F384"/>
      <c r="G384" s="81"/>
      <c r="H384"/>
    </row>
    <row r="385" spans="6:8" x14ac:dyDescent="0.3">
      <c r="F385"/>
      <c r="G385" s="81"/>
      <c r="H385"/>
    </row>
    <row r="386" spans="6:8" x14ac:dyDescent="0.3">
      <c r="F386"/>
      <c r="G386" s="81"/>
      <c r="H386"/>
    </row>
    <row r="387" spans="6:8" x14ac:dyDescent="0.3">
      <c r="F387"/>
      <c r="G387" s="81"/>
      <c r="H387"/>
    </row>
    <row r="388" spans="6:8" x14ac:dyDescent="0.3">
      <c r="F388"/>
      <c r="G388" s="81"/>
      <c r="H388"/>
    </row>
    <row r="389" spans="6:8" x14ac:dyDescent="0.3">
      <c r="F389"/>
      <c r="G389" s="81"/>
      <c r="H389"/>
    </row>
    <row r="390" spans="6:8" x14ac:dyDescent="0.3">
      <c r="F390"/>
      <c r="G390" s="81"/>
      <c r="H390"/>
    </row>
    <row r="391" spans="6:8" x14ac:dyDescent="0.3">
      <c r="F391"/>
      <c r="G391" s="81"/>
      <c r="H391"/>
    </row>
    <row r="392" spans="6:8" x14ac:dyDescent="0.3">
      <c r="F392"/>
      <c r="G392" s="81"/>
      <c r="H392"/>
    </row>
    <row r="393" spans="6:8" x14ac:dyDescent="0.3">
      <c r="F393"/>
      <c r="G393" s="81"/>
      <c r="H393"/>
    </row>
    <row r="394" spans="6:8" x14ac:dyDescent="0.3">
      <c r="F394"/>
      <c r="G394" s="81"/>
      <c r="H394"/>
    </row>
    <row r="395" spans="6:8" x14ac:dyDescent="0.3">
      <c r="F395"/>
      <c r="G395" s="81"/>
      <c r="H395"/>
    </row>
    <row r="396" spans="6:8" x14ac:dyDescent="0.3">
      <c r="F396"/>
      <c r="G396" s="81"/>
      <c r="H396"/>
    </row>
    <row r="397" spans="6:8" x14ac:dyDescent="0.3">
      <c r="F397"/>
      <c r="G397" s="81"/>
      <c r="H397"/>
    </row>
    <row r="398" spans="6:8" x14ac:dyDescent="0.3">
      <c r="F398"/>
      <c r="G398" s="81"/>
      <c r="H398"/>
    </row>
    <row r="399" spans="6:8" x14ac:dyDescent="0.3">
      <c r="F399"/>
      <c r="G399" s="81"/>
      <c r="H399"/>
    </row>
    <row r="400" spans="6:8" x14ac:dyDescent="0.3">
      <c r="F400"/>
      <c r="G400" s="81"/>
      <c r="H400"/>
    </row>
    <row r="401" spans="6:8" x14ac:dyDescent="0.3">
      <c r="F401"/>
      <c r="G401" s="81"/>
      <c r="H401"/>
    </row>
    <row r="402" spans="6:8" x14ac:dyDescent="0.3">
      <c r="F402"/>
      <c r="G402" s="81"/>
      <c r="H402"/>
    </row>
    <row r="403" spans="6:8" x14ac:dyDescent="0.3">
      <c r="F403"/>
      <c r="G403" s="81"/>
      <c r="H403"/>
    </row>
    <row r="404" spans="6:8" x14ac:dyDescent="0.3">
      <c r="F404"/>
      <c r="G404" s="81"/>
      <c r="H404"/>
    </row>
    <row r="405" spans="6:8" x14ac:dyDescent="0.3">
      <c r="F405"/>
      <c r="G405" s="81"/>
      <c r="H405"/>
    </row>
    <row r="406" spans="6:8" x14ac:dyDescent="0.3">
      <c r="F406"/>
      <c r="G406" s="81"/>
      <c r="H406"/>
    </row>
    <row r="407" spans="6:8" x14ac:dyDescent="0.3">
      <c r="F407"/>
      <c r="G407" s="81"/>
      <c r="H407"/>
    </row>
    <row r="408" spans="6:8" x14ac:dyDescent="0.3">
      <c r="F408"/>
      <c r="G408" s="81"/>
      <c r="H408"/>
    </row>
    <row r="409" spans="6:8" x14ac:dyDescent="0.3">
      <c r="F409"/>
      <c r="G409" s="81"/>
      <c r="H409"/>
    </row>
    <row r="410" spans="6:8" x14ac:dyDescent="0.3">
      <c r="F410"/>
      <c r="G410" s="81"/>
      <c r="H410"/>
    </row>
    <row r="411" spans="6:8" x14ac:dyDescent="0.3">
      <c r="F411"/>
      <c r="G411" s="81"/>
      <c r="H411"/>
    </row>
    <row r="412" spans="6:8" x14ac:dyDescent="0.3">
      <c r="F412"/>
      <c r="G412" s="81"/>
      <c r="H412"/>
    </row>
    <row r="413" spans="6:8" x14ac:dyDescent="0.3">
      <c r="F413"/>
      <c r="G413" s="81"/>
      <c r="H413"/>
    </row>
    <row r="414" spans="6:8" x14ac:dyDescent="0.3">
      <c r="F414"/>
      <c r="G414" s="81"/>
      <c r="H414"/>
    </row>
    <row r="415" spans="6:8" x14ac:dyDescent="0.3">
      <c r="F415"/>
      <c r="G415" s="81"/>
      <c r="H415"/>
    </row>
    <row r="416" spans="6:8" x14ac:dyDescent="0.3">
      <c r="F416"/>
      <c r="G416" s="81"/>
      <c r="H416"/>
    </row>
    <row r="417" spans="6:8" x14ac:dyDescent="0.3">
      <c r="F417"/>
      <c r="G417" s="81"/>
      <c r="H417"/>
    </row>
    <row r="418" spans="6:8" x14ac:dyDescent="0.3">
      <c r="F418"/>
      <c r="G418" s="81"/>
      <c r="H418"/>
    </row>
    <row r="419" spans="6:8" x14ac:dyDescent="0.3">
      <c r="F419"/>
      <c r="G419" s="81"/>
      <c r="H419"/>
    </row>
    <row r="420" spans="6:8" x14ac:dyDescent="0.3">
      <c r="F420"/>
      <c r="G420" s="81"/>
      <c r="H420"/>
    </row>
    <row r="421" spans="6:8" x14ac:dyDescent="0.3">
      <c r="F421"/>
      <c r="G421" s="81"/>
      <c r="H421"/>
    </row>
    <row r="422" spans="6:8" x14ac:dyDescent="0.3">
      <c r="F422"/>
      <c r="G422" s="81"/>
      <c r="H422"/>
    </row>
    <row r="423" spans="6:8" x14ac:dyDescent="0.3">
      <c r="F423"/>
      <c r="G423" s="81"/>
      <c r="H423"/>
    </row>
    <row r="424" spans="6:8" x14ac:dyDescent="0.3">
      <c r="F424"/>
      <c r="G424" s="81"/>
      <c r="H424"/>
    </row>
    <row r="425" spans="6:8" x14ac:dyDescent="0.3">
      <c r="F425"/>
      <c r="G425" s="81"/>
      <c r="H425"/>
    </row>
    <row r="426" spans="6:8" x14ac:dyDescent="0.3">
      <c r="F426"/>
      <c r="G426" s="81"/>
      <c r="H426"/>
    </row>
    <row r="427" spans="6:8" x14ac:dyDescent="0.3">
      <c r="F427"/>
      <c r="G427" s="81"/>
      <c r="H427"/>
    </row>
    <row r="428" spans="6:8" x14ac:dyDescent="0.3">
      <c r="F428"/>
      <c r="G428" s="81"/>
      <c r="H428"/>
    </row>
    <row r="429" spans="6:8" x14ac:dyDescent="0.3">
      <c r="F429"/>
      <c r="G429" s="81"/>
      <c r="H429"/>
    </row>
    <row r="430" spans="6:8" x14ac:dyDescent="0.3">
      <c r="F430"/>
      <c r="G430" s="81"/>
      <c r="H430"/>
    </row>
    <row r="431" spans="6:8" x14ac:dyDescent="0.3">
      <c r="F431"/>
      <c r="G431" s="81"/>
      <c r="H431"/>
    </row>
    <row r="432" spans="6:8" x14ac:dyDescent="0.3">
      <c r="F432"/>
      <c r="G432" s="81"/>
      <c r="H432"/>
    </row>
    <row r="433" spans="6:8" x14ac:dyDescent="0.3">
      <c r="F433"/>
      <c r="G433" s="81"/>
      <c r="H433"/>
    </row>
    <row r="434" spans="6:8" x14ac:dyDescent="0.3">
      <c r="F434"/>
      <c r="G434" s="81"/>
      <c r="H434"/>
    </row>
    <row r="435" spans="6:8" x14ac:dyDescent="0.3">
      <c r="F435"/>
      <c r="G435" s="81"/>
      <c r="H435"/>
    </row>
    <row r="436" spans="6:8" x14ac:dyDescent="0.3">
      <c r="F436"/>
      <c r="G436" s="81"/>
      <c r="H436"/>
    </row>
    <row r="437" spans="6:8" x14ac:dyDescent="0.3">
      <c r="F437"/>
      <c r="G437" s="81"/>
      <c r="H437"/>
    </row>
    <row r="438" spans="6:8" x14ac:dyDescent="0.3">
      <c r="F438"/>
      <c r="G438" s="81"/>
      <c r="H438"/>
    </row>
    <row r="439" spans="6:8" x14ac:dyDescent="0.3">
      <c r="F439"/>
      <c r="G439" s="81"/>
      <c r="H439"/>
    </row>
    <row r="440" spans="6:8" x14ac:dyDescent="0.3">
      <c r="F440"/>
      <c r="G440" s="81"/>
      <c r="H440"/>
    </row>
    <row r="441" spans="6:8" x14ac:dyDescent="0.3">
      <c r="F441"/>
      <c r="G441" s="81"/>
      <c r="H441"/>
    </row>
    <row r="442" spans="6:8" x14ac:dyDescent="0.3">
      <c r="F442"/>
      <c r="G442" s="81"/>
      <c r="H442"/>
    </row>
    <row r="443" spans="6:8" x14ac:dyDescent="0.3">
      <c r="F443"/>
      <c r="G443" s="81"/>
      <c r="H443"/>
    </row>
    <row r="444" spans="6:8" x14ac:dyDescent="0.3">
      <c r="F444"/>
      <c r="G444" s="81"/>
      <c r="H444"/>
    </row>
    <row r="445" spans="6:8" x14ac:dyDescent="0.3">
      <c r="F445"/>
      <c r="G445" s="81"/>
      <c r="H445"/>
    </row>
    <row r="446" spans="6:8" x14ac:dyDescent="0.3">
      <c r="F446"/>
      <c r="G446" s="81"/>
      <c r="H446"/>
    </row>
    <row r="447" spans="6:8" x14ac:dyDescent="0.3">
      <c r="F447"/>
      <c r="G447" s="81"/>
      <c r="H447"/>
    </row>
    <row r="448" spans="6:8" x14ac:dyDescent="0.3">
      <c r="F448"/>
      <c r="G448" s="81"/>
      <c r="H448"/>
    </row>
    <row r="449" spans="6:8" x14ac:dyDescent="0.3">
      <c r="F449"/>
      <c r="G449" s="81"/>
      <c r="H449"/>
    </row>
    <row r="450" spans="6:8" x14ac:dyDescent="0.3">
      <c r="F450"/>
      <c r="G450" s="81"/>
      <c r="H450"/>
    </row>
    <row r="451" spans="6:8" x14ac:dyDescent="0.3">
      <c r="F451"/>
      <c r="G451" s="81"/>
      <c r="H451"/>
    </row>
    <row r="452" spans="6:8" x14ac:dyDescent="0.3">
      <c r="F452"/>
      <c r="G452" s="81"/>
      <c r="H452"/>
    </row>
    <row r="453" spans="6:8" x14ac:dyDescent="0.3">
      <c r="F453"/>
      <c r="G453" s="81"/>
      <c r="H453"/>
    </row>
    <row r="454" spans="6:8" x14ac:dyDescent="0.3">
      <c r="F454"/>
      <c r="G454" s="81"/>
      <c r="H454"/>
    </row>
    <row r="455" spans="6:8" x14ac:dyDescent="0.3">
      <c r="F455"/>
      <c r="G455" s="81"/>
      <c r="H455"/>
    </row>
    <row r="456" spans="6:8" x14ac:dyDescent="0.3">
      <c r="F456"/>
      <c r="G456" s="81"/>
      <c r="H456"/>
    </row>
    <row r="457" spans="6:8" x14ac:dyDescent="0.3">
      <c r="F457"/>
      <c r="G457" s="81"/>
      <c r="H457"/>
    </row>
    <row r="458" spans="6:8" x14ac:dyDescent="0.3">
      <c r="F458"/>
      <c r="G458" s="81"/>
      <c r="H458"/>
    </row>
    <row r="459" spans="6:8" x14ac:dyDescent="0.3">
      <c r="F459"/>
      <c r="G459" s="81"/>
      <c r="H459"/>
    </row>
    <row r="460" spans="6:8" x14ac:dyDescent="0.3">
      <c r="F460"/>
      <c r="G460" s="81"/>
      <c r="H460"/>
    </row>
    <row r="461" spans="6:8" x14ac:dyDescent="0.3">
      <c r="F461"/>
      <c r="G461" s="81"/>
      <c r="H461"/>
    </row>
    <row r="462" spans="6:8" x14ac:dyDescent="0.3">
      <c r="F462"/>
      <c r="G462" s="81"/>
      <c r="H462"/>
    </row>
    <row r="463" spans="6:8" x14ac:dyDescent="0.3">
      <c r="F463"/>
      <c r="G463" s="81"/>
      <c r="H463"/>
    </row>
    <row r="464" spans="6:8" x14ac:dyDescent="0.3">
      <c r="F464"/>
      <c r="G464" s="81"/>
      <c r="H464"/>
    </row>
    <row r="465" spans="6:8" x14ac:dyDescent="0.3">
      <c r="F465"/>
      <c r="G465" s="81"/>
      <c r="H465"/>
    </row>
    <row r="466" spans="6:8" x14ac:dyDescent="0.3">
      <c r="F466"/>
      <c r="G466" s="81"/>
      <c r="H466"/>
    </row>
    <row r="467" spans="6:8" x14ac:dyDescent="0.3">
      <c r="F467"/>
      <c r="G467" s="81"/>
      <c r="H467"/>
    </row>
    <row r="468" spans="6:8" x14ac:dyDescent="0.3">
      <c r="F468"/>
      <c r="G468" s="81"/>
      <c r="H468"/>
    </row>
    <row r="469" spans="6:8" x14ac:dyDescent="0.3">
      <c r="F469"/>
      <c r="G469" s="81"/>
      <c r="H469"/>
    </row>
    <row r="470" spans="6:8" x14ac:dyDescent="0.3">
      <c r="F470"/>
      <c r="G470" s="81"/>
      <c r="H470"/>
    </row>
    <row r="471" spans="6:8" x14ac:dyDescent="0.3">
      <c r="F471"/>
      <c r="G471" s="81"/>
      <c r="H471"/>
    </row>
    <row r="472" spans="6:8" x14ac:dyDescent="0.3">
      <c r="F472"/>
      <c r="G472" s="81"/>
      <c r="H472"/>
    </row>
    <row r="473" spans="6:8" x14ac:dyDescent="0.3">
      <c r="F473"/>
      <c r="G473" s="81"/>
      <c r="H473"/>
    </row>
    <row r="474" spans="6:8" x14ac:dyDescent="0.3">
      <c r="F474"/>
      <c r="G474" s="81"/>
      <c r="H474"/>
    </row>
    <row r="475" spans="6:8" x14ac:dyDescent="0.3">
      <c r="F475"/>
      <c r="G475" s="81"/>
      <c r="H475"/>
    </row>
    <row r="476" spans="6:8" x14ac:dyDescent="0.3">
      <c r="F476"/>
      <c r="G476" s="81"/>
      <c r="H476"/>
    </row>
    <row r="477" spans="6:8" x14ac:dyDescent="0.3">
      <c r="F477"/>
      <c r="G477" s="81"/>
      <c r="H477"/>
    </row>
    <row r="478" spans="6:8" x14ac:dyDescent="0.3">
      <c r="F478"/>
      <c r="G478" s="81"/>
      <c r="H478"/>
    </row>
    <row r="479" spans="6:8" x14ac:dyDescent="0.3">
      <c r="F479"/>
      <c r="G479" s="81"/>
      <c r="H479"/>
    </row>
    <row r="480" spans="6:8" x14ac:dyDescent="0.3">
      <c r="F480"/>
      <c r="G480" s="81"/>
      <c r="H480"/>
    </row>
    <row r="481" spans="6:8" x14ac:dyDescent="0.3">
      <c r="F481"/>
      <c r="G481" s="81"/>
      <c r="H481"/>
    </row>
    <row r="482" spans="6:8" x14ac:dyDescent="0.3">
      <c r="F482"/>
      <c r="G482" s="81"/>
      <c r="H482"/>
    </row>
    <row r="483" spans="6:8" x14ac:dyDescent="0.3">
      <c r="F483"/>
      <c r="G483" s="81"/>
      <c r="H483"/>
    </row>
    <row r="484" spans="6:8" x14ac:dyDescent="0.3">
      <c r="F484"/>
      <c r="G484" s="81"/>
      <c r="H484"/>
    </row>
    <row r="485" spans="6:8" x14ac:dyDescent="0.3">
      <c r="F485"/>
      <c r="G485" s="81"/>
      <c r="H485"/>
    </row>
    <row r="486" spans="6:8" x14ac:dyDescent="0.3">
      <c r="F486"/>
      <c r="G486" s="81"/>
      <c r="H486"/>
    </row>
    <row r="487" spans="6:8" x14ac:dyDescent="0.3">
      <c r="F487"/>
      <c r="G487" s="81"/>
      <c r="H487"/>
    </row>
    <row r="488" spans="6:8" x14ac:dyDescent="0.3">
      <c r="F488"/>
      <c r="G488" s="81"/>
      <c r="H488"/>
    </row>
    <row r="489" spans="6:8" x14ac:dyDescent="0.3">
      <c r="F489"/>
      <c r="G489" s="81"/>
      <c r="H489"/>
    </row>
    <row r="490" spans="6:8" x14ac:dyDescent="0.3">
      <c r="F490"/>
      <c r="G490" s="81"/>
      <c r="H490"/>
    </row>
    <row r="491" spans="6:8" x14ac:dyDescent="0.3">
      <c r="F491"/>
      <c r="G491" s="81"/>
      <c r="H491"/>
    </row>
    <row r="492" spans="6:8" x14ac:dyDescent="0.3">
      <c r="F492"/>
      <c r="G492" s="81"/>
      <c r="H492"/>
    </row>
    <row r="493" spans="6:8" x14ac:dyDescent="0.3">
      <c r="F493"/>
      <c r="G493" s="81"/>
      <c r="H493"/>
    </row>
    <row r="494" spans="6:8" x14ac:dyDescent="0.3">
      <c r="F494"/>
      <c r="G494" s="81"/>
      <c r="H494"/>
    </row>
    <row r="495" spans="6:8" x14ac:dyDescent="0.3">
      <c r="F495"/>
      <c r="G495" s="81"/>
      <c r="H495"/>
    </row>
    <row r="496" spans="6:8" x14ac:dyDescent="0.3">
      <c r="F496"/>
      <c r="G496" s="81"/>
      <c r="H496"/>
    </row>
    <row r="497" spans="6:8" x14ac:dyDescent="0.3">
      <c r="F497"/>
      <c r="G497" s="81"/>
      <c r="H497"/>
    </row>
    <row r="498" spans="6:8" x14ac:dyDescent="0.3">
      <c r="F498"/>
      <c r="G498" s="81"/>
      <c r="H498"/>
    </row>
    <row r="499" spans="6:8" x14ac:dyDescent="0.3">
      <c r="F499"/>
      <c r="G499" s="81"/>
      <c r="H499"/>
    </row>
    <row r="500" spans="6:8" x14ac:dyDescent="0.3">
      <c r="F500"/>
      <c r="G500" s="81"/>
      <c r="H500"/>
    </row>
    <row r="501" spans="6:8" x14ac:dyDescent="0.3">
      <c r="F501"/>
      <c r="G501" s="81"/>
      <c r="H501"/>
    </row>
    <row r="502" spans="6:8" x14ac:dyDescent="0.3">
      <c r="F502"/>
      <c r="G502" s="81"/>
      <c r="H502"/>
    </row>
    <row r="503" spans="6:8" x14ac:dyDescent="0.3">
      <c r="F503"/>
      <c r="G503" s="81"/>
      <c r="H503"/>
    </row>
    <row r="504" spans="6:8" x14ac:dyDescent="0.3">
      <c r="F504"/>
      <c r="G504" s="81"/>
      <c r="H504"/>
    </row>
    <row r="505" spans="6:8" x14ac:dyDescent="0.3">
      <c r="F505"/>
      <c r="G505" s="81"/>
      <c r="H505"/>
    </row>
    <row r="506" spans="6:8" x14ac:dyDescent="0.3">
      <c r="F506"/>
      <c r="G506" s="81"/>
      <c r="H506"/>
    </row>
    <row r="507" spans="6:8" x14ac:dyDescent="0.3">
      <c r="F507"/>
      <c r="G507" s="81"/>
      <c r="H507"/>
    </row>
    <row r="508" spans="6:8" x14ac:dyDescent="0.3">
      <c r="F508"/>
      <c r="G508" s="81"/>
      <c r="H508"/>
    </row>
    <row r="509" spans="6:8" x14ac:dyDescent="0.3">
      <c r="F509"/>
      <c r="G509" s="81"/>
      <c r="H509"/>
    </row>
    <row r="510" spans="6:8" x14ac:dyDescent="0.3">
      <c r="F510"/>
      <c r="G510" s="81"/>
      <c r="H510"/>
    </row>
    <row r="511" spans="6:8" x14ac:dyDescent="0.3">
      <c r="F511"/>
      <c r="G511" s="81"/>
      <c r="H511"/>
    </row>
    <row r="512" spans="6:8" x14ac:dyDescent="0.3">
      <c r="F512"/>
      <c r="G512" s="81"/>
      <c r="H512"/>
    </row>
    <row r="513" spans="6:8" x14ac:dyDescent="0.3">
      <c r="F513"/>
      <c r="G513" s="81"/>
      <c r="H513"/>
    </row>
    <row r="514" spans="6:8" x14ac:dyDescent="0.3">
      <c r="F514"/>
      <c r="G514" s="81"/>
      <c r="H514"/>
    </row>
    <row r="515" spans="6:8" x14ac:dyDescent="0.3">
      <c r="F515"/>
      <c r="G515" s="81"/>
      <c r="H515"/>
    </row>
    <row r="516" spans="6:8" x14ac:dyDescent="0.3">
      <c r="F516"/>
      <c r="G516" s="81"/>
      <c r="H516"/>
    </row>
    <row r="517" spans="6:8" x14ac:dyDescent="0.3">
      <c r="F517"/>
      <c r="G517" s="81"/>
      <c r="H517"/>
    </row>
    <row r="518" spans="6:8" x14ac:dyDescent="0.3">
      <c r="F518"/>
      <c r="G518" s="81"/>
      <c r="H518"/>
    </row>
    <row r="519" spans="6:8" x14ac:dyDescent="0.3">
      <c r="F519"/>
      <c r="G519" s="81"/>
      <c r="H519"/>
    </row>
    <row r="520" spans="6:8" x14ac:dyDescent="0.3">
      <c r="F520"/>
      <c r="G520" s="81"/>
      <c r="H520"/>
    </row>
    <row r="521" spans="6:8" x14ac:dyDescent="0.3">
      <c r="F521"/>
      <c r="G521" s="81"/>
      <c r="H521"/>
    </row>
    <row r="522" spans="6:8" x14ac:dyDescent="0.3">
      <c r="F522"/>
      <c r="G522" s="81"/>
      <c r="H522"/>
    </row>
    <row r="523" spans="6:8" x14ac:dyDescent="0.3">
      <c r="F523"/>
      <c r="G523" s="81"/>
      <c r="H523"/>
    </row>
    <row r="524" spans="6:8" x14ac:dyDescent="0.3">
      <c r="F524"/>
      <c r="G524" s="81"/>
      <c r="H524"/>
    </row>
    <row r="525" spans="6:8" x14ac:dyDescent="0.3">
      <c r="F525"/>
      <c r="G525" s="81"/>
      <c r="H525"/>
    </row>
    <row r="526" spans="6:8" x14ac:dyDescent="0.3">
      <c r="F526"/>
      <c r="G526" s="81"/>
      <c r="H526"/>
    </row>
    <row r="527" spans="6:8" x14ac:dyDescent="0.3">
      <c r="F527"/>
      <c r="G527" s="81"/>
      <c r="H527"/>
    </row>
    <row r="528" spans="6:8" x14ac:dyDescent="0.3">
      <c r="F528"/>
      <c r="G528" s="81"/>
      <c r="H528"/>
    </row>
    <row r="529" spans="6:8" x14ac:dyDescent="0.3">
      <c r="F529"/>
      <c r="G529" s="81"/>
      <c r="H529"/>
    </row>
    <row r="530" spans="6:8" x14ac:dyDescent="0.3">
      <c r="F530"/>
      <c r="G530" s="81"/>
      <c r="H530"/>
    </row>
    <row r="531" spans="6:8" x14ac:dyDescent="0.3">
      <c r="F531"/>
      <c r="G531" s="81"/>
      <c r="H531"/>
    </row>
    <row r="532" spans="6:8" x14ac:dyDescent="0.3">
      <c r="F532"/>
      <c r="G532" s="81"/>
      <c r="H532"/>
    </row>
    <row r="533" spans="6:8" x14ac:dyDescent="0.3">
      <c r="F533"/>
      <c r="G533" s="81"/>
      <c r="H533"/>
    </row>
    <row r="534" spans="6:8" x14ac:dyDescent="0.3">
      <c r="F534"/>
      <c r="G534" s="81"/>
      <c r="H534"/>
    </row>
    <row r="535" spans="6:8" x14ac:dyDescent="0.3">
      <c r="F535"/>
      <c r="G535" s="81"/>
      <c r="H535"/>
    </row>
    <row r="536" spans="6:8" x14ac:dyDescent="0.3">
      <c r="F536"/>
      <c r="G536" s="81"/>
      <c r="H536"/>
    </row>
    <row r="537" spans="6:8" x14ac:dyDescent="0.3">
      <c r="F537"/>
      <c r="G537" s="81"/>
      <c r="H537"/>
    </row>
    <row r="538" spans="6:8" x14ac:dyDescent="0.3">
      <c r="F538"/>
      <c r="G538" s="81"/>
      <c r="H538"/>
    </row>
    <row r="539" spans="6:8" x14ac:dyDescent="0.3">
      <c r="F539"/>
      <c r="G539" s="81"/>
      <c r="H539"/>
    </row>
    <row r="540" spans="6:8" x14ac:dyDescent="0.3">
      <c r="F540"/>
      <c r="G540" s="81"/>
      <c r="H540"/>
    </row>
    <row r="541" spans="6:8" x14ac:dyDescent="0.3">
      <c r="F541"/>
      <c r="G541" s="81"/>
      <c r="H541"/>
    </row>
    <row r="542" spans="6:8" x14ac:dyDescent="0.3">
      <c r="F542"/>
      <c r="G542" s="81"/>
      <c r="H542"/>
    </row>
    <row r="543" spans="6:8" x14ac:dyDescent="0.3">
      <c r="F543"/>
      <c r="G543" s="81"/>
      <c r="H543"/>
    </row>
    <row r="544" spans="6:8" x14ac:dyDescent="0.3">
      <c r="F544"/>
      <c r="G544" s="81"/>
      <c r="H544"/>
    </row>
    <row r="545" spans="6:8" x14ac:dyDescent="0.3">
      <c r="F545"/>
      <c r="G545" s="81"/>
      <c r="H545"/>
    </row>
    <row r="546" spans="6:8" x14ac:dyDescent="0.3">
      <c r="F546"/>
      <c r="G546" s="81"/>
      <c r="H546"/>
    </row>
    <row r="547" spans="6:8" x14ac:dyDescent="0.3">
      <c r="F547"/>
      <c r="G547" s="81"/>
      <c r="H547"/>
    </row>
    <row r="548" spans="6:8" x14ac:dyDescent="0.3">
      <c r="F548"/>
      <c r="G548" s="81"/>
      <c r="H548"/>
    </row>
    <row r="549" spans="6:8" x14ac:dyDescent="0.3">
      <c r="F549"/>
      <c r="G549" s="81"/>
      <c r="H549"/>
    </row>
    <row r="550" spans="6:8" x14ac:dyDescent="0.3">
      <c r="F550"/>
      <c r="G550" s="81"/>
      <c r="H550"/>
    </row>
    <row r="551" spans="6:8" x14ac:dyDescent="0.3">
      <c r="F551"/>
      <c r="G551" s="81"/>
      <c r="H551"/>
    </row>
    <row r="552" spans="6:8" x14ac:dyDescent="0.3">
      <c r="F552"/>
      <c r="G552" s="81"/>
      <c r="H552"/>
    </row>
    <row r="553" spans="6:8" x14ac:dyDescent="0.3">
      <c r="F553"/>
      <c r="G553" s="81"/>
      <c r="H553"/>
    </row>
    <row r="554" spans="6:8" x14ac:dyDescent="0.3">
      <c r="F554"/>
      <c r="G554" s="81"/>
      <c r="H554"/>
    </row>
    <row r="555" spans="6:8" x14ac:dyDescent="0.3">
      <c r="F555"/>
      <c r="G555" s="81"/>
      <c r="H555"/>
    </row>
    <row r="556" spans="6:8" x14ac:dyDescent="0.3">
      <c r="F556"/>
      <c r="G556" s="81"/>
      <c r="H556"/>
    </row>
    <row r="557" spans="6:8" x14ac:dyDescent="0.3">
      <c r="F557"/>
      <c r="G557" s="81"/>
      <c r="H557"/>
    </row>
    <row r="558" spans="6:8" x14ac:dyDescent="0.3">
      <c r="F558"/>
      <c r="G558" s="81"/>
      <c r="H558"/>
    </row>
    <row r="559" spans="6:8" x14ac:dyDescent="0.3">
      <c r="F559"/>
      <c r="G559" s="81"/>
      <c r="H559"/>
    </row>
    <row r="560" spans="6:8" x14ac:dyDescent="0.3">
      <c r="F560"/>
      <c r="G560" s="81"/>
      <c r="H560"/>
    </row>
    <row r="561" spans="6:8" x14ac:dyDescent="0.3">
      <c r="F561"/>
      <c r="G561" s="81"/>
      <c r="H561"/>
    </row>
    <row r="562" spans="6:8" x14ac:dyDescent="0.3">
      <c r="F562"/>
      <c r="G562" s="81"/>
      <c r="H562"/>
    </row>
    <row r="563" spans="6:8" x14ac:dyDescent="0.3">
      <c r="F563"/>
      <c r="G563" s="81"/>
      <c r="H563"/>
    </row>
    <row r="564" spans="6:8" x14ac:dyDescent="0.3">
      <c r="F564"/>
      <c r="G564" s="81"/>
      <c r="H564"/>
    </row>
    <row r="565" spans="6:8" x14ac:dyDescent="0.3">
      <c r="F565"/>
      <c r="G565" s="81"/>
      <c r="H565"/>
    </row>
    <row r="566" spans="6:8" x14ac:dyDescent="0.3">
      <c r="F566"/>
      <c r="G566" s="81"/>
      <c r="H566"/>
    </row>
    <row r="567" spans="6:8" x14ac:dyDescent="0.3">
      <c r="F567"/>
      <c r="G567" s="81"/>
      <c r="H567"/>
    </row>
    <row r="568" spans="6:8" x14ac:dyDescent="0.3">
      <c r="F568"/>
      <c r="G568" s="81"/>
      <c r="H568"/>
    </row>
    <row r="569" spans="6:8" x14ac:dyDescent="0.3">
      <c r="F569"/>
      <c r="G569" s="81"/>
      <c r="H569"/>
    </row>
    <row r="570" spans="6:8" x14ac:dyDescent="0.3">
      <c r="F570"/>
      <c r="G570" s="81"/>
      <c r="H570"/>
    </row>
    <row r="571" spans="6:8" x14ac:dyDescent="0.3">
      <c r="F571"/>
      <c r="G571" s="81"/>
      <c r="H571"/>
    </row>
    <row r="572" spans="6:8" x14ac:dyDescent="0.3">
      <c r="F572"/>
      <c r="G572" s="81"/>
      <c r="H572"/>
    </row>
    <row r="573" spans="6:8" x14ac:dyDescent="0.3">
      <c r="F573"/>
      <c r="G573" s="81"/>
      <c r="H573"/>
    </row>
    <row r="574" spans="6:8" x14ac:dyDescent="0.3">
      <c r="F574"/>
      <c r="G574" s="81"/>
      <c r="H574"/>
    </row>
    <row r="575" spans="6:8" x14ac:dyDescent="0.3">
      <c r="F575"/>
      <c r="G575" s="81"/>
      <c r="H575"/>
    </row>
    <row r="576" spans="6:8" x14ac:dyDescent="0.3">
      <c r="F576"/>
      <c r="G576" s="81"/>
      <c r="H576"/>
    </row>
    <row r="577" spans="6:8" x14ac:dyDescent="0.3">
      <c r="F577"/>
      <c r="G577" s="81"/>
      <c r="H577"/>
    </row>
    <row r="578" spans="6:8" x14ac:dyDescent="0.3">
      <c r="F578"/>
      <c r="G578" s="81"/>
      <c r="H578"/>
    </row>
    <row r="579" spans="6:8" x14ac:dyDescent="0.3">
      <c r="F579"/>
      <c r="G579" s="81"/>
      <c r="H579"/>
    </row>
    <row r="580" spans="6:8" x14ac:dyDescent="0.3">
      <c r="F580"/>
      <c r="G580" s="81"/>
      <c r="H580"/>
    </row>
    <row r="581" spans="6:8" x14ac:dyDescent="0.3">
      <c r="F581"/>
      <c r="G581" s="81"/>
      <c r="H581"/>
    </row>
    <row r="582" spans="6:8" x14ac:dyDescent="0.3">
      <c r="F582"/>
      <c r="G582" s="81"/>
      <c r="H582"/>
    </row>
    <row r="583" spans="6:8" x14ac:dyDescent="0.3">
      <c r="F583"/>
      <c r="G583" s="81"/>
      <c r="H583"/>
    </row>
    <row r="584" spans="6:8" x14ac:dyDescent="0.3">
      <c r="F584"/>
      <c r="G584" s="81"/>
      <c r="H584"/>
    </row>
    <row r="585" spans="6:8" x14ac:dyDescent="0.3">
      <c r="F585"/>
      <c r="G585" s="81"/>
      <c r="H585"/>
    </row>
    <row r="586" spans="6:8" x14ac:dyDescent="0.3">
      <c r="F586"/>
      <c r="G586" s="81"/>
      <c r="H586"/>
    </row>
    <row r="587" spans="6:8" x14ac:dyDescent="0.3">
      <c r="F587"/>
      <c r="G587" s="81"/>
      <c r="H587"/>
    </row>
    <row r="588" spans="6:8" x14ac:dyDescent="0.3">
      <c r="F588"/>
      <c r="G588" s="81"/>
      <c r="H588"/>
    </row>
    <row r="589" spans="6:8" x14ac:dyDescent="0.3">
      <c r="F589"/>
      <c r="G589" s="81"/>
      <c r="H589"/>
    </row>
    <row r="590" spans="6:8" x14ac:dyDescent="0.3">
      <c r="F590"/>
      <c r="G590" s="81"/>
      <c r="H590"/>
    </row>
    <row r="591" spans="6:8" x14ac:dyDescent="0.3">
      <c r="F591"/>
      <c r="G591" s="81"/>
      <c r="H591"/>
    </row>
    <row r="592" spans="6:8" x14ac:dyDescent="0.3">
      <c r="F592"/>
      <c r="G592" s="81"/>
      <c r="H592"/>
    </row>
    <row r="593" spans="6:8" x14ac:dyDescent="0.3">
      <c r="F593"/>
      <c r="G593" s="81"/>
      <c r="H593"/>
    </row>
    <row r="594" spans="6:8" x14ac:dyDescent="0.3">
      <c r="F594"/>
      <c r="G594" s="81"/>
      <c r="H594"/>
    </row>
    <row r="595" spans="6:8" x14ac:dyDescent="0.3">
      <c r="F595"/>
      <c r="G595" s="81"/>
      <c r="H595"/>
    </row>
    <row r="596" spans="6:8" x14ac:dyDescent="0.3">
      <c r="F596"/>
      <c r="G596" s="81"/>
      <c r="H596"/>
    </row>
    <row r="597" spans="6:8" x14ac:dyDescent="0.3">
      <c r="F597"/>
      <c r="G597" s="81"/>
      <c r="H597"/>
    </row>
    <row r="598" spans="6:8" x14ac:dyDescent="0.3">
      <c r="F598"/>
      <c r="G598" s="81"/>
      <c r="H598"/>
    </row>
    <row r="599" spans="6:8" x14ac:dyDescent="0.3">
      <c r="F599"/>
      <c r="G599" s="81"/>
      <c r="H599"/>
    </row>
    <row r="600" spans="6:8" x14ac:dyDescent="0.3">
      <c r="F600"/>
      <c r="G600" s="81"/>
      <c r="H600"/>
    </row>
    <row r="601" spans="6:8" x14ac:dyDescent="0.3">
      <c r="F601"/>
      <c r="G601" s="81"/>
      <c r="H601"/>
    </row>
    <row r="602" spans="6:8" x14ac:dyDescent="0.3">
      <c r="F602"/>
      <c r="G602" s="81"/>
      <c r="H602"/>
    </row>
    <row r="603" spans="6:8" x14ac:dyDescent="0.3">
      <c r="F603"/>
      <c r="G603" s="81"/>
      <c r="H603"/>
    </row>
    <row r="604" spans="6:8" x14ac:dyDescent="0.3">
      <c r="F604"/>
      <c r="G604" s="81"/>
      <c r="H604"/>
    </row>
    <row r="605" spans="6:8" x14ac:dyDescent="0.3">
      <c r="F605"/>
      <c r="G605" s="81"/>
      <c r="H605"/>
    </row>
    <row r="606" spans="6:8" x14ac:dyDescent="0.3">
      <c r="F606"/>
      <c r="G606" s="81"/>
      <c r="H606"/>
    </row>
    <row r="607" spans="6:8" x14ac:dyDescent="0.3">
      <c r="F607"/>
      <c r="G607" s="81"/>
      <c r="H607"/>
    </row>
    <row r="608" spans="6:8" x14ac:dyDescent="0.3">
      <c r="F608"/>
      <c r="G608" s="81"/>
      <c r="H608"/>
    </row>
    <row r="609" spans="6:8" x14ac:dyDescent="0.3">
      <c r="F609"/>
      <c r="G609" s="81"/>
      <c r="H609"/>
    </row>
    <row r="610" spans="6:8" x14ac:dyDescent="0.3">
      <c r="F610"/>
      <c r="G610" s="81"/>
      <c r="H610"/>
    </row>
    <row r="611" spans="6:8" x14ac:dyDescent="0.3">
      <c r="F611"/>
      <c r="G611" s="81"/>
      <c r="H611"/>
    </row>
    <row r="612" spans="6:8" x14ac:dyDescent="0.3">
      <c r="F612"/>
      <c r="G612" s="81"/>
      <c r="H612"/>
    </row>
    <row r="613" spans="6:8" x14ac:dyDescent="0.3">
      <c r="F613"/>
      <c r="G613" s="81"/>
      <c r="H613"/>
    </row>
    <row r="614" spans="6:8" x14ac:dyDescent="0.3">
      <c r="F614"/>
      <c r="G614" s="81"/>
      <c r="H614"/>
    </row>
    <row r="615" spans="6:8" x14ac:dyDescent="0.3">
      <c r="F615"/>
      <c r="G615" s="81"/>
      <c r="H615"/>
    </row>
    <row r="616" spans="6:8" x14ac:dyDescent="0.3">
      <c r="F616"/>
      <c r="G616" s="81"/>
      <c r="H616"/>
    </row>
    <row r="617" spans="6:8" x14ac:dyDescent="0.3">
      <c r="F617"/>
      <c r="G617" s="81"/>
      <c r="H617"/>
    </row>
    <row r="618" spans="6:8" x14ac:dyDescent="0.3">
      <c r="F618"/>
      <c r="G618" s="81"/>
      <c r="H618"/>
    </row>
    <row r="619" spans="6:8" x14ac:dyDescent="0.3">
      <c r="F619"/>
      <c r="G619" s="81"/>
      <c r="H619"/>
    </row>
    <row r="620" spans="6:8" x14ac:dyDescent="0.3">
      <c r="F620"/>
      <c r="G620" s="81"/>
      <c r="H620"/>
    </row>
    <row r="621" spans="6:8" x14ac:dyDescent="0.3">
      <c r="F621"/>
      <c r="G621" s="81"/>
      <c r="H621"/>
    </row>
    <row r="622" spans="6:8" x14ac:dyDescent="0.3">
      <c r="F622"/>
      <c r="G622" s="81"/>
      <c r="H622"/>
    </row>
    <row r="623" spans="6:8" x14ac:dyDescent="0.3">
      <c r="F623"/>
      <c r="G623" s="81"/>
      <c r="H623"/>
    </row>
    <row r="624" spans="6:8" x14ac:dyDescent="0.3">
      <c r="F624"/>
      <c r="G624" s="81"/>
      <c r="H624"/>
    </row>
    <row r="625" spans="6:8" x14ac:dyDescent="0.3">
      <c r="F625"/>
      <c r="G625" s="81"/>
      <c r="H625"/>
    </row>
    <row r="626" spans="6:8" x14ac:dyDescent="0.3">
      <c r="F626"/>
      <c r="G626" s="81"/>
      <c r="H626"/>
    </row>
    <row r="627" spans="6:8" x14ac:dyDescent="0.3">
      <c r="F627"/>
      <c r="G627" s="81"/>
      <c r="H627"/>
    </row>
    <row r="628" spans="6:8" x14ac:dyDescent="0.3">
      <c r="F628"/>
      <c r="G628" s="81"/>
      <c r="H628"/>
    </row>
    <row r="629" spans="6:8" x14ac:dyDescent="0.3">
      <c r="F629"/>
      <c r="G629" s="81"/>
      <c r="H629"/>
    </row>
    <row r="630" spans="6:8" x14ac:dyDescent="0.3">
      <c r="F630"/>
      <c r="G630" s="81"/>
      <c r="H630"/>
    </row>
    <row r="631" spans="6:8" x14ac:dyDescent="0.3">
      <c r="F631"/>
      <c r="G631" s="81"/>
      <c r="H631"/>
    </row>
    <row r="632" spans="6:8" x14ac:dyDescent="0.3">
      <c r="F632"/>
      <c r="G632" s="81"/>
      <c r="H632"/>
    </row>
    <row r="633" spans="6:8" x14ac:dyDescent="0.3">
      <c r="F633"/>
      <c r="G633" s="81"/>
      <c r="H633"/>
    </row>
    <row r="634" spans="6:8" x14ac:dyDescent="0.3">
      <c r="F634"/>
      <c r="G634" s="81"/>
      <c r="H634"/>
    </row>
    <row r="635" spans="6:8" x14ac:dyDescent="0.3">
      <c r="F635"/>
      <c r="G635" s="81"/>
      <c r="H635"/>
    </row>
    <row r="636" spans="6:8" x14ac:dyDescent="0.3">
      <c r="F636"/>
      <c r="G636" s="81"/>
      <c r="H636"/>
    </row>
    <row r="637" spans="6:8" x14ac:dyDescent="0.3">
      <c r="F637"/>
      <c r="G637" s="81"/>
      <c r="H637"/>
    </row>
    <row r="638" spans="6:8" x14ac:dyDescent="0.3">
      <c r="F638"/>
      <c r="G638" s="81"/>
      <c r="H638"/>
    </row>
    <row r="639" spans="6:8" x14ac:dyDescent="0.3">
      <c r="F639"/>
      <c r="G639" s="81"/>
      <c r="H639"/>
    </row>
    <row r="640" spans="6:8" x14ac:dyDescent="0.3">
      <c r="F640"/>
      <c r="G640" s="81"/>
      <c r="H640"/>
    </row>
    <row r="641" spans="6:8" x14ac:dyDescent="0.3">
      <c r="F641"/>
      <c r="G641" s="81"/>
      <c r="H641"/>
    </row>
    <row r="642" spans="6:8" x14ac:dyDescent="0.3">
      <c r="F642"/>
      <c r="G642" s="81"/>
      <c r="H642"/>
    </row>
    <row r="643" spans="6:8" x14ac:dyDescent="0.3">
      <c r="F643"/>
      <c r="G643" s="81"/>
      <c r="H643"/>
    </row>
    <row r="644" spans="6:8" x14ac:dyDescent="0.3">
      <c r="F644"/>
      <c r="G644" s="81"/>
      <c r="H644"/>
    </row>
    <row r="645" spans="6:8" x14ac:dyDescent="0.3">
      <c r="F645"/>
      <c r="G645" s="81"/>
      <c r="H645"/>
    </row>
    <row r="646" spans="6:8" x14ac:dyDescent="0.3">
      <c r="F646"/>
      <c r="G646" s="81"/>
      <c r="H646"/>
    </row>
    <row r="647" spans="6:8" x14ac:dyDescent="0.3">
      <c r="F647"/>
      <c r="G647" s="81"/>
      <c r="H647"/>
    </row>
    <row r="648" spans="6:8" x14ac:dyDescent="0.3">
      <c r="F648"/>
      <c r="G648" s="81"/>
      <c r="H648"/>
    </row>
    <row r="649" spans="6:8" x14ac:dyDescent="0.3">
      <c r="F649"/>
      <c r="G649" s="81"/>
      <c r="H649"/>
    </row>
    <row r="650" spans="6:8" x14ac:dyDescent="0.3">
      <c r="F650"/>
      <c r="G650" s="81"/>
      <c r="H650"/>
    </row>
    <row r="651" spans="6:8" x14ac:dyDescent="0.3">
      <c r="F651"/>
      <c r="G651" s="81"/>
      <c r="H651"/>
    </row>
    <row r="652" spans="6:8" x14ac:dyDescent="0.3">
      <c r="F652"/>
      <c r="G652" s="81"/>
      <c r="H652"/>
    </row>
    <row r="653" spans="6:8" x14ac:dyDescent="0.3">
      <c r="F653"/>
      <c r="G653" s="81"/>
      <c r="H653"/>
    </row>
    <row r="654" spans="6:8" x14ac:dyDescent="0.3">
      <c r="F654"/>
      <c r="G654" s="81"/>
      <c r="H654"/>
    </row>
    <row r="655" spans="6:8" x14ac:dyDescent="0.3">
      <c r="F655"/>
      <c r="G655" s="81"/>
      <c r="H655"/>
    </row>
    <row r="656" spans="6:8" x14ac:dyDescent="0.3">
      <c r="F656"/>
      <c r="G656" s="81"/>
      <c r="H656"/>
    </row>
    <row r="657" spans="6:8" x14ac:dyDescent="0.3">
      <c r="F657"/>
      <c r="G657" s="81"/>
      <c r="H657"/>
    </row>
    <row r="658" spans="6:8" x14ac:dyDescent="0.3">
      <c r="F658"/>
      <c r="G658" s="81"/>
      <c r="H658"/>
    </row>
    <row r="659" spans="6:8" x14ac:dyDescent="0.3">
      <c r="F659"/>
      <c r="G659" s="81"/>
      <c r="H659"/>
    </row>
    <row r="660" spans="6:8" x14ac:dyDescent="0.3">
      <c r="F660"/>
      <c r="G660" s="81"/>
      <c r="H660"/>
    </row>
    <row r="661" spans="6:8" x14ac:dyDescent="0.3">
      <c r="F661"/>
      <c r="G661" s="81"/>
      <c r="H661"/>
    </row>
    <row r="662" spans="6:8" x14ac:dyDescent="0.3">
      <c r="F662"/>
      <c r="G662" s="81"/>
      <c r="H662"/>
    </row>
    <row r="663" spans="6:8" x14ac:dyDescent="0.3">
      <c r="F663"/>
      <c r="G663" s="81"/>
      <c r="H663"/>
    </row>
    <row r="664" spans="6:8" x14ac:dyDescent="0.3">
      <c r="F664"/>
      <c r="G664" s="81"/>
      <c r="H664"/>
    </row>
    <row r="665" spans="6:8" x14ac:dyDescent="0.3">
      <c r="F665"/>
      <c r="G665" s="81"/>
      <c r="H665"/>
    </row>
    <row r="666" spans="6:8" x14ac:dyDescent="0.3">
      <c r="F666"/>
      <c r="G666" s="81"/>
      <c r="H666"/>
    </row>
    <row r="667" spans="6:8" x14ac:dyDescent="0.3">
      <c r="F667"/>
      <c r="G667" s="81"/>
      <c r="H667"/>
    </row>
    <row r="668" spans="6:8" x14ac:dyDescent="0.3">
      <c r="F668"/>
      <c r="G668" s="81"/>
      <c r="H668"/>
    </row>
    <row r="669" spans="6:8" x14ac:dyDescent="0.3">
      <c r="F669"/>
      <c r="G669" s="81"/>
      <c r="H669"/>
    </row>
    <row r="670" spans="6:8" x14ac:dyDescent="0.3">
      <c r="F670"/>
      <c r="G670" s="81"/>
      <c r="H670"/>
    </row>
    <row r="671" spans="6:8" x14ac:dyDescent="0.3">
      <c r="F671"/>
      <c r="G671" s="81"/>
      <c r="H671"/>
    </row>
    <row r="672" spans="6:8" x14ac:dyDescent="0.3">
      <c r="F672"/>
      <c r="G672" s="81"/>
      <c r="H672"/>
    </row>
    <row r="673" spans="6:8" x14ac:dyDescent="0.3">
      <c r="F673"/>
      <c r="G673" s="81"/>
      <c r="H673"/>
    </row>
    <row r="674" spans="6:8" x14ac:dyDescent="0.3">
      <c r="F674"/>
      <c r="G674" s="81"/>
      <c r="H674"/>
    </row>
    <row r="675" spans="6:8" x14ac:dyDescent="0.3">
      <c r="F675"/>
      <c r="G675" s="81"/>
      <c r="H675"/>
    </row>
    <row r="676" spans="6:8" x14ac:dyDescent="0.3">
      <c r="F676"/>
      <c r="G676" s="81"/>
      <c r="H676"/>
    </row>
    <row r="677" spans="6:8" x14ac:dyDescent="0.3">
      <c r="F677"/>
      <c r="G677" s="81"/>
      <c r="H677"/>
    </row>
    <row r="678" spans="6:8" x14ac:dyDescent="0.3">
      <c r="F678"/>
      <c r="G678" s="81"/>
      <c r="H678"/>
    </row>
    <row r="679" spans="6:8" x14ac:dyDescent="0.3">
      <c r="F679"/>
      <c r="G679" s="81"/>
      <c r="H679"/>
    </row>
    <row r="680" spans="6:8" x14ac:dyDescent="0.3">
      <c r="F680"/>
      <c r="G680" s="81"/>
      <c r="H680"/>
    </row>
    <row r="681" spans="6:8" x14ac:dyDescent="0.3">
      <c r="F681"/>
      <c r="G681" s="81"/>
      <c r="H681"/>
    </row>
    <row r="682" spans="6:8" x14ac:dyDescent="0.3">
      <c r="F682"/>
      <c r="G682" s="81"/>
      <c r="H682"/>
    </row>
    <row r="683" spans="6:8" x14ac:dyDescent="0.3">
      <c r="F683"/>
      <c r="G683" s="81"/>
      <c r="H683"/>
    </row>
    <row r="684" spans="6:8" x14ac:dyDescent="0.3">
      <c r="F684"/>
      <c r="G684" s="81"/>
      <c r="H684"/>
    </row>
    <row r="685" spans="6:8" x14ac:dyDescent="0.3">
      <c r="F685"/>
      <c r="G685" s="81"/>
      <c r="H685"/>
    </row>
    <row r="686" spans="6:8" x14ac:dyDescent="0.3">
      <c r="F686"/>
      <c r="G686" s="81"/>
      <c r="H686"/>
    </row>
    <row r="687" spans="6:8" x14ac:dyDescent="0.3">
      <c r="F687"/>
      <c r="G687" s="81"/>
      <c r="H687"/>
    </row>
    <row r="688" spans="6:8" x14ac:dyDescent="0.3">
      <c r="F688"/>
      <c r="G688" s="81"/>
      <c r="H688"/>
    </row>
    <row r="689" spans="6:8" x14ac:dyDescent="0.3">
      <c r="F689"/>
      <c r="G689" s="81"/>
      <c r="H689"/>
    </row>
    <row r="690" spans="6:8" x14ac:dyDescent="0.3">
      <c r="F690"/>
      <c r="G690" s="81"/>
      <c r="H690"/>
    </row>
    <row r="691" spans="6:8" x14ac:dyDescent="0.3">
      <c r="F691"/>
      <c r="G691" s="81"/>
      <c r="H691"/>
    </row>
    <row r="692" spans="6:8" x14ac:dyDescent="0.3">
      <c r="F692"/>
      <c r="G692" s="81"/>
      <c r="H692"/>
    </row>
    <row r="693" spans="6:8" x14ac:dyDescent="0.3">
      <c r="F693"/>
      <c r="G693" s="81"/>
      <c r="H693"/>
    </row>
    <row r="694" spans="6:8" x14ac:dyDescent="0.3">
      <c r="F694"/>
      <c r="G694" s="81"/>
      <c r="H694"/>
    </row>
    <row r="695" spans="6:8" x14ac:dyDescent="0.3">
      <c r="F695"/>
      <c r="G695" s="81"/>
      <c r="H695"/>
    </row>
    <row r="696" spans="6:8" x14ac:dyDescent="0.3">
      <c r="F696"/>
      <c r="G696" s="81"/>
      <c r="H696"/>
    </row>
    <row r="697" spans="6:8" x14ac:dyDescent="0.3">
      <c r="F697"/>
      <c r="G697" s="81"/>
      <c r="H697"/>
    </row>
    <row r="698" spans="6:8" x14ac:dyDescent="0.3">
      <c r="F698"/>
      <c r="G698" s="81"/>
      <c r="H698"/>
    </row>
    <row r="699" spans="6:8" x14ac:dyDescent="0.3">
      <c r="F699"/>
      <c r="G699" s="81"/>
      <c r="H699"/>
    </row>
    <row r="700" spans="6:8" x14ac:dyDescent="0.3">
      <c r="F700"/>
      <c r="G700" s="81"/>
      <c r="H700"/>
    </row>
    <row r="701" spans="6:8" x14ac:dyDescent="0.3">
      <c r="F701"/>
      <c r="G701" s="81"/>
      <c r="H701"/>
    </row>
    <row r="702" spans="6:8" x14ac:dyDescent="0.3">
      <c r="F702"/>
      <c r="G702" s="81"/>
      <c r="H702"/>
    </row>
    <row r="703" spans="6:8" x14ac:dyDescent="0.3">
      <c r="F703"/>
      <c r="G703" s="81"/>
      <c r="H703"/>
    </row>
    <row r="704" spans="6:8" x14ac:dyDescent="0.3">
      <c r="F704"/>
      <c r="G704" s="81"/>
      <c r="H704"/>
    </row>
    <row r="705" spans="6:8" x14ac:dyDescent="0.3">
      <c r="F705"/>
      <c r="G705" s="81"/>
      <c r="H705"/>
    </row>
    <row r="706" spans="6:8" x14ac:dyDescent="0.3">
      <c r="F706"/>
      <c r="G706" s="81"/>
      <c r="H706"/>
    </row>
    <row r="707" spans="6:8" x14ac:dyDescent="0.3">
      <c r="F707"/>
      <c r="G707" s="81"/>
      <c r="H707"/>
    </row>
    <row r="708" spans="6:8" x14ac:dyDescent="0.3">
      <c r="F708"/>
      <c r="G708" s="81"/>
      <c r="H708"/>
    </row>
    <row r="709" spans="6:8" x14ac:dyDescent="0.3">
      <c r="F709"/>
      <c r="G709" s="81"/>
      <c r="H709"/>
    </row>
    <row r="710" spans="6:8" x14ac:dyDescent="0.3">
      <c r="F710"/>
      <c r="G710" s="81"/>
      <c r="H710"/>
    </row>
    <row r="711" spans="6:8" x14ac:dyDescent="0.3">
      <c r="F711"/>
      <c r="G711" s="81"/>
      <c r="H711"/>
    </row>
    <row r="712" spans="6:8" x14ac:dyDescent="0.3">
      <c r="F712"/>
      <c r="G712" s="81"/>
      <c r="H712"/>
    </row>
    <row r="713" spans="6:8" x14ac:dyDescent="0.3">
      <c r="F713"/>
      <c r="G713" s="81"/>
      <c r="H713"/>
    </row>
    <row r="714" spans="6:8" x14ac:dyDescent="0.3">
      <c r="F714"/>
      <c r="G714" s="81"/>
      <c r="H714"/>
    </row>
    <row r="715" spans="6:8" x14ac:dyDescent="0.3">
      <c r="F715"/>
      <c r="G715" s="81"/>
      <c r="H715"/>
    </row>
    <row r="716" spans="6:8" x14ac:dyDescent="0.3">
      <c r="F716"/>
      <c r="G716" s="81"/>
      <c r="H716"/>
    </row>
    <row r="717" spans="6:8" x14ac:dyDescent="0.3">
      <c r="F717"/>
      <c r="G717" s="81"/>
      <c r="H717"/>
    </row>
    <row r="718" spans="6:8" x14ac:dyDescent="0.3">
      <c r="F718"/>
      <c r="G718" s="81"/>
      <c r="H718"/>
    </row>
    <row r="719" spans="6:8" x14ac:dyDescent="0.3">
      <c r="F719"/>
      <c r="G719" s="81"/>
      <c r="H719"/>
    </row>
    <row r="720" spans="6:8" x14ac:dyDescent="0.3">
      <c r="F720"/>
      <c r="G720" s="81"/>
      <c r="H720"/>
    </row>
    <row r="721" spans="6:8" x14ac:dyDescent="0.3">
      <c r="F721"/>
      <c r="G721" s="81"/>
      <c r="H721"/>
    </row>
    <row r="722" spans="6:8" x14ac:dyDescent="0.3">
      <c r="F722"/>
      <c r="G722" s="81"/>
      <c r="H722"/>
    </row>
    <row r="723" spans="6:8" x14ac:dyDescent="0.3">
      <c r="F723"/>
      <c r="G723" s="81"/>
      <c r="H723"/>
    </row>
    <row r="724" spans="6:8" x14ac:dyDescent="0.3">
      <c r="F724"/>
      <c r="G724" s="81"/>
      <c r="H724"/>
    </row>
    <row r="725" spans="6:8" x14ac:dyDescent="0.3">
      <c r="F725"/>
      <c r="G725" s="81"/>
      <c r="H725"/>
    </row>
    <row r="726" spans="6:8" x14ac:dyDescent="0.3">
      <c r="F726"/>
      <c r="G726" s="81"/>
      <c r="H726"/>
    </row>
    <row r="727" spans="6:8" x14ac:dyDescent="0.3">
      <c r="F727"/>
      <c r="G727" s="81"/>
      <c r="H727"/>
    </row>
    <row r="728" spans="6:8" x14ac:dyDescent="0.3">
      <c r="F728"/>
      <c r="G728" s="81"/>
      <c r="H728"/>
    </row>
    <row r="729" spans="6:8" x14ac:dyDescent="0.3">
      <c r="F729"/>
      <c r="G729" s="81"/>
      <c r="H729"/>
    </row>
    <row r="730" spans="6:8" x14ac:dyDescent="0.3">
      <c r="F730"/>
      <c r="G730" s="81"/>
      <c r="H730"/>
    </row>
    <row r="731" spans="6:8" x14ac:dyDescent="0.3">
      <c r="F731"/>
      <c r="G731" s="81"/>
      <c r="H731"/>
    </row>
    <row r="732" spans="6:8" x14ac:dyDescent="0.3">
      <c r="F732"/>
      <c r="G732" s="81"/>
      <c r="H732"/>
    </row>
    <row r="733" spans="6:8" x14ac:dyDescent="0.3">
      <c r="F733"/>
      <c r="G733" s="81"/>
      <c r="H733"/>
    </row>
    <row r="734" spans="6:8" x14ac:dyDescent="0.3">
      <c r="F734"/>
      <c r="G734" s="81"/>
      <c r="H734"/>
    </row>
    <row r="735" spans="6:8" x14ac:dyDescent="0.3">
      <c r="F735"/>
      <c r="G735" s="81"/>
      <c r="H735"/>
    </row>
    <row r="736" spans="6:8" x14ac:dyDescent="0.3">
      <c r="F736"/>
      <c r="G736" s="81"/>
      <c r="H736"/>
    </row>
    <row r="737" spans="6:8" x14ac:dyDescent="0.3">
      <c r="F737"/>
      <c r="G737" s="81"/>
      <c r="H737"/>
    </row>
    <row r="738" spans="6:8" x14ac:dyDescent="0.3">
      <c r="F738"/>
      <c r="G738" s="81"/>
      <c r="H738"/>
    </row>
    <row r="739" spans="6:8" x14ac:dyDescent="0.3">
      <c r="F739"/>
      <c r="G739" s="81"/>
      <c r="H739"/>
    </row>
    <row r="740" spans="6:8" x14ac:dyDescent="0.3">
      <c r="F740"/>
      <c r="G740" s="81"/>
      <c r="H740"/>
    </row>
    <row r="741" spans="6:8" x14ac:dyDescent="0.3">
      <c r="F741"/>
      <c r="G741" s="81"/>
      <c r="H741"/>
    </row>
    <row r="742" spans="6:8" x14ac:dyDescent="0.3">
      <c r="F742"/>
      <c r="G742" s="81"/>
      <c r="H742"/>
    </row>
    <row r="743" spans="6:8" x14ac:dyDescent="0.3">
      <c r="F743"/>
      <c r="G743" s="81"/>
      <c r="H743"/>
    </row>
    <row r="744" spans="6:8" x14ac:dyDescent="0.3">
      <c r="F744"/>
      <c r="G744" s="81"/>
      <c r="H744"/>
    </row>
    <row r="745" spans="6:8" x14ac:dyDescent="0.3">
      <c r="F745"/>
      <c r="G745" s="81"/>
      <c r="H745"/>
    </row>
    <row r="746" spans="6:8" x14ac:dyDescent="0.3">
      <c r="F746"/>
      <c r="G746" s="81"/>
      <c r="H746"/>
    </row>
    <row r="747" spans="6:8" x14ac:dyDescent="0.3">
      <c r="F747"/>
      <c r="G747" s="81"/>
      <c r="H747"/>
    </row>
    <row r="748" spans="6:8" x14ac:dyDescent="0.3">
      <c r="F748"/>
      <c r="G748" s="81"/>
      <c r="H748"/>
    </row>
    <row r="749" spans="6:8" x14ac:dyDescent="0.3">
      <c r="F749"/>
      <c r="G749" s="81"/>
      <c r="H749"/>
    </row>
    <row r="750" spans="6:8" x14ac:dyDescent="0.3">
      <c r="F750"/>
      <c r="G750" s="81"/>
      <c r="H750"/>
    </row>
    <row r="751" spans="6:8" x14ac:dyDescent="0.3">
      <c r="F751"/>
      <c r="G751" s="81"/>
      <c r="H751"/>
    </row>
    <row r="752" spans="6:8" x14ac:dyDescent="0.3">
      <c r="F752"/>
      <c r="G752" s="81"/>
      <c r="H752"/>
    </row>
    <row r="753" spans="6:8" x14ac:dyDescent="0.3">
      <c r="F753"/>
      <c r="G753" s="81"/>
      <c r="H753"/>
    </row>
    <row r="754" spans="6:8" x14ac:dyDescent="0.3">
      <c r="F754"/>
      <c r="G754" s="81"/>
      <c r="H754"/>
    </row>
    <row r="755" spans="6:8" x14ac:dyDescent="0.3">
      <c r="F755"/>
      <c r="G755" s="81"/>
      <c r="H755"/>
    </row>
    <row r="756" spans="6:8" x14ac:dyDescent="0.3">
      <c r="F756"/>
      <c r="G756" s="81"/>
      <c r="H756"/>
    </row>
    <row r="757" spans="6:8" x14ac:dyDescent="0.3">
      <c r="F757"/>
      <c r="G757" s="81"/>
      <c r="H757"/>
    </row>
    <row r="758" spans="6:8" x14ac:dyDescent="0.3">
      <c r="F758"/>
      <c r="G758" s="81"/>
      <c r="H758"/>
    </row>
    <row r="759" spans="6:8" x14ac:dyDescent="0.3">
      <c r="F759"/>
      <c r="G759" s="81"/>
      <c r="H759"/>
    </row>
    <row r="760" spans="6:8" x14ac:dyDescent="0.3">
      <c r="F760"/>
      <c r="G760" s="81"/>
      <c r="H760"/>
    </row>
    <row r="761" spans="6:8" x14ac:dyDescent="0.3">
      <c r="F761"/>
      <c r="G761" s="81"/>
      <c r="H761"/>
    </row>
    <row r="762" spans="6:8" x14ac:dyDescent="0.3">
      <c r="F762"/>
      <c r="G762" s="81"/>
      <c r="H762"/>
    </row>
    <row r="763" spans="6:8" x14ac:dyDescent="0.3">
      <c r="F763"/>
      <c r="G763" s="81"/>
      <c r="H763"/>
    </row>
    <row r="764" spans="6:8" x14ac:dyDescent="0.3">
      <c r="F764"/>
      <c r="G764" s="81"/>
      <c r="H764"/>
    </row>
    <row r="765" spans="6:8" x14ac:dyDescent="0.3">
      <c r="F765"/>
      <c r="G765" s="81"/>
      <c r="H765"/>
    </row>
    <row r="766" spans="6:8" x14ac:dyDescent="0.3">
      <c r="F766"/>
      <c r="G766" s="81"/>
      <c r="H766"/>
    </row>
    <row r="767" spans="6:8" x14ac:dyDescent="0.3">
      <c r="F767"/>
      <c r="G767" s="81"/>
      <c r="H767"/>
    </row>
    <row r="768" spans="6:8" x14ac:dyDescent="0.3">
      <c r="F768"/>
      <c r="G768" s="81"/>
      <c r="H768"/>
    </row>
    <row r="769" spans="6:8" x14ac:dyDescent="0.3">
      <c r="F769"/>
      <c r="G769" s="81"/>
      <c r="H769"/>
    </row>
    <row r="770" spans="6:8" x14ac:dyDescent="0.3">
      <c r="F770"/>
      <c r="G770" s="81"/>
      <c r="H770"/>
    </row>
    <row r="771" spans="6:8" x14ac:dyDescent="0.3">
      <c r="F771"/>
      <c r="G771" s="81"/>
      <c r="H771"/>
    </row>
    <row r="772" spans="6:8" x14ac:dyDescent="0.3">
      <c r="F772"/>
      <c r="G772" s="81"/>
      <c r="H772"/>
    </row>
    <row r="773" spans="6:8" x14ac:dyDescent="0.3">
      <c r="F773"/>
      <c r="G773" s="81"/>
      <c r="H773"/>
    </row>
    <row r="774" spans="6:8" x14ac:dyDescent="0.3">
      <c r="F774"/>
      <c r="G774" s="81"/>
      <c r="H774"/>
    </row>
    <row r="775" spans="6:8" x14ac:dyDescent="0.3">
      <c r="F775"/>
      <c r="G775" s="81"/>
      <c r="H775"/>
    </row>
    <row r="776" spans="6:8" x14ac:dyDescent="0.3">
      <c r="F776"/>
      <c r="G776" s="81"/>
      <c r="H776"/>
    </row>
    <row r="777" spans="6:8" x14ac:dyDescent="0.3">
      <c r="F777"/>
      <c r="G777" s="81"/>
      <c r="H777"/>
    </row>
    <row r="778" spans="6:8" x14ac:dyDescent="0.3">
      <c r="F778"/>
      <c r="G778" s="81"/>
      <c r="H778"/>
    </row>
    <row r="779" spans="6:8" x14ac:dyDescent="0.3">
      <c r="F779"/>
      <c r="G779" s="81"/>
      <c r="H779"/>
    </row>
    <row r="780" spans="6:8" x14ac:dyDescent="0.3">
      <c r="F780"/>
      <c r="G780" s="81"/>
      <c r="H780"/>
    </row>
    <row r="781" spans="6:8" x14ac:dyDescent="0.3">
      <c r="F781"/>
      <c r="G781" s="81"/>
      <c r="H781"/>
    </row>
    <row r="782" spans="6:8" x14ac:dyDescent="0.3">
      <c r="F782"/>
      <c r="G782" s="81"/>
      <c r="H782"/>
    </row>
    <row r="783" spans="6:8" x14ac:dyDescent="0.3">
      <c r="F783"/>
      <c r="G783" s="81"/>
      <c r="H783"/>
    </row>
    <row r="784" spans="6:8" x14ac:dyDescent="0.3">
      <c r="F784"/>
      <c r="G784" s="81"/>
      <c r="H784"/>
    </row>
    <row r="785" spans="6:8" x14ac:dyDescent="0.3">
      <c r="F785"/>
      <c r="G785" s="81"/>
      <c r="H785"/>
    </row>
    <row r="786" spans="6:8" x14ac:dyDescent="0.3">
      <c r="F786"/>
      <c r="G786" s="81"/>
      <c r="H786"/>
    </row>
    <row r="787" spans="6:8" x14ac:dyDescent="0.3">
      <c r="F787"/>
      <c r="G787" s="81"/>
      <c r="H787"/>
    </row>
    <row r="788" spans="6:8" x14ac:dyDescent="0.3">
      <c r="F788"/>
      <c r="G788" s="81"/>
      <c r="H788"/>
    </row>
    <row r="789" spans="6:8" x14ac:dyDescent="0.3">
      <c r="F789"/>
      <c r="G789" s="81"/>
      <c r="H789"/>
    </row>
    <row r="790" spans="6:8" x14ac:dyDescent="0.3">
      <c r="F790"/>
      <c r="G790" s="81"/>
      <c r="H790"/>
    </row>
    <row r="791" spans="6:8" x14ac:dyDescent="0.3">
      <c r="F791"/>
      <c r="G791" s="81"/>
      <c r="H791"/>
    </row>
    <row r="792" spans="6:8" x14ac:dyDescent="0.3">
      <c r="F792"/>
      <c r="G792" s="81"/>
      <c r="H792"/>
    </row>
    <row r="793" spans="6:8" x14ac:dyDescent="0.3">
      <c r="F793"/>
      <c r="G793" s="81"/>
      <c r="H793"/>
    </row>
    <row r="794" spans="6:8" x14ac:dyDescent="0.3">
      <c r="F794"/>
      <c r="G794" s="81"/>
      <c r="H794"/>
    </row>
    <row r="795" spans="6:8" x14ac:dyDescent="0.3">
      <c r="F795"/>
      <c r="G795" s="81"/>
      <c r="H795"/>
    </row>
    <row r="796" spans="6:8" x14ac:dyDescent="0.3">
      <c r="F796"/>
      <c r="G796" s="81"/>
      <c r="H796"/>
    </row>
    <row r="797" spans="6:8" x14ac:dyDescent="0.3">
      <c r="F797"/>
      <c r="G797" s="81"/>
      <c r="H797"/>
    </row>
    <row r="798" spans="6:8" x14ac:dyDescent="0.3">
      <c r="F798"/>
      <c r="G798" s="81"/>
      <c r="H798"/>
    </row>
    <row r="799" spans="6:8" x14ac:dyDescent="0.3">
      <c r="F799"/>
      <c r="G799" s="81"/>
      <c r="H799"/>
    </row>
    <row r="800" spans="6:8" x14ac:dyDescent="0.3">
      <c r="F800"/>
      <c r="G800" s="81"/>
      <c r="H800"/>
    </row>
    <row r="801" spans="6:8" x14ac:dyDescent="0.3">
      <c r="F801"/>
      <c r="G801" s="81"/>
      <c r="H801"/>
    </row>
    <row r="802" spans="6:8" x14ac:dyDescent="0.3">
      <c r="F802"/>
      <c r="G802" s="81"/>
      <c r="H802"/>
    </row>
    <row r="803" spans="6:8" x14ac:dyDescent="0.3">
      <c r="F803"/>
      <c r="G803" s="81"/>
      <c r="H803"/>
    </row>
    <row r="804" spans="6:8" x14ac:dyDescent="0.3">
      <c r="F804"/>
      <c r="G804" s="81"/>
      <c r="H804"/>
    </row>
    <row r="805" spans="6:8" x14ac:dyDescent="0.3">
      <c r="F805"/>
      <c r="G805" s="81"/>
      <c r="H805"/>
    </row>
    <row r="806" spans="6:8" x14ac:dyDescent="0.3">
      <c r="F806"/>
      <c r="G806" s="81"/>
      <c r="H806"/>
    </row>
    <row r="807" spans="6:8" x14ac:dyDescent="0.3">
      <c r="F807"/>
      <c r="G807" s="81"/>
      <c r="H807"/>
    </row>
    <row r="808" spans="6:8" x14ac:dyDescent="0.3">
      <c r="F808"/>
      <c r="G808" s="81"/>
      <c r="H808"/>
    </row>
    <row r="809" spans="6:8" x14ac:dyDescent="0.3">
      <c r="F809"/>
      <c r="G809" s="81"/>
      <c r="H809"/>
    </row>
    <row r="810" spans="6:8" x14ac:dyDescent="0.3">
      <c r="F810"/>
      <c r="G810" s="81"/>
      <c r="H810"/>
    </row>
    <row r="811" spans="6:8" x14ac:dyDescent="0.3">
      <c r="F811"/>
      <c r="G811" s="81"/>
      <c r="H811"/>
    </row>
    <row r="812" spans="6:8" x14ac:dyDescent="0.3">
      <c r="F812"/>
      <c r="G812" s="81"/>
      <c r="H812"/>
    </row>
    <row r="813" spans="6:8" x14ac:dyDescent="0.3">
      <c r="F813"/>
      <c r="G813" s="81"/>
      <c r="H813"/>
    </row>
    <row r="814" spans="6:8" x14ac:dyDescent="0.3">
      <c r="F814"/>
      <c r="G814" s="81"/>
      <c r="H814"/>
    </row>
    <row r="815" spans="6:8" x14ac:dyDescent="0.3">
      <c r="F815"/>
      <c r="G815" s="81"/>
      <c r="H815"/>
    </row>
    <row r="816" spans="6:8" x14ac:dyDescent="0.3">
      <c r="F816"/>
      <c r="G816" s="81"/>
      <c r="H816"/>
    </row>
    <row r="817" spans="6:8" x14ac:dyDescent="0.3">
      <c r="F817"/>
      <c r="G817" s="81"/>
      <c r="H817"/>
    </row>
    <row r="818" spans="6:8" x14ac:dyDescent="0.3">
      <c r="F818"/>
      <c r="G818" s="81"/>
      <c r="H818"/>
    </row>
    <row r="819" spans="6:8" x14ac:dyDescent="0.3">
      <c r="F819"/>
      <c r="G819" s="81"/>
      <c r="H819"/>
    </row>
    <row r="820" spans="6:8" x14ac:dyDescent="0.3">
      <c r="F820"/>
      <c r="G820" s="81"/>
      <c r="H820"/>
    </row>
    <row r="821" spans="6:8" x14ac:dyDescent="0.3">
      <c r="F821"/>
      <c r="G821" s="81"/>
      <c r="H821"/>
    </row>
    <row r="822" spans="6:8" x14ac:dyDescent="0.3">
      <c r="F822"/>
      <c r="G822" s="81"/>
      <c r="H822"/>
    </row>
    <row r="823" spans="6:8" x14ac:dyDescent="0.3">
      <c r="F823"/>
      <c r="G823" s="81"/>
      <c r="H823"/>
    </row>
    <row r="824" spans="6:8" x14ac:dyDescent="0.3">
      <c r="F824"/>
      <c r="G824" s="81"/>
      <c r="H824"/>
    </row>
    <row r="825" spans="6:8" x14ac:dyDescent="0.3">
      <c r="F825"/>
      <c r="G825" s="81"/>
      <c r="H825"/>
    </row>
    <row r="826" spans="6:8" x14ac:dyDescent="0.3">
      <c r="F826"/>
      <c r="G826" s="81"/>
      <c r="H826"/>
    </row>
    <row r="827" spans="6:8" x14ac:dyDescent="0.3">
      <c r="F827"/>
      <c r="G827" s="81"/>
      <c r="H827"/>
    </row>
    <row r="828" spans="6:8" x14ac:dyDescent="0.3">
      <c r="F828"/>
      <c r="G828" s="81"/>
      <c r="H828"/>
    </row>
    <row r="829" spans="6:8" x14ac:dyDescent="0.3">
      <c r="F829"/>
      <c r="G829" s="81"/>
      <c r="H829"/>
    </row>
    <row r="830" spans="6:8" x14ac:dyDescent="0.3">
      <c r="F830"/>
      <c r="G830" s="81"/>
      <c r="H830"/>
    </row>
    <row r="831" spans="6:8" x14ac:dyDescent="0.3">
      <c r="F831"/>
      <c r="G831" s="81"/>
      <c r="H831"/>
    </row>
    <row r="832" spans="6:8" x14ac:dyDescent="0.3">
      <c r="F832"/>
      <c r="G832" s="81"/>
      <c r="H832"/>
    </row>
    <row r="833" spans="6:8" x14ac:dyDescent="0.3">
      <c r="F833"/>
      <c r="G833" s="81"/>
      <c r="H833"/>
    </row>
    <row r="834" spans="6:8" x14ac:dyDescent="0.3">
      <c r="F834"/>
      <c r="G834" s="81"/>
      <c r="H834"/>
    </row>
    <row r="835" spans="6:8" x14ac:dyDescent="0.3">
      <c r="F835"/>
      <c r="G835" s="81"/>
      <c r="H835"/>
    </row>
    <row r="836" spans="6:8" x14ac:dyDescent="0.3">
      <c r="F836"/>
      <c r="G836" s="81"/>
      <c r="H836"/>
    </row>
    <row r="837" spans="6:8" x14ac:dyDescent="0.3">
      <c r="F837"/>
      <c r="G837" s="81"/>
      <c r="H837"/>
    </row>
    <row r="838" spans="6:8" x14ac:dyDescent="0.3">
      <c r="F838"/>
      <c r="G838" s="81"/>
      <c r="H838"/>
    </row>
    <row r="839" spans="6:8" x14ac:dyDescent="0.3">
      <c r="F839"/>
      <c r="G839" s="81"/>
      <c r="H839"/>
    </row>
    <row r="840" spans="6:8" x14ac:dyDescent="0.3">
      <c r="F840"/>
      <c r="G840" s="81"/>
      <c r="H840"/>
    </row>
    <row r="841" spans="6:8" x14ac:dyDescent="0.3">
      <c r="F841"/>
      <c r="G841" s="81"/>
      <c r="H841"/>
    </row>
    <row r="842" spans="6:8" x14ac:dyDescent="0.3">
      <c r="F842"/>
      <c r="G842" s="81"/>
      <c r="H842"/>
    </row>
    <row r="843" spans="6:8" x14ac:dyDescent="0.3">
      <c r="F843"/>
      <c r="G843" s="81"/>
      <c r="H843"/>
    </row>
    <row r="844" spans="6:8" x14ac:dyDescent="0.3">
      <c r="F844"/>
      <c r="G844" s="81"/>
      <c r="H844"/>
    </row>
    <row r="845" spans="6:8" x14ac:dyDescent="0.3">
      <c r="F845"/>
      <c r="G845" s="81"/>
      <c r="H845"/>
    </row>
    <row r="846" spans="6:8" x14ac:dyDescent="0.3">
      <c r="F846"/>
      <c r="G846" s="81"/>
      <c r="H846"/>
    </row>
    <row r="847" spans="6:8" x14ac:dyDescent="0.3">
      <c r="F847"/>
      <c r="G847" s="81"/>
      <c r="H847"/>
    </row>
    <row r="848" spans="6:8" x14ac:dyDescent="0.3">
      <c r="F848"/>
      <c r="G848" s="81"/>
      <c r="H848"/>
    </row>
    <row r="849" spans="6:8" x14ac:dyDescent="0.3">
      <c r="F849"/>
      <c r="G849" s="81"/>
      <c r="H849"/>
    </row>
    <row r="850" spans="6:8" x14ac:dyDescent="0.3">
      <c r="F850"/>
      <c r="G850" s="81"/>
      <c r="H850"/>
    </row>
    <row r="851" spans="6:8" x14ac:dyDescent="0.3">
      <c r="F851"/>
      <c r="G851" s="81"/>
      <c r="H851"/>
    </row>
    <row r="852" spans="6:8" x14ac:dyDescent="0.3">
      <c r="F852"/>
      <c r="G852" s="81"/>
      <c r="H852"/>
    </row>
    <row r="853" spans="6:8" x14ac:dyDescent="0.3">
      <c r="F853"/>
      <c r="G853" s="81"/>
      <c r="H853"/>
    </row>
    <row r="854" spans="6:8" x14ac:dyDescent="0.3">
      <c r="F854"/>
      <c r="G854" s="81"/>
      <c r="H854"/>
    </row>
    <row r="855" spans="6:8" x14ac:dyDescent="0.3">
      <c r="F855"/>
      <c r="G855" s="81"/>
      <c r="H855"/>
    </row>
    <row r="856" spans="6:8" x14ac:dyDescent="0.3">
      <c r="F856"/>
      <c r="G856" s="81"/>
      <c r="H856"/>
    </row>
    <row r="857" spans="6:8" x14ac:dyDescent="0.3">
      <c r="F857"/>
      <c r="G857" s="81"/>
      <c r="H857"/>
    </row>
    <row r="858" spans="6:8" x14ac:dyDescent="0.3">
      <c r="F858"/>
      <c r="G858" s="81"/>
      <c r="H858"/>
    </row>
    <row r="859" spans="6:8" x14ac:dyDescent="0.3">
      <c r="F859"/>
      <c r="G859" s="81"/>
      <c r="H859"/>
    </row>
    <row r="860" spans="6:8" x14ac:dyDescent="0.3">
      <c r="F860"/>
      <c r="G860" s="81"/>
      <c r="H860"/>
    </row>
    <row r="861" spans="6:8" x14ac:dyDescent="0.3">
      <c r="F861"/>
      <c r="G861" s="81"/>
      <c r="H861"/>
    </row>
    <row r="862" spans="6:8" x14ac:dyDescent="0.3">
      <c r="F862"/>
      <c r="G862" s="81"/>
      <c r="H862"/>
    </row>
    <row r="863" spans="6:8" x14ac:dyDescent="0.3">
      <c r="F863"/>
      <c r="G863" s="81"/>
      <c r="H863"/>
    </row>
    <row r="864" spans="6:8" x14ac:dyDescent="0.3">
      <c r="F864"/>
      <c r="G864" s="81"/>
      <c r="H864"/>
    </row>
    <row r="865" spans="6:8" x14ac:dyDescent="0.3">
      <c r="F865"/>
      <c r="G865" s="81"/>
      <c r="H865"/>
    </row>
    <row r="866" spans="6:8" x14ac:dyDescent="0.3">
      <c r="F866"/>
      <c r="G866" s="81"/>
      <c r="H866"/>
    </row>
    <row r="867" spans="6:8" x14ac:dyDescent="0.3">
      <c r="F867"/>
      <c r="G867" s="81"/>
      <c r="H867"/>
    </row>
    <row r="868" spans="6:8" x14ac:dyDescent="0.3">
      <c r="F868"/>
      <c r="G868" s="81"/>
      <c r="H868"/>
    </row>
    <row r="869" spans="6:8" x14ac:dyDescent="0.3">
      <c r="F869"/>
      <c r="G869" s="81"/>
      <c r="H869"/>
    </row>
    <row r="870" spans="6:8" x14ac:dyDescent="0.3">
      <c r="F870"/>
      <c r="G870" s="81"/>
      <c r="H870"/>
    </row>
    <row r="871" spans="6:8" x14ac:dyDescent="0.3">
      <c r="F871"/>
      <c r="G871" s="81"/>
      <c r="H871"/>
    </row>
    <row r="872" spans="6:8" x14ac:dyDescent="0.3">
      <c r="F872"/>
      <c r="G872" s="81"/>
      <c r="H872"/>
    </row>
    <row r="873" spans="6:8" x14ac:dyDescent="0.3">
      <c r="F873"/>
      <c r="G873" s="81"/>
      <c r="H873"/>
    </row>
    <row r="874" spans="6:8" x14ac:dyDescent="0.3">
      <c r="F874"/>
      <c r="G874" s="81"/>
      <c r="H874"/>
    </row>
    <row r="875" spans="6:8" x14ac:dyDescent="0.3">
      <c r="F875"/>
      <c r="G875" s="81"/>
      <c r="H875"/>
    </row>
    <row r="876" spans="6:8" x14ac:dyDescent="0.3">
      <c r="F876"/>
      <c r="G876" s="81"/>
      <c r="H876"/>
    </row>
    <row r="877" spans="6:8" x14ac:dyDescent="0.3">
      <c r="F877"/>
      <c r="G877" s="81"/>
      <c r="H877"/>
    </row>
    <row r="878" spans="6:8" x14ac:dyDescent="0.3">
      <c r="F878"/>
      <c r="G878" s="81"/>
      <c r="H878"/>
    </row>
    <row r="879" spans="6:8" x14ac:dyDescent="0.3">
      <c r="F879"/>
      <c r="G879" s="81"/>
      <c r="H879"/>
    </row>
    <row r="880" spans="6:8" x14ac:dyDescent="0.3">
      <c r="F880"/>
      <c r="G880" s="81"/>
      <c r="H880"/>
    </row>
    <row r="881" spans="6:8" x14ac:dyDescent="0.3">
      <c r="F881"/>
      <c r="G881" s="81"/>
      <c r="H881"/>
    </row>
    <row r="882" spans="6:8" x14ac:dyDescent="0.3">
      <c r="F882"/>
      <c r="G882" s="81"/>
      <c r="H882"/>
    </row>
    <row r="883" spans="6:8" x14ac:dyDescent="0.3">
      <c r="F883"/>
      <c r="G883" s="81"/>
      <c r="H883"/>
    </row>
    <row r="884" spans="6:8" x14ac:dyDescent="0.3">
      <c r="F884"/>
      <c r="G884" s="81"/>
      <c r="H884"/>
    </row>
    <row r="885" spans="6:8" x14ac:dyDescent="0.3">
      <c r="F885"/>
      <c r="G885" s="81"/>
      <c r="H885"/>
    </row>
    <row r="886" spans="6:8" x14ac:dyDescent="0.3">
      <c r="F886"/>
      <c r="G886" s="81"/>
      <c r="H886"/>
    </row>
    <row r="887" spans="6:8" x14ac:dyDescent="0.3">
      <c r="F887"/>
      <c r="G887" s="81"/>
      <c r="H887"/>
    </row>
    <row r="888" spans="6:8" x14ac:dyDescent="0.3">
      <c r="F888"/>
      <c r="G888" s="81"/>
      <c r="H888"/>
    </row>
    <row r="889" spans="6:8" x14ac:dyDescent="0.3">
      <c r="F889"/>
      <c r="G889" s="81"/>
      <c r="H889"/>
    </row>
    <row r="890" spans="6:8" x14ac:dyDescent="0.3">
      <c r="F890"/>
      <c r="G890" s="81"/>
      <c r="H890"/>
    </row>
    <row r="891" spans="6:8" x14ac:dyDescent="0.3">
      <c r="F891"/>
      <c r="G891" s="81"/>
      <c r="H891"/>
    </row>
    <row r="892" spans="6:8" x14ac:dyDescent="0.3">
      <c r="F892"/>
      <c r="G892" s="81"/>
      <c r="H892"/>
    </row>
    <row r="893" spans="6:8" x14ac:dyDescent="0.3">
      <c r="F893"/>
      <c r="G893" s="81"/>
      <c r="H893"/>
    </row>
    <row r="894" spans="6:8" x14ac:dyDescent="0.3">
      <c r="F894"/>
      <c r="G894" s="81"/>
      <c r="H894"/>
    </row>
    <row r="895" spans="6:8" x14ac:dyDescent="0.3">
      <c r="F895"/>
      <c r="G895" s="81"/>
      <c r="H895"/>
    </row>
    <row r="896" spans="6:8" x14ac:dyDescent="0.3">
      <c r="F896"/>
      <c r="G896" s="81"/>
      <c r="H896"/>
    </row>
    <row r="897" spans="6:8" x14ac:dyDescent="0.3">
      <c r="F897"/>
      <c r="G897" s="81"/>
      <c r="H897"/>
    </row>
    <row r="898" spans="6:8" x14ac:dyDescent="0.3">
      <c r="F898"/>
      <c r="G898" s="81"/>
      <c r="H898"/>
    </row>
    <row r="899" spans="6:8" x14ac:dyDescent="0.3">
      <c r="F899"/>
      <c r="G899" s="81"/>
      <c r="H899"/>
    </row>
    <row r="900" spans="6:8" x14ac:dyDescent="0.3">
      <c r="F900"/>
      <c r="G900" s="81"/>
      <c r="H900"/>
    </row>
    <row r="901" spans="6:8" x14ac:dyDescent="0.3">
      <c r="F901"/>
      <c r="G901" s="81"/>
      <c r="H901"/>
    </row>
    <row r="902" spans="6:8" x14ac:dyDescent="0.3">
      <c r="F902"/>
      <c r="G902" s="81"/>
      <c r="H902"/>
    </row>
    <row r="903" spans="6:8" x14ac:dyDescent="0.3">
      <c r="F903"/>
      <c r="G903" s="81"/>
      <c r="H903"/>
    </row>
    <row r="904" spans="6:8" x14ac:dyDescent="0.3">
      <c r="F904"/>
      <c r="G904" s="81"/>
      <c r="H904"/>
    </row>
    <row r="905" spans="6:8" x14ac:dyDescent="0.3">
      <c r="F905"/>
      <c r="G905" s="81"/>
      <c r="H905"/>
    </row>
    <row r="906" spans="6:8" x14ac:dyDescent="0.3">
      <c r="F906"/>
      <c r="G906" s="81"/>
      <c r="H906"/>
    </row>
    <row r="907" spans="6:8" x14ac:dyDescent="0.3">
      <c r="F907"/>
      <c r="G907" s="81"/>
      <c r="H907"/>
    </row>
    <row r="908" spans="6:8" x14ac:dyDescent="0.3">
      <c r="F908"/>
      <c r="G908" s="81"/>
      <c r="H908"/>
    </row>
    <row r="909" spans="6:8" x14ac:dyDescent="0.3">
      <c r="F909"/>
      <c r="G909" s="81"/>
      <c r="H909"/>
    </row>
    <row r="910" spans="6:8" x14ac:dyDescent="0.3">
      <c r="F910"/>
      <c r="G910" s="81"/>
      <c r="H910"/>
    </row>
    <row r="911" spans="6:8" x14ac:dyDescent="0.3">
      <c r="F911"/>
      <c r="G911" s="81"/>
      <c r="H911"/>
    </row>
    <row r="912" spans="6:8" x14ac:dyDescent="0.3">
      <c r="F912"/>
      <c r="G912" s="81"/>
      <c r="H912"/>
    </row>
    <row r="913" spans="6:8" x14ac:dyDescent="0.3">
      <c r="F913"/>
      <c r="G913" s="81"/>
      <c r="H913"/>
    </row>
    <row r="914" spans="6:8" x14ac:dyDescent="0.3">
      <c r="F914"/>
      <c r="G914" s="81"/>
      <c r="H914"/>
    </row>
    <row r="915" spans="6:8" x14ac:dyDescent="0.3">
      <c r="F915"/>
      <c r="G915" s="81"/>
      <c r="H915"/>
    </row>
    <row r="916" spans="6:8" x14ac:dyDescent="0.3">
      <c r="F916"/>
      <c r="G916" s="81"/>
      <c r="H916"/>
    </row>
    <row r="917" spans="6:8" x14ac:dyDescent="0.3">
      <c r="F917"/>
      <c r="G917" s="81"/>
      <c r="H917"/>
    </row>
    <row r="918" spans="6:8" x14ac:dyDescent="0.3">
      <c r="F918"/>
      <c r="G918" s="81"/>
      <c r="H918"/>
    </row>
    <row r="919" spans="6:8" x14ac:dyDescent="0.3">
      <c r="F919"/>
      <c r="G919" s="81"/>
      <c r="H919"/>
    </row>
    <row r="920" spans="6:8" x14ac:dyDescent="0.3">
      <c r="F920"/>
      <c r="G920" s="81"/>
      <c r="H920"/>
    </row>
    <row r="921" spans="6:8" x14ac:dyDescent="0.3">
      <c r="F921"/>
      <c r="G921" s="81"/>
      <c r="H921"/>
    </row>
    <row r="922" spans="6:8" x14ac:dyDescent="0.3">
      <c r="F922"/>
      <c r="G922" s="81"/>
      <c r="H922"/>
    </row>
    <row r="923" spans="6:8" x14ac:dyDescent="0.3">
      <c r="F923"/>
      <c r="G923" s="81"/>
      <c r="H923"/>
    </row>
    <row r="924" spans="6:8" x14ac:dyDescent="0.3">
      <c r="F924"/>
      <c r="G924" s="81"/>
      <c r="H924"/>
    </row>
    <row r="925" spans="6:8" x14ac:dyDescent="0.3">
      <c r="F925"/>
      <c r="G925" s="81"/>
      <c r="H925"/>
    </row>
    <row r="926" spans="6:8" x14ac:dyDescent="0.3">
      <c r="F926"/>
      <c r="G926" s="81"/>
      <c r="H926"/>
    </row>
    <row r="927" spans="6:8" x14ac:dyDescent="0.3">
      <c r="F927"/>
      <c r="G927" s="81"/>
      <c r="H927"/>
    </row>
    <row r="928" spans="6:8" x14ac:dyDescent="0.3">
      <c r="F928"/>
      <c r="G928" s="81"/>
      <c r="H928"/>
    </row>
    <row r="929" spans="6:8" x14ac:dyDescent="0.3">
      <c r="F929"/>
      <c r="G929" s="81"/>
      <c r="H929"/>
    </row>
    <row r="930" spans="6:8" x14ac:dyDescent="0.3">
      <c r="F930"/>
      <c r="G930" s="81"/>
      <c r="H930"/>
    </row>
    <row r="931" spans="6:8" x14ac:dyDescent="0.3">
      <c r="F931"/>
      <c r="G931" s="81"/>
      <c r="H931"/>
    </row>
    <row r="932" spans="6:8" x14ac:dyDescent="0.3">
      <c r="F932"/>
      <c r="G932" s="81"/>
      <c r="H932"/>
    </row>
    <row r="933" spans="6:8" x14ac:dyDescent="0.3">
      <c r="F933"/>
      <c r="G933" s="81"/>
      <c r="H933"/>
    </row>
    <row r="934" spans="6:8" x14ac:dyDescent="0.3">
      <c r="F934"/>
      <c r="G934" s="81"/>
      <c r="H934"/>
    </row>
    <row r="935" spans="6:8" x14ac:dyDescent="0.3">
      <c r="F935"/>
      <c r="G935" s="81"/>
      <c r="H935"/>
    </row>
    <row r="936" spans="6:8" x14ac:dyDescent="0.3">
      <c r="F936"/>
      <c r="G936" s="81"/>
      <c r="H936"/>
    </row>
    <row r="937" spans="6:8" x14ac:dyDescent="0.3">
      <c r="F937"/>
      <c r="G937" s="81"/>
      <c r="H937"/>
    </row>
    <row r="938" spans="6:8" x14ac:dyDescent="0.3">
      <c r="F938"/>
      <c r="G938" s="81"/>
      <c r="H938"/>
    </row>
    <row r="939" spans="6:8" x14ac:dyDescent="0.3">
      <c r="F939"/>
      <c r="G939" s="81"/>
      <c r="H939"/>
    </row>
    <row r="940" spans="6:8" x14ac:dyDescent="0.3">
      <c r="F940"/>
      <c r="G940" s="81"/>
      <c r="H940"/>
    </row>
    <row r="941" spans="6:8" x14ac:dyDescent="0.3">
      <c r="F941"/>
      <c r="G941" s="81"/>
      <c r="H941"/>
    </row>
    <row r="942" spans="6:8" x14ac:dyDescent="0.3">
      <c r="F942"/>
      <c r="G942" s="81"/>
      <c r="H942"/>
    </row>
    <row r="943" spans="6:8" x14ac:dyDescent="0.3">
      <c r="F943"/>
      <c r="G943" s="81"/>
      <c r="H943"/>
    </row>
    <row r="944" spans="6:8" x14ac:dyDescent="0.3">
      <c r="F944"/>
      <c r="G944" s="81"/>
      <c r="H944"/>
    </row>
    <row r="945" spans="6:8" x14ac:dyDescent="0.3">
      <c r="F945"/>
      <c r="G945" s="81"/>
      <c r="H945"/>
    </row>
    <row r="946" spans="6:8" x14ac:dyDescent="0.3">
      <c r="F946"/>
      <c r="G946" s="81"/>
      <c r="H946"/>
    </row>
    <row r="947" spans="6:8" x14ac:dyDescent="0.3">
      <c r="F947"/>
      <c r="G947" s="81"/>
      <c r="H947"/>
    </row>
    <row r="948" spans="6:8" x14ac:dyDescent="0.3">
      <c r="F948"/>
      <c r="G948" s="81"/>
      <c r="H948"/>
    </row>
    <row r="949" spans="6:8" x14ac:dyDescent="0.3">
      <c r="F949"/>
      <c r="G949" s="81"/>
      <c r="H949"/>
    </row>
    <row r="950" spans="6:8" x14ac:dyDescent="0.3">
      <c r="F950"/>
      <c r="G950" s="81"/>
      <c r="H950"/>
    </row>
    <row r="951" spans="6:8" x14ac:dyDescent="0.3">
      <c r="F951"/>
      <c r="G951" s="81"/>
      <c r="H951"/>
    </row>
    <row r="952" spans="6:8" x14ac:dyDescent="0.3">
      <c r="F952"/>
      <c r="G952" s="81"/>
      <c r="H952"/>
    </row>
    <row r="953" spans="6:8" x14ac:dyDescent="0.3">
      <c r="F953"/>
      <c r="G953" s="81"/>
      <c r="H953"/>
    </row>
    <row r="954" spans="6:8" x14ac:dyDescent="0.3">
      <c r="F954"/>
      <c r="G954" s="81"/>
      <c r="H954"/>
    </row>
    <row r="955" spans="6:8" x14ac:dyDescent="0.3">
      <c r="F955"/>
      <c r="G955" s="81"/>
      <c r="H955"/>
    </row>
    <row r="956" spans="6:8" x14ac:dyDescent="0.3">
      <c r="F956"/>
      <c r="G956" s="81"/>
      <c r="H956"/>
    </row>
    <row r="957" spans="6:8" x14ac:dyDescent="0.3">
      <c r="F957"/>
      <c r="G957" s="81"/>
      <c r="H957"/>
    </row>
    <row r="958" spans="6:8" x14ac:dyDescent="0.3">
      <c r="F958"/>
      <c r="G958" s="81"/>
      <c r="H958"/>
    </row>
    <row r="959" spans="6:8" x14ac:dyDescent="0.3">
      <c r="F959"/>
      <c r="G959" s="81"/>
      <c r="H959"/>
    </row>
    <row r="960" spans="6:8" x14ac:dyDescent="0.3">
      <c r="F960"/>
      <c r="G960" s="81"/>
      <c r="H960"/>
    </row>
    <row r="961" spans="6:8" x14ac:dyDescent="0.3">
      <c r="F961"/>
      <c r="G961" s="81"/>
      <c r="H961"/>
    </row>
    <row r="962" spans="6:8" x14ac:dyDescent="0.3">
      <c r="F962"/>
      <c r="G962" s="81"/>
      <c r="H962"/>
    </row>
    <row r="963" spans="6:8" x14ac:dyDescent="0.3">
      <c r="F963"/>
      <c r="G963" s="81"/>
      <c r="H963"/>
    </row>
    <row r="964" spans="6:8" x14ac:dyDescent="0.3">
      <c r="F964"/>
      <c r="G964" s="81"/>
      <c r="H964"/>
    </row>
    <row r="965" spans="6:8" x14ac:dyDescent="0.3">
      <c r="F965"/>
      <c r="G965" s="81"/>
      <c r="H965"/>
    </row>
    <row r="966" spans="6:8" x14ac:dyDescent="0.3">
      <c r="F966"/>
      <c r="G966" s="81"/>
      <c r="H966"/>
    </row>
    <row r="967" spans="6:8" x14ac:dyDescent="0.3">
      <c r="F967"/>
      <c r="G967" s="81"/>
      <c r="H967"/>
    </row>
    <row r="968" spans="6:8" x14ac:dyDescent="0.3">
      <c r="F968"/>
      <c r="G968" s="81"/>
      <c r="H968"/>
    </row>
    <row r="969" spans="6:8" x14ac:dyDescent="0.3">
      <c r="F969"/>
      <c r="G969" s="81"/>
      <c r="H969"/>
    </row>
    <row r="970" spans="6:8" x14ac:dyDescent="0.3">
      <c r="F970"/>
      <c r="G970" s="81"/>
      <c r="H970"/>
    </row>
    <row r="971" spans="6:8" x14ac:dyDescent="0.3">
      <c r="F971"/>
      <c r="G971" s="81"/>
      <c r="H971"/>
    </row>
    <row r="972" spans="6:8" x14ac:dyDescent="0.3">
      <c r="F972"/>
      <c r="G972" s="81"/>
      <c r="H972"/>
    </row>
    <row r="973" spans="6:8" x14ac:dyDescent="0.3">
      <c r="F973"/>
      <c r="G973" s="81"/>
      <c r="H973"/>
    </row>
    <row r="974" spans="6:8" x14ac:dyDescent="0.3">
      <c r="F974"/>
      <c r="G974" s="81"/>
      <c r="H974"/>
    </row>
    <row r="975" spans="6:8" x14ac:dyDescent="0.3">
      <c r="F975"/>
      <c r="G975" s="81"/>
      <c r="H975"/>
    </row>
    <row r="976" spans="6:8" x14ac:dyDescent="0.3">
      <c r="F976"/>
      <c r="G976" s="81"/>
      <c r="H976"/>
    </row>
    <row r="977" spans="6:8" x14ac:dyDescent="0.3">
      <c r="F977"/>
      <c r="G977" s="81"/>
      <c r="H977"/>
    </row>
    <row r="978" spans="6:8" x14ac:dyDescent="0.3">
      <c r="F978"/>
      <c r="G978" s="81"/>
      <c r="H978"/>
    </row>
    <row r="979" spans="6:8" x14ac:dyDescent="0.3">
      <c r="F979"/>
      <c r="G979" s="81"/>
      <c r="H979"/>
    </row>
    <row r="980" spans="6:8" x14ac:dyDescent="0.3">
      <c r="F980"/>
      <c r="G980" s="81"/>
      <c r="H980"/>
    </row>
    <row r="981" spans="6:8" x14ac:dyDescent="0.3">
      <c r="F981"/>
      <c r="G981" s="81"/>
      <c r="H981"/>
    </row>
    <row r="982" spans="6:8" x14ac:dyDescent="0.3">
      <c r="F982"/>
      <c r="G982" s="81"/>
      <c r="H982"/>
    </row>
    <row r="983" spans="6:8" x14ac:dyDescent="0.3">
      <c r="F983"/>
      <c r="G983" s="81"/>
      <c r="H983"/>
    </row>
    <row r="984" spans="6:8" x14ac:dyDescent="0.3">
      <c r="F984"/>
      <c r="G984" s="81"/>
      <c r="H984"/>
    </row>
    <row r="985" spans="6:8" x14ac:dyDescent="0.3">
      <c r="F985"/>
      <c r="G985" s="81"/>
      <c r="H985"/>
    </row>
    <row r="986" spans="6:8" x14ac:dyDescent="0.3">
      <c r="F986"/>
      <c r="G986" s="81"/>
      <c r="H986"/>
    </row>
    <row r="987" spans="6:8" x14ac:dyDescent="0.3">
      <c r="F987"/>
      <c r="G987" s="81"/>
      <c r="H987"/>
    </row>
    <row r="988" spans="6:8" x14ac:dyDescent="0.3">
      <c r="F988"/>
      <c r="G988" s="81"/>
      <c r="H988"/>
    </row>
    <row r="989" spans="6:8" x14ac:dyDescent="0.3">
      <c r="F989"/>
      <c r="G989" s="81"/>
      <c r="H989"/>
    </row>
    <row r="990" spans="6:8" x14ac:dyDescent="0.3">
      <c r="F990"/>
      <c r="G990" s="81"/>
      <c r="H990"/>
    </row>
    <row r="991" spans="6:8" x14ac:dyDescent="0.3">
      <c r="F991"/>
      <c r="G991" s="81"/>
      <c r="H991"/>
    </row>
    <row r="992" spans="6:8" x14ac:dyDescent="0.3">
      <c r="F992"/>
      <c r="G992" s="81"/>
      <c r="H992"/>
    </row>
    <row r="993" spans="6:8" x14ac:dyDescent="0.3">
      <c r="F993"/>
      <c r="G993" s="81"/>
      <c r="H993"/>
    </row>
    <row r="994" spans="6:8" x14ac:dyDescent="0.3">
      <c r="F994"/>
      <c r="G994" s="81"/>
      <c r="H994"/>
    </row>
    <row r="995" spans="6:8" x14ac:dyDescent="0.3">
      <c r="F995"/>
      <c r="G995" s="81"/>
      <c r="H995"/>
    </row>
    <row r="996" spans="6:8" x14ac:dyDescent="0.3">
      <c r="F996"/>
      <c r="G996" s="81"/>
      <c r="H996"/>
    </row>
    <row r="997" spans="6:8" x14ac:dyDescent="0.3">
      <c r="F997"/>
      <c r="G997" s="81"/>
      <c r="H997"/>
    </row>
    <row r="998" spans="6:8" x14ac:dyDescent="0.3">
      <c r="F998"/>
      <c r="G998" s="81"/>
      <c r="H998"/>
    </row>
    <row r="999" spans="6:8" x14ac:dyDescent="0.3">
      <c r="F999"/>
      <c r="G999" s="81"/>
      <c r="H999"/>
    </row>
    <row r="1000" spans="6:8" x14ac:dyDescent="0.3">
      <c r="F1000"/>
      <c r="G1000" s="81"/>
      <c r="H1000"/>
    </row>
    <row r="1001" spans="6:8" x14ac:dyDescent="0.3">
      <c r="F1001"/>
      <c r="G1001" s="81"/>
      <c r="H1001"/>
    </row>
    <row r="1002" spans="6:8" x14ac:dyDescent="0.3">
      <c r="F1002"/>
      <c r="G1002" s="81"/>
      <c r="H1002"/>
    </row>
    <row r="1003" spans="6:8" x14ac:dyDescent="0.3">
      <c r="F1003"/>
      <c r="G1003" s="81"/>
      <c r="H1003"/>
    </row>
    <row r="1004" spans="6:8" x14ac:dyDescent="0.3">
      <c r="F1004"/>
      <c r="G1004" s="81"/>
      <c r="H1004"/>
    </row>
    <row r="1005" spans="6:8" x14ac:dyDescent="0.3">
      <c r="F1005"/>
      <c r="G1005" s="81"/>
      <c r="H1005"/>
    </row>
    <row r="1006" spans="6:8" x14ac:dyDescent="0.3">
      <c r="F1006"/>
      <c r="G1006" s="81"/>
      <c r="H1006"/>
    </row>
    <row r="1007" spans="6:8" x14ac:dyDescent="0.3">
      <c r="F1007"/>
      <c r="G1007" s="81"/>
      <c r="H1007"/>
    </row>
    <row r="1008" spans="6:8" x14ac:dyDescent="0.3">
      <c r="F1008"/>
      <c r="G1008" s="81"/>
      <c r="H1008"/>
    </row>
    <row r="1009" spans="6:8" x14ac:dyDescent="0.3">
      <c r="F1009"/>
      <c r="G1009" s="81"/>
      <c r="H1009"/>
    </row>
    <row r="1010" spans="6:8" x14ac:dyDescent="0.3">
      <c r="F1010"/>
      <c r="G1010" s="81"/>
      <c r="H1010"/>
    </row>
    <row r="1011" spans="6:8" x14ac:dyDescent="0.3">
      <c r="F1011"/>
      <c r="G1011" s="81"/>
      <c r="H1011"/>
    </row>
    <row r="1012" spans="6:8" x14ac:dyDescent="0.3">
      <c r="F1012"/>
      <c r="G1012" s="81"/>
      <c r="H1012"/>
    </row>
    <row r="1013" spans="6:8" x14ac:dyDescent="0.3">
      <c r="F1013"/>
      <c r="G1013" s="81"/>
      <c r="H1013"/>
    </row>
    <row r="1014" spans="6:8" x14ac:dyDescent="0.3">
      <c r="F1014"/>
      <c r="G1014" s="81"/>
      <c r="H1014"/>
    </row>
    <row r="1015" spans="6:8" x14ac:dyDescent="0.3">
      <c r="F1015"/>
      <c r="G1015" s="81"/>
      <c r="H1015"/>
    </row>
    <row r="1016" spans="6:8" x14ac:dyDescent="0.3">
      <c r="F1016"/>
      <c r="G1016" s="81"/>
      <c r="H1016"/>
    </row>
    <row r="1017" spans="6:8" x14ac:dyDescent="0.3">
      <c r="F1017"/>
      <c r="G1017" s="81"/>
      <c r="H1017"/>
    </row>
    <row r="1018" spans="6:8" x14ac:dyDescent="0.3">
      <c r="F1018"/>
      <c r="G1018" s="81"/>
      <c r="H1018"/>
    </row>
    <row r="1019" spans="6:8" x14ac:dyDescent="0.3">
      <c r="F1019"/>
      <c r="G1019" s="81"/>
      <c r="H1019"/>
    </row>
    <row r="1020" spans="6:8" x14ac:dyDescent="0.3">
      <c r="F1020"/>
      <c r="G1020" s="81"/>
      <c r="H1020"/>
    </row>
    <row r="1021" spans="6:8" x14ac:dyDescent="0.3">
      <c r="F1021"/>
      <c r="G1021" s="81"/>
      <c r="H1021"/>
    </row>
    <row r="1022" spans="6:8" x14ac:dyDescent="0.3">
      <c r="F1022"/>
      <c r="G1022" s="81"/>
      <c r="H1022"/>
    </row>
    <row r="1023" spans="6:8" x14ac:dyDescent="0.3">
      <c r="F1023"/>
      <c r="G1023" s="81"/>
      <c r="H1023"/>
    </row>
    <row r="1024" spans="6:8" x14ac:dyDescent="0.3">
      <c r="F1024"/>
      <c r="G1024" s="81"/>
      <c r="H1024"/>
    </row>
    <row r="1025" spans="6:8" x14ac:dyDescent="0.3">
      <c r="F1025"/>
      <c r="G1025" s="81"/>
      <c r="H1025"/>
    </row>
    <row r="1026" spans="6:8" x14ac:dyDescent="0.3">
      <c r="F1026"/>
      <c r="G1026" s="81"/>
      <c r="H1026"/>
    </row>
    <row r="1027" spans="6:8" x14ac:dyDescent="0.3">
      <c r="F1027"/>
      <c r="G1027" s="81"/>
      <c r="H1027"/>
    </row>
    <row r="1028" spans="6:8" x14ac:dyDescent="0.3">
      <c r="F1028"/>
      <c r="G1028" s="81"/>
      <c r="H1028"/>
    </row>
    <row r="1029" spans="6:8" x14ac:dyDescent="0.3">
      <c r="F1029"/>
      <c r="G1029" s="81"/>
      <c r="H1029"/>
    </row>
    <row r="1030" spans="6:8" x14ac:dyDescent="0.3">
      <c r="F1030"/>
      <c r="G1030" s="81"/>
      <c r="H1030"/>
    </row>
    <row r="1031" spans="6:8" x14ac:dyDescent="0.3">
      <c r="F1031"/>
      <c r="G1031" s="81"/>
      <c r="H1031"/>
    </row>
    <row r="1032" spans="6:8" x14ac:dyDescent="0.3">
      <c r="F1032"/>
      <c r="G1032" s="81"/>
      <c r="H1032"/>
    </row>
    <row r="1033" spans="6:8" x14ac:dyDescent="0.3">
      <c r="F1033"/>
      <c r="G1033" s="81"/>
      <c r="H1033"/>
    </row>
    <row r="1034" spans="6:8" x14ac:dyDescent="0.3">
      <c r="F1034"/>
      <c r="G1034" s="81"/>
      <c r="H1034"/>
    </row>
    <row r="1035" spans="6:8" x14ac:dyDescent="0.3">
      <c r="F1035"/>
      <c r="G1035" s="81"/>
      <c r="H1035"/>
    </row>
    <row r="1036" spans="6:8" x14ac:dyDescent="0.3">
      <c r="F1036"/>
      <c r="G1036" s="81"/>
      <c r="H1036"/>
    </row>
    <row r="1037" spans="6:8" x14ac:dyDescent="0.3">
      <c r="F1037"/>
      <c r="G1037" s="81"/>
      <c r="H1037"/>
    </row>
    <row r="1038" spans="6:8" x14ac:dyDescent="0.3">
      <c r="F1038"/>
      <c r="G1038" s="81"/>
      <c r="H1038"/>
    </row>
    <row r="1039" spans="6:8" x14ac:dyDescent="0.3">
      <c r="F1039"/>
      <c r="G1039" s="81"/>
      <c r="H1039"/>
    </row>
    <row r="1040" spans="6:8" x14ac:dyDescent="0.3">
      <c r="F1040"/>
      <c r="G1040" s="81"/>
      <c r="H1040"/>
    </row>
    <row r="1041" spans="6:8" x14ac:dyDescent="0.3">
      <c r="F1041"/>
      <c r="G1041" s="81"/>
      <c r="H1041"/>
    </row>
    <row r="1042" spans="6:8" x14ac:dyDescent="0.3">
      <c r="F1042"/>
      <c r="G1042" s="81"/>
      <c r="H1042"/>
    </row>
    <row r="1043" spans="6:8" x14ac:dyDescent="0.3">
      <c r="F1043"/>
      <c r="G1043" s="81"/>
      <c r="H1043"/>
    </row>
    <row r="1044" spans="6:8" x14ac:dyDescent="0.3">
      <c r="F1044"/>
      <c r="G1044" s="81"/>
      <c r="H1044"/>
    </row>
    <row r="1045" spans="6:8" x14ac:dyDescent="0.3">
      <c r="F1045"/>
      <c r="G1045" s="81"/>
      <c r="H1045"/>
    </row>
    <row r="1046" spans="6:8" x14ac:dyDescent="0.3">
      <c r="F1046"/>
      <c r="G1046" s="81"/>
      <c r="H1046"/>
    </row>
    <row r="1047" spans="6:8" x14ac:dyDescent="0.3">
      <c r="F1047"/>
      <c r="G1047" s="81"/>
      <c r="H1047"/>
    </row>
    <row r="1048" spans="6:8" x14ac:dyDescent="0.3">
      <c r="F1048"/>
      <c r="G1048" s="81"/>
      <c r="H1048"/>
    </row>
    <row r="1049" spans="6:8" x14ac:dyDescent="0.3">
      <c r="F1049"/>
      <c r="G1049" s="81"/>
      <c r="H1049"/>
    </row>
    <row r="1050" spans="6:8" x14ac:dyDescent="0.3">
      <c r="F1050"/>
      <c r="G1050" s="81"/>
      <c r="H1050"/>
    </row>
    <row r="1051" spans="6:8" x14ac:dyDescent="0.3">
      <c r="F1051"/>
      <c r="G1051" s="81"/>
      <c r="H1051"/>
    </row>
    <row r="1052" spans="6:8" x14ac:dyDescent="0.3">
      <c r="F1052"/>
      <c r="G1052" s="81"/>
      <c r="H1052"/>
    </row>
    <row r="1053" spans="6:8" x14ac:dyDescent="0.3">
      <c r="F1053"/>
      <c r="G1053" s="81"/>
      <c r="H1053"/>
    </row>
    <row r="1054" spans="6:8" x14ac:dyDescent="0.3">
      <c r="F1054"/>
      <c r="G1054" s="81"/>
      <c r="H1054"/>
    </row>
    <row r="1055" spans="6:8" x14ac:dyDescent="0.3">
      <c r="F1055"/>
      <c r="G1055" s="81"/>
      <c r="H1055"/>
    </row>
    <row r="1056" spans="6:8" x14ac:dyDescent="0.3">
      <c r="F1056"/>
      <c r="G1056" s="81"/>
      <c r="H1056"/>
    </row>
    <row r="1057" spans="6:8" x14ac:dyDescent="0.3">
      <c r="F1057"/>
      <c r="G1057" s="81"/>
      <c r="H1057"/>
    </row>
    <row r="1058" spans="6:8" x14ac:dyDescent="0.3">
      <c r="F1058"/>
      <c r="G1058" s="81"/>
      <c r="H1058"/>
    </row>
    <row r="1059" spans="6:8" x14ac:dyDescent="0.3">
      <c r="F1059"/>
      <c r="G1059" s="81"/>
      <c r="H1059"/>
    </row>
    <row r="1060" spans="6:8" x14ac:dyDescent="0.3">
      <c r="F1060"/>
      <c r="G1060" s="81"/>
      <c r="H1060"/>
    </row>
    <row r="1061" spans="6:8" x14ac:dyDescent="0.3">
      <c r="F1061"/>
      <c r="G1061" s="81"/>
      <c r="H1061"/>
    </row>
    <row r="1062" spans="6:8" x14ac:dyDescent="0.3">
      <c r="F1062"/>
      <c r="G1062" s="81"/>
      <c r="H1062"/>
    </row>
    <row r="1063" spans="6:8" x14ac:dyDescent="0.3">
      <c r="F1063"/>
      <c r="G1063" s="81"/>
      <c r="H1063"/>
    </row>
    <row r="1064" spans="6:8" x14ac:dyDescent="0.3">
      <c r="F1064"/>
      <c r="G1064" s="81"/>
      <c r="H1064"/>
    </row>
    <row r="1065" spans="6:8" x14ac:dyDescent="0.3">
      <c r="F1065"/>
      <c r="G1065" s="81"/>
      <c r="H1065"/>
    </row>
    <row r="1066" spans="6:8" x14ac:dyDescent="0.3">
      <c r="F1066"/>
      <c r="G1066" s="81"/>
      <c r="H1066"/>
    </row>
    <row r="1067" spans="6:8" x14ac:dyDescent="0.3">
      <c r="F1067"/>
      <c r="G1067" s="81"/>
      <c r="H1067"/>
    </row>
    <row r="1068" spans="6:8" x14ac:dyDescent="0.3">
      <c r="F1068"/>
      <c r="G1068" s="81"/>
      <c r="H1068"/>
    </row>
    <row r="1069" spans="6:8" x14ac:dyDescent="0.3">
      <c r="F1069"/>
      <c r="G1069" s="81"/>
      <c r="H1069"/>
    </row>
    <row r="1070" spans="6:8" x14ac:dyDescent="0.3">
      <c r="F1070"/>
      <c r="G1070" s="81"/>
      <c r="H1070"/>
    </row>
    <row r="1071" spans="6:8" x14ac:dyDescent="0.3">
      <c r="F1071"/>
      <c r="G1071" s="81"/>
      <c r="H1071"/>
    </row>
    <row r="1072" spans="6:8" x14ac:dyDescent="0.3">
      <c r="F1072"/>
      <c r="G1072" s="81"/>
      <c r="H1072"/>
    </row>
    <row r="1073" spans="6:8" x14ac:dyDescent="0.3">
      <c r="F1073"/>
      <c r="G1073" s="81"/>
      <c r="H1073"/>
    </row>
    <row r="1074" spans="6:8" x14ac:dyDescent="0.3">
      <c r="F1074"/>
      <c r="G1074" s="81"/>
      <c r="H1074"/>
    </row>
    <row r="1075" spans="6:8" x14ac:dyDescent="0.3">
      <c r="F1075"/>
      <c r="G1075" s="81"/>
      <c r="H1075"/>
    </row>
    <row r="1076" spans="6:8" x14ac:dyDescent="0.3">
      <c r="F1076"/>
      <c r="G1076" s="81"/>
      <c r="H1076"/>
    </row>
    <row r="1077" spans="6:8" x14ac:dyDescent="0.3">
      <c r="F1077"/>
      <c r="G1077" s="81"/>
      <c r="H1077"/>
    </row>
    <row r="1078" spans="6:8" x14ac:dyDescent="0.3">
      <c r="F1078"/>
      <c r="G1078" s="81"/>
      <c r="H1078"/>
    </row>
    <row r="1079" spans="6:8" x14ac:dyDescent="0.3">
      <c r="F1079"/>
      <c r="G1079" s="81"/>
      <c r="H1079"/>
    </row>
    <row r="1080" spans="6:8" x14ac:dyDescent="0.3">
      <c r="F1080"/>
      <c r="G1080" s="81"/>
      <c r="H1080"/>
    </row>
    <row r="1081" spans="6:8" x14ac:dyDescent="0.3">
      <c r="F1081"/>
      <c r="G1081" s="81"/>
      <c r="H1081"/>
    </row>
    <row r="1082" spans="6:8" x14ac:dyDescent="0.3">
      <c r="F1082"/>
      <c r="G1082" s="81"/>
      <c r="H1082"/>
    </row>
    <row r="1083" spans="6:8" x14ac:dyDescent="0.3">
      <c r="F1083"/>
      <c r="G1083" s="81"/>
      <c r="H1083"/>
    </row>
    <row r="1084" spans="6:8" x14ac:dyDescent="0.3">
      <c r="F1084"/>
      <c r="G1084" s="81"/>
      <c r="H1084"/>
    </row>
    <row r="1085" spans="6:8" x14ac:dyDescent="0.3">
      <c r="F1085"/>
      <c r="G1085" s="81"/>
      <c r="H1085"/>
    </row>
  </sheetData>
  <autoFilter ref="A1:A345" xr:uid="{FA44D7CB-C33B-460C-BC25-DFF687B1B1C9}"/>
  <mergeCells count="2">
    <mergeCell ref="A1:C1"/>
    <mergeCell ref="F1:H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9844-906A-48F7-910E-53567B68B286}">
  <dimension ref="A1:I1085"/>
  <sheetViews>
    <sheetView workbookViewId="0">
      <selection activeCell="F2" sqref="F1:I1048576"/>
    </sheetView>
  </sheetViews>
  <sheetFormatPr baseColWidth="10" defaultRowHeight="14.4" x14ac:dyDescent="0.3"/>
  <cols>
    <col min="1" max="1" width="14.5546875" customWidth="1"/>
    <col min="2" max="3" width="16.88671875" customWidth="1"/>
    <col min="6" max="6" width="11.5546875" style="121"/>
    <col min="7" max="7" width="11.5546875" style="85"/>
    <col min="8" max="8" width="22.21875" style="121" customWidth="1"/>
  </cols>
  <sheetData>
    <row r="1" spans="1:9" x14ac:dyDescent="0.3">
      <c r="A1" s="495" t="s">
        <v>14</v>
      </c>
      <c r="B1" s="498"/>
      <c r="C1" s="499"/>
      <c r="F1" s="529" t="s">
        <v>14</v>
      </c>
      <c r="G1" s="531"/>
      <c r="H1" s="531"/>
    </row>
    <row r="2" spans="1:9" ht="28.8" x14ac:dyDescent="0.3">
      <c r="A2" s="3" t="s">
        <v>1</v>
      </c>
      <c r="B2" s="3" t="s">
        <v>2</v>
      </c>
      <c r="C2" s="3" t="s">
        <v>3</v>
      </c>
      <c r="F2" s="95" t="s">
        <v>1</v>
      </c>
      <c r="G2" s="97" t="s">
        <v>2</v>
      </c>
      <c r="H2" s="97" t="s">
        <v>3</v>
      </c>
    </row>
    <row r="3" spans="1:9" x14ac:dyDescent="0.3">
      <c r="A3" s="9">
        <v>37617</v>
      </c>
      <c r="B3" s="10">
        <v>30.26</v>
      </c>
      <c r="C3" s="10">
        <v>134.38999999999999</v>
      </c>
      <c r="F3" s="84">
        <v>40330</v>
      </c>
      <c r="G3" s="140">
        <v>36.450000000000003</v>
      </c>
      <c r="H3" s="140">
        <v>128.19999999999999</v>
      </c>
      <c r="I3">
        <f>G3+H3</f>
        <v>164.64999999999998</v>
      </c>
    </row>
    <row r="4" spans="1:9" x14ac:dyDescent="0.3">
      <c r="A4" s="9">
        <v>37635</v>
      </c>
      <c r="B4" s="10">
        <v>30.84</v>
      </c>
      <c r="C4" s="10">
        <v>133.81</v>
      </c>
      <c r="F4" s="84">
        <v>40513</v>
      </c>
      <c r="G4" s="140">
        <v>35.44</v>
      </c>
      <c r="H4" s="140">
        <v>129.21</v>
      </c>
      <c r="I4">
        <f t="shared" ref="I4:I32" si="0">G4+H4</f>
        <v>164.65</v>
      </c>
    </row>
    <row r="5" spans="1:9" x14ac:dyDescent="0.3">
      <c r="A5" s="9">
        <v>37642</v>
      </c>
      <c r="B5" s="10">
        <v>30.37</v>
      </c>
      <c r="C5" s="10">
        <v>134.28</v>
      </c>
      <c r="F5" s="84">
        <v>40695</v>
      </c>
      <c r="G5" s="140">
        <v>34.49</v>
      </c>
      <c r="H5" s="140">
        <v>130.16</v>
      </c>
      <c r="I5">
        <f t="shared" si="0"/>
        <v>164.65</v>
      </c>
    </row>
    <row r="6" spans="1:9" x14ac:dyDescent="0.3">
      <c r="A6" s="9">
        <v>37720</v>
      </c>
      <c r="B6" s="10">
        <v>30.28</v>
      </c>
      <c r="C6" s="10">
        <v>134.37</v>
      </c>
      <c r="F6" s="84">
        <v>40878</v>
      </c>
      <c r="G6" s="140">
        <v>34.29</v>
      </c>
      <c r="H6" s="140">
        <v>130.36000000000001</v>
      </c>
      <c r="I6">
        <f t="shared" si="0"/>
        <v>164.65</v>
      </c>
    </row>
    <row r="7" spans="1:9" x14ac:dyDescent="0.3">
      <c r="A7" s="9">
        <v>37726</v>
      </c>
      <c r="B7" s="10">
        <v>30.58</v>
      </c>
      <c r="C7" s="10">
        <v>134.07</v>
      </c>
      <c r="F7" s="84">
        <v>41061</v>
      </c>
      <c r="G7" s="141">
        <v>35.35</v>
      </c>
      <c r="H7" s="141">
        <v>129.30000000000001</v>
      </c>
      <c r="I7">
        <f t="shared" si="0"/>
        <v>164.65</v>
      </c>
    </row>
    <row r="8" spans="1:9" x14ac:dyDescent="0.3">
      <c r="A8" s="9">
        <v>37732</v>
      </c>
      <c r="B8" s="10">
        <v>30.36</v>
      </c>
      <c r="C8" s="10">
        <v>134.29</v>
      </c>
      <c r="F8" s="84">
        <v>41244</v>
      </c>
      <c r="G8" s="141">
        <v>36.125</v>
      </c>
      <c r="H8" s="141">
        <v>164.65</v>
      </c>
      <c r="I8">
        <f t="shared" si="0"/>
        <v>200.77500000000001</v>
      </c>
    </row>
    <row r="9" spans="1:9" x14ac:dyDescent="0.3">
      <c r="A9" s="9">
        <v>37734</v>
      </c>
      <c r="B9" s="10">
        <v>30.46</v>
      </c>
      <c r="C9" s="10">
        <v>134.19</v>
      </c>
      <c r="F9" s="84">
        <v>41426</v>
      </c>
      <c r="G9" s="141">
        <v>36.97</v>
      </c>
      <c r="H9" s="141">
        <v>127.68</v>
      </c>
      <c r="I9">
        <f t="shared" si="0"/>
        <v>164.65</v>
      </c>
    </row>
    <row r="10" spans="1:9" x14ac:dyDescent="0.3">
      <c r="A10" s="9">
        <v>37735</v>
      </c>
      <c r="B10" s="10">
        <v>30.58</v>
      </c>
      <c r="C10" s="10">
        <v>134.07</v>
      </c>
      <c r="F10" s="84">
        <v>41609</v>
      </c>
      <c r="G10" s="141">
        <v>37.15</v>
      </c>
      <c r="H10" s="141">
        <v>127.5</v>
      </c>
      <c r="I10">
        <f t="shared" si="0"/>
        <v>164.65</v>
      </c>
    </row>
    <row r="11" spans="1:9" x14ac:dyDescent="0.3">
      <c r="A11" s="9">
        <v>37746</v>
      </c>
      <c r="B11" s="10">
        <v>30.38</v>
      </c>
      <c r="C11" s="10">
        <v>134.27000000000001</v>
      </c>
      <c r="F11" s="84">
        <v>41791</v>
      </c>
      <c r="G11" s="140">
        <v>37.909999999999997</v>
      </c>
      <c r="H11" s="140">
        <v>126.74</v>
      </c>
      <c r="I11">
        <f t="shared" si="0"/>
        <v>164.64999999999998</v>
      </c>
    </row>
    <row r="12" spans="1:9" x14ac:dyDescent="0.3">
      <c r="A12" s="9">
        <v>37748</v>
      </c>
      <c r="B12" s="10">
        <v>30.31</v>
      </c>
      <c r="C12" s="10">
        <v>134.34</v>
      </c>
      <c r="F12" s="84">
        <v>41974</v>
      </c>
      <c r="G12" s="140">
        <v>37.65</v>
      </c>
      <c r="H12" s="140">
        <v>127</v>
      </c>
      <c r="I12">
        <f t="shared" si="0"/>
        <v>164.65</v>
      </c>
    </row>
    <row r="13" spans="1:9" x14ac:dyDescent="0.3">
      <c r="A13" s="9">
        <v>37749</v>
      </c>
      <c r="B13" s="10">
        <v>30.37</v>
      </c>
      <c r="C13" s="10">
        <v>134.28</v>
      </c>
      <c r="F13" s="84">
        <v>42156</v>
      </c>
      <c r="G13" s="140">
        <v>38</v>
      </c>
      <c r="H13" s="140">
        <v>126.65</v>
      </c>
      <c r="I13">
        <f t="shared" si="0"/>
        <v>164.65</v>
      </c>
    </row>
    <row r="14" spans="1:9" x14ac:dyDescent="0.3">
      <c r="A14" s="9">
        <v>37750</v>
      </c>
      <c r="B14" s="15">
        <f>(B13+B15)/2</f>
        <v>30.14</v>
      </c>
      <c r="C14" s="70">
        <v>134.65</v>
      </c>
      <c r="F14" s="84">
        <v>42339</v>
      </c>
      <c r="G14" s="116">
        <v>38.54</v>
      </c>
      <c r="H14" s="140">
        <v>126.11</v>
      </c>
      <c r="I14">
        <f t="shared" si="0"/>
        <v>164.65</v>
      </c>
    </row>
    <row r="15" spans="1:9" x14ac:dyDescent="0.3">
      <c r="A15" s="9">
        <v>37755</v>
      </c>
      <c r="B15" s="10">
        <v>29.91</v>
      </c>
      <c r="C15" s="10">
        <v>134.74</v>
      </c>
      <c r="F15" s="84">
        <v>42522</v>
      </c>
      <c r="G15" s="116">
        <v>39.340000000000003</v>
      </c>
      <c r="H15" s="140">
        <v>125.31</v>
      </c>
      <c r="I15">
        <f t="shared" si="0"/>
        <v>164.65</v>
      </c>
    </row>
    <row r="16" spans="1:9" x14ac:dyDescent="0.3">
      <c r="A16" s="9">
        <v>37758</v>
      </c>
      <c r="B16" s="10">
        <v>30.63</v>
      </c>
      <c r="C16" s="10">
        <v>134.02000000000001</v>
      </c>
      <c r="F16" s="84">
        <v>42705</v>
      </c>
      <c r="G16" s="116">
        <v>39.979999999999997</v>
      </c>
      <c r="H16" s="140">
        <v>124.67</v>
      </c>
      <c r="I16">
        <f t="shared" si="0"/>
        <v>164.65</v>
      </c>
    </row>
    <row r="17" spans="1:9" x14ac:dyDescent="0.3">
      <c r="A17" s="9">
        <v>37768</v>
      </c>
      <c r="B17" s="10">
        <v>30.76</v>
      </c>
      <c r="C17" s="10">
        <v>133.88999999999999</v>
      </c>
      <c r="F17" s="84">
        <v>42887</v>
      </c>
      <c r="G17" s="116">
        <v>39.9</v>
      </c>
      <c r="H17" s="140">
        <v>124.75</v>
      </c>
      <c r="I17">
        <f t="shared" si="0"/>
        <v>164.65</v>
      </c>
    </row>
    <row r="18" spans="1:9" x14ac:dyDescent="0.3">
      <c r="A18" s="9">
        <v>37777</v>
      </c>
      <c r="B18" s="10">
        <v>30.79</v>
      </c>
      <c r="C18" s="10">
        <v>133.86000000000001</v>
      </c>
      <c r="F18" s="84">
        <v>43070</v>
      </c>
      <c r="G18" s="116">
        <v>39.409999999999997</v>
      </c>
      <c r="H18" s="140">
        <v>125.24</v>
      </c>
      <c r="I18">
        <f t="shared" si="0"/>
        <v>164.64999999999998</v>
      </c>
    </row>
    <row r="19" spans="1:9" x14ac:dyDescent="0.3">
      <c r="A19" s="9">
        <v>37797</v>
      </c>
      <c r="B19" s="10">
        <v>31.15</v>
      </c>
      <c r="C19" s="10">
        <v>133.5</v>
      </c>
      <c r="F19" s="84">
        <v>43252</v>
      </c>
      <c r="G19" s="111">
        <v>40.19</v>
      </c>
      <c r="H19" s="101"/>
      <c r="I19">
        <f t="shared" si="0"/>
        <v>40.19</v>
      </c>
    </row>
    <row r="20" spans="1:9" x14ac:dyDescent="0.3">
      <c r="A20" s="9">
        <v>37809</v>
      </c>
      <c r="B20" s="10">
        <v>31</v>
      </c>
      <c r="C20" s="10">
        <v>133.65</v>
      </c>
      <c r="F20" s="84">
        <v>43435</v>
      </c>
      <c r="G20" s="111">
        <v>40.14</v>
      </c>
      <c r="H20" s="101"/>
      <c r="I20">
        <f t="shared" si="0"/>
        <v>40.14</v>
      </c>
    </row>
    <row r="21" spans="1:9" x14ac:dyDescent="0.3">
      <c r="A21" s="9">
        <v>37816</v>
      </c>
      <c r="B21" s="10">
        <v>30.78</v>
      </c>
      <c r="C21" s="10">
        <v>133.87</v>
      </c>
      <c r="F21" s="84">
        <v>43617</v>
      </c>
      <c r="G21" s="116">
        <v>40.090000000000003</v>
      </c>
      <c r="H21" s="140">
        <v>124.56</v>
      </c>
      <c r="I21">
        <f t="shared" si="0"/>
        <v>164.65</v>
      </c>
    </row>
    <row r="22" spans="1:9" x14ac:dyDescent="0.3">
      <c r="A22" s="9">
        <v>37817</v>
      </c>
      <c r="B22" s="10">
        <v>30.95</v>
      </c>
      <c r="C22" s="10">
        <v>133.69999999999999</v>
      </c>
      <c r="F22" s="84">
        <v>43800</v>
      </c>
      <c r="G22" s="116">
        <v>40.4</v>
      </c>
      <c r="H22" s="140">
        <v>124.25</v>
      </c>
      <c r="I22">
        <f t="shared" si="0"/>
        <v>164.65</v>
      </c>
    </row>
    <row r="23" spans="1:9" x14ac:dyDescent="0.3">
      <c r="A23" s="9">
        <v>37823</v>
      </c>
      <c r="B23" s="10">
        <v>30.88</v>
      </c>
      <c r="C23" s="10">
        <v>133.77000000000001</v>
      </c>
      <c r="F23" s="84">
        <v>43983</v>
      </c>
      <c r="G23" s="116">
        <v>41.47</v>
      </c>
      <c r="H23" s="141">
        <f>123.15</f>
        <v>123.15</v>
      </c>
      <c r="I23">
        <f t="shared" si="0"/>
        <v>164.62</v>
      </c>
    </row>
    <row r="24" spans="1:9" x14ac:dyDescent="0.3">
      <c r="A24" s="9">
        <v>37831</v>
      </c>
      <c r="B24" s="10">
        <v>31.01</v>
      </c>
      <c r="C24" s="10">
        <v>133.63999999999999</v>
      </c>
      <c r="F24" s="84">
        <v>44166</v>
      </c>
      <c r="G24" s="11">
        <v>41.21</v>
      </c>
      <c r="H24" s="139"/>
      <c r="I24">
        <f t="shared" si="0"/>
        <v>41.21</v>
      </c>
    </row>
    <row r="25" spans="1:9" x14ac:dyDescent="0.3">
      <c r="A25" s="9">
        <v>37839</v>
      </c>
      <c r="B25" s="10">
        <v>31.15</v>
      </c>
      <c r="C25" s="10">
        <v>133.5</v>
      </c>
      <c r="F25" s="84">
        <v>44348</v>
      </c>
      <c r="G25" s="116">
        <v>42.14</v>
      </c>
      <c r="H25" s="141">
        <v>122.87</v>
      </c>
      <c r="I25">
        <f t="shared" si="0"/>
        <v>165.01</v>
      </c>
    </row>
    <row r="26" spans="1:9" x14ac:dyDescent="0.3">
      <c r="A26" s="9">
        <v>37845</v>
      </c>
      <c r="B26" s="10">
        <v>31.22</v>
      </c>
      <c r="C26" s="10">
        <v>133.43</v>
      </c>
      <c r="F26" s="84">
        <v>44531</v>
      </c>
      <c r="G26" s="111">
        <v>41.71</v>
      </c>
      <c r="H26" s="126"/>
      <c r="I26">
        <f t="shared" si="0"/>
        <v>41.71</v>
      </c>
    </row>
    <row r="27" spans="1:9" x14ac:dyDescent="0.3">
      <c r="A27" s="9">
        <v>37873</v>
      </c>
      <c r="B27" s="10">
        <v>31.43</v>
      </c>
      <c r="C27" s="10">
        <v>133.22</v>
      </c>
      <c r="F27" s="84">
        <v>44713</v>
      </c>
      <c r="G27" s="111">
        <v>42.29</v>
      </c>
      <c r="H27" s="111"/>
      <c r="I27">
        <f t="shared" si="0"/>
        <v>42.29</v>
      </c>
    </row>
    <row r="28" spans="1:9" x14ac:dyDescent="0.3">
      <c r="A28" s="9">
        <v>37901</v>
      </c>
      <c r="B28" s="10">
        <v>31.27</v>
      </c>
      <c r="C28" s="10">
        <v>133.38</v>
      </c>
      <c r="F28" s="84">
        <v>44896</v>
      </c>
      <c r="G28" s="126">
        <v>42.19</v>
      </c>
      <c r="H28" s="111"/>
      <c r="I28">
        <f t="shared" si="0"/>
        <v>42.19</v>
      </c>
    </row>
    <row r="29" spans="1:9" x14ac:dyDescent="0.3">
      <c r="A29" s="9">
        <v>37936</v>
      </c>
      <c r="B29" s="10">
        <v>31.33</v>
      </c>
      <c r="C29" s="10">
        <v>133.32</v>
      </c>
      <c r="F29" s="84">
        <v>45078</v>
      </c>
      <c r="G29" s="111">
        <v>42.76</v>
      </c>
      <c r="H29" s="111"/>
      <c r="I29">
        <f t="shared" si="0"/>
        <v>42.76</v>
      </c>
    </row>
    <row r="30" spans="1:9" x14ac:dyDescent="0.3">
      <c r="A30" s="9">
        <v>37951</v>
      </c>
      <c r="B30" s="10">
        <v>31.16</v>
      </c>
      <c r="C30" s="10">
        <v>133.49</v>
      </c>
      <c r="F30" s="84">
        <v>45261</v>
      </c>
      <c r="G30" s="124">
        <v>42.66</v>
      </c>
      <c r="H30" s="111"/>
      <c r="I30">
        <f t="shared" si="0"/>
        <v>42.66</v>
      </c>
    </row>
    <row r="31" spans="1:9" x14ac:dyDescent="0.3">
      <c r="A31" s="9">
        <v>37993</v>
      </c>
      <c r="B31" s="10">
        <v>31.31</v>
      </c>
      <c r="C31" s="10">
        <v>133.34</v>
      </c>
      <c r="F31" s="84">
        <v>45444</v>
      </c>
      <c r="G31" s="111">
        <v>43.22</v>
      </c>
      <c r="H31" s="111"/>
      <c r="I31">
        <f t="shared" si="0"/>
        <v>43.22</v>
      </c>
    </row>
    <row r="32" spans="1:9" x14ac:dyDescent="0.3">
      <c r="A32" s="9">
        <v>38078</v>
      </c>
      <c r="B32" s="10">
        <v>31.35</v>
      </c>
      <c r="C32" s="10">
        <v>133.30000000000001</v>
      </c>
      <c r="F32" s="84">
        <v>45627</v>
      </c>
      <c r="G32" s="117">
        <v>42.87</v>
      </c>
      <c r="H32" s="114"/>
      <c r="I32">
        <f t="shared" si="0"/>
        <v>42.87</v>
      </c>
    </row>
    <row r="33" spans="1:9" x14ac:dyDescent="0.3">
      <c r="A33" s="9">
        <v>38105</v>
      </c>
      <c r="B33" s="10">
        <v>31.95</v>
      </c>
      <c r="C33" s="10">
        <v>132.69999999999999</v>
      </c>
      <c r="F33" s="84">
        <v>45809</v>
      </c>
      <c r="G33" s="96">
        <v>43.6</v>
      </c>
      <c r="H33" s="111"/>
      <c r="I33">
        <f>G34+H33</f>
        <v>43.72</v>
      </c>
    </row>
    <row r="34" spans="1:9" x14ac:dyDescent="0.3">
      <c r="A34" s="9">
        <v>38117</v>
      </c>
      <c r="B34" s="10">
        <v>31.93</v>
      </c>
      <c r="C34" s="10">
        <v>132.72</v>
      </c>
      <c r="F34" s="84">
        <v>45992</v>
      </c>
      <c r="G34" s="114">
        <v>43.72</v>
      </c>
      <c r="H34" s="114"/>
      <c r="I34" t="e">
        <f>#REF!+H34</f>
        <v>#REF!</v>
      </c>
    </row>
    <row r="35" spans="1:9" x14ac:dyDescent="0.3">
      <c r="A35" s="9">
        <v>38133</v>
      </c>
      <c r="B35" s="10">
        <v>31.95</v>
      </c>
      <c r="C35" s="10">
        <v>132.69999999999999</v>
      </c>
      <c r="F35"/>
      <c r="G35" s="81"/>
      <c r="H35"/>
    </row>
    <row r="36" spans="1:9" x14ac:dyDescent="0.3">
      <c r="A36" s="9">
        <v>38161</v>
      </c>
      <c r="B36" s="10">
        <v>31.81</v>
      </c>
      <c r="C36" s="10">
        <v>132.84</v>
      </c>
      <c r="F36"/>
      <c r="G36" s="81"/>
      <c r="H36"/>
    </row>
    <row r="37" spans="1:9" x14ac:dyDescent="0.3">
      <c r="A37" s="9">
        <v>38170</v>
      </c>
      <c r="B37" s="10">
        <v>31.9</v>
      </c>
      <c r="C37" s="10">
        <v>132.75</v>
      </c>
      <c r="F37"/>
      <c r="G37" s="81"/>
      <c r="H37"/>
    </row>
    <row r="38" spans="1:9" x14ac:dyDescent="0.3">
      <c r="A38" s="9">
        <v>38183</v>
      </c>
      <c r="B38" s="10">
        <v>31.99</v>
      </c>
      <c r="C38" s="10">
        <v>132.66</v>
      </c>
      <c r="F38" s="115"/>
      <c r="G38" s="81"/>
      <c r="H38"/>
    </row>
    <row r="39" spans="1:9" x14ac:dyDescent="0.3">
      <c r="A39" s="9">
        <v>38197</v>
      </c>
      <c r="B39" s="10">
        <v>31.92</v>
      </c>
      <c r="C39" s="10">
        <v>132.72999999999999</v>
      </c>
      <c r="F39" s="115"/>
      <c r="G39" s="81"/>
      <c r="H39"/>
    </row>
    <row r="40" spans="1:9" x14ac:dyDescent="0.3">
      <c r="A40" s="9">
        <v>38202</v>
      </c>
      <c r="B40" s="10">
        <v>31.62</v>
      </c>
      <c r="C40" s="10">
        <v>133.03</v>
      </c>
      <c r="F40" s="115"/>
      <c r="G40" s="81"/>
      <c r="H40"/>
    </row>
    <row r="41" spans="1:9" x14ac:dyDescent="0.3">
      <c r="A41" s="9">
        <v>38217</v>
      </c>
      <c r="B41" s="10">
        <v>31.47</v>
      </c>
      <c r="C41" s="10">
        <v>133.18</v>
      </c>
      <c r="F41"/>
      <c r="G41" s="81"/>
      <c r="H41"/>
    </row>
    <row r="42" spans="1:9" x14ac:dyDescent="0.3">
      <c r="A42" s="9">
        <v>38226</v>
      </c>
      <c r="B42" s="10">
        <v>31.12</v>
      </c>
      <c r="C42" s="10">
        <v>133.53</v>
      </c>
      <c r="F42"/>
      <c r="G42" s="81"/>
      <c r="H42"/>
    </row>
    <row r="43" spans="1:9" x14ac:dyDescent="0.3">
      <c r="A43" s="9">
        <v>38231</v>
      </c>
      <c r="B43" s="10">
        <v>31.33</v>
      </c>
      <c r="C43" s="10">
        <v>133.32</v>
      </c>
      <c r="F43"/>
      <c r="G43" s="81"/>
      <c r="H43"/>
    </row>
    <row r="44" spans="1:9" x14ac:dyDescent="0.3">
      <c r="A44" s="9">
        <v>38237</v>
      </c>
      <c r="B44" s="11">
        <v>31.1</v>
      </c>
      <c r="C44" s="10">
        <v>133.55000000000001</v>
      </c>
      <c r="F44"/>
      <c r="G44" s="81"/>
      <c r="H44"/>
    </row>
    <row r="45" spans="1:9" x14ac:dyDescent="0.3">
      <c r="A45" s="9">
        <v>38246</v>
      </c>
      <c r="B45" s="10">
        <v>31.56</v>
      </c>
      <c r="C45" s="10">
        <v>133.09</v>
      </c>
      <c r="F45"/>
      <c r="G45" s="81"/>
      <c r="H45"/>
    </row>
    <row r="46" spans="1:9" x14ac:dyDescent="0.3">
      <c r="A46" s="9">
        <v>38251</v>
      </c>
      <c r="B46" s="10">
        <v>31.55</v>
      </c>
      <c r="C46" s="10">
        <v>133.1</v>
      </c>
      <c r="F46"/>
      <c r="G46" s="81"/>
      <c r="H46"/>
    </row>
    <row r="47" spans="1:9" x14ac:dyDescent="0.3">
      <c r="A47" s="9">
        <v>38265</v>
      </c>
      <c r="B47" s="10">
        <v>31.89</v>
      </c>
      <c r="C47" s="10">
        <v>132.76</v>
      </c>
      <c r="F47"/>
      <c r="G47" s="81"/>
      <c r="H47"/>
    </row>
    <row r="48" spans="1:9" x14ac:dyDescent="0.3">
      <c r="A48" s="9">
        <v>38286</v>
      </c>
      <c r="B48" s="10">
        <v>31.98</v>
      </c>
      <c r="C48" s="10">
        <v>132.66999999999999</v>
      </c>
      <c r="F48"/>
      <c r="G48" s="81"/>
      <c r="H48"/>
    </row>
    <row r="49" spans="1:8" x14ac:dyDescent="0.3">
      <c r="A49" s="9">
        <v>38300</v>
      </c>
      <c r="B49" s="10">
        <v>32.1</v>
      </c>
      <c r="C49" s="10">
        <v>132.55000000000001</v>
      </c>
      <c r="F49"/>
      <c r="G49" s="81"/>
      <c r="H49"/>
    </row>
    <row r="50" spans="1:8" x14ac:dyDescent="0.3">
      <c r="A50" s="9">
        <v>38308</v>
      </c>
      <c r="B50" s="10">
        <v>32.01</v>
      </c>
      <c r="C50" s="10">
        <v>132.63999999999999</v>
      </c>
      <c r="F50"/>
      <c r="G50" s="81"/>
      <c r="H50"/>
    </row>
    <row r="51" spans="1:8" x14ac:dyDescent="0.3">
      <c r="A51" s="9">
        <v>38313</v>
      </c>
      <c r="B51" s="10">
        <v>32.18</v>
      </c>
      <c r="C51" s="10">
        <v>132.47</v>
      </c>
      <c r="F51"/>
      <c r="G51" s="81"/>
      <c r="H51"/>
    </row>
    <row r="52" spans="1:8" x14ac:dyDescent="0.3">
      <c r="A52" s="9">
        <v>38342</v>
      </c>
      <c r="B52" s="10">
        <v>32.270000000000003</v>
      </c>
      <c r="C52" s="10">
        <v>132.38</v>
      </c>
      <c r="F52"/>
      <c r="G52" s="81"/>
      <c r="H52"/>
    </row>
    <row r="53" spans="1:8" x14ac:dyDescent="0.3">
      <c r="A53" s="9">
        <v>38364</v>
      </c>
      <c r="B53" s="10">
        <v>32.36</v>
      </c>
      <c r="C53" s="10">
        <v>132.29</v>
      </c>
      <c r="F53"/>
      <c r="G53" s="81"/>
      <c r="H53"/>
    </row>
    <row r="54" spans="1:8" x14ac:dyDescent="0.3">
      <c r="A54" s="9">
        <v>38378</v>
      </c>
      <c r="B54" s="10">
        <v>32.299999999999997</v>
      </c>
      <c r="C54" s="10">
        <v>132.35</v>
      </c>
      <c r="F54"/>
      <c r="G54" s="81"/>
      <c r="H54"/>
    </row>
    <row r="55" spans="1:8" x14ac:dyDescent="0.3">
      <c r="A55" s="9">
        <v>38391</v>
      </c>
      <c r="B55" s="10">
        <v>32.42</v>
      </c>
      <c r="C55" s="10">
        <v>132.22999999999999</v>
      </c>
      <c r="F55"/>
      <c r="G55" s="81"/>
      <c r="H55"/>
    </row>
    <row r="56" spans="1:8" x14ac:dyDescent="0.3">
      <c r="A56" s="9">
        <v>38404</v>
      </c>
      <c r="B56" s="10">
        <v>32.5</v>
      </c>
      <c r="C56" s="10">
        <v>132.15</v>
      </c>
      <c r="F56"/>
      <c r="G56" s="81"/>
      <c r="H56"/>
    </row>
    <row r="57" spans="1:8" x14ac:dyDescent="0.3">
      <c r="A57" s="9">
        <v>38419</v>
      </c>
      <c r="B57" s="10">
        <v>32.72</v>
      </c>
      <c r="C57" s="10">
        <v>131.93</v>
      </c>
      <c r="F57"/>
      <c r="G57" s="81"/>
      <c r="H57"/>
    </row>
    <row r="58" spans="1:8" x14ac:dyDescent="0.3">
      <c r="A58" s="9">
        <v>38427</v>
      </c>
      <c r="B58" s="10">
        <v>32.75</v>
      </c>
      <c r="C58" s="10">
        <v>131.9</v>
      </c>
      <c r="F58"/>
      <c r="G58" s="81"/>
      <c r="H58"/>
    </row>
    <row r="59" spans="1:8" x14ac:dyDescent="0.3">
      <c r="A59" s="9">
        <v>38439</v>
      </c>
      <c r="B59" s="10">
        <v>33.020000000000003</v>
      </c>
      <c r="C59" s="10">
        <v>131.63</v>
      </c>
      <c r="F59"/>
      <c r="G59" s="81"/>
      <c r="H59"/>
    </row>
    <row r="60" spans="1:8" x14ac:dyDescent="0.3">
      <c r="A60" s="9">
        <v>38446</v>
      </c>
      <c r="B60" s="10">
        <v>33.08</v>
      </c>
      <c r="C60" s="10">
        <v>131.57</v>
      </c>
      <c r="F60"/>
      <c r="G60" s="81"/>
      <c r="H60"/>
    </row>
    <row r="61" spans="1:8" x14ac:dyDescent="0.3">
      <c r="A61" s="9">
        <v>38453</v>
      </c>
      <c r="B61" s="10">
        <v>33.15</v>
      </c>
      <c r="C61" s="10">
        <v>131.5</v>
      </c>
      <c r="F61"/>
      <c r="G61" s="81"/>
      <c r="H61"/>
    </row>
    <row r="62" spans="1:8" x14ac:dyDescent="0.3">
      <c r="A62" s="9">
        <v>38461</v>
      </c>
      <c r="B62" s="10">
        <v>33.369999999999997</v>
      </c>
      <c r="C62" s="10">
        <v>131.28</v>
      </c>
      <c r="F62"/>
      <c r="G62" s="81"/>
      <c r="H62"/>
    </row>
    <row r="63" spans="1:8" x14ac:dyDescent="0.3">
      <c r="A63" s="9">
        <v>38467</v>
      </c>
      <c r="B63" s="10">
        <v>33.32</v>
      </c>
      <c r="C63" s="10">
        <v>131.33000000000001</v>
      </c>
      <c r="F63"/>
      <c r="G63" s="81"/>
      <c r="H63"/>
    </row>
    <row r="64" spans="1:8" x14ac:dyDescent="0.3">
      <c r="A64" s="9">
        <v>38474</v>
      </c>
      <c r="B64" s="10">
        <v>33.299999999999997</v>
      </c>
      <c r="C64" s="10">
        <v>131.35</v>
      </c>
      <c r="F64"/>
      <c r="G64" s="81"/>
      <c r="H64"/>
    </row>
    <row r="65" spans="1:8" x14ac:dyDescent="0.3">
      <c r="A65" s="9">
        <v>38485</v>
      </c>
      <c r="B65" s="10">
        <v>33.78</v>
      </c>
      <c r="C65" s="10">
        <v>130.87</v>
      </c>
      <c r="F65"/>
      <c r="G65" s="81"/>
      <c r="H65"/>
    </row>
    <row r="66" spans="1:8" x14ac:dyDescent="0.3">
      <c r="A66" s="9">
        <v>38524</v>
      </c>
      <c r="B66" s="10">
        <v>33.74</v>
      </c>
      <c r="C66" s="10">
        <v>130.91</v>
      </c>
      <c r="F66"/>
      <c r="G66" s="81"/>
      <c r="H66"/>
    </row>
    <row r="67" spans="1:8" x14ac:dyDescent="0.3">
      <c r="A67" s="9">
        <v>38538</v>
      </c>
      <c r="B67" s="10">
        <v>33.75</v>
      </c>
      <c r="C67" s="10">
        <v>130.9</v>
      </c>
      <c r="F67"/>
      <c r="G67" s="81"/>
      <c r="H67"/>
    </row>
    <row r="68" spans="1:8" x14ac:dyDescent="0.3">
      <c r="A68" s="9">
        <v>38583</v>
      </c>
      <c r="B68" s="10">
        <v>34.06</v>
      </c>
      <c r="C68" s="10">
        <v>130.59</v>
      </c>
      <c r="F68"/>
      <c r="G68" s="81"/>
      <c r="H68"/>
    </row>
    <row r="69" spans="1:8" x14ac:dyDescent="0.3">
      <c r="A69" s="9">
        <v>38592</v>
      </c>
      <c r="B69" s="10">
        <v>34.14</v>
      </c>
      <c r="C69" s="10">
        <v>130.51</v>
      </c>
      <c r="F69"/>
      <c r="G69" s="81"/>
      <c r="H69"/>
    </row>
    <row r="70" spans="1:8" x14ac:dyDescent="0.3">
      <c r="A70" s="9">
        <v>38596</v>
      </c>
      <c r="B70" s="10">
        <v>33.880000000000003</v>
      </c>
      <c r="C70" s="10">
        <v>130.77000000000001</v>
      </c>
      <c r="F70"/>
      <c r="G70" s="81"/>
      <c r="H70"/>
    </row>
    <row r="71" spans="1:8" x14ac:dyDescent="0.3">
      <c r="A71" s="9">
        <v>38629</v>
      </c>
      <c r="B71" s="10">
        <v>33.79</v>
      </c>
      <c r="C71" s="10">
        <v>130.86000000000001</v>
      </c>
      <c r="F71"/>
      <c r="G71" s="81"/>
      <c r="H71"/>
    </row>
    <row r="72" spans="1:8" x14ac:dyDescent="0.3">
      <c r="A72" s="9">
        <v>38653</v>
      </c>
      <c r="B72" s="10">
        <v>33.72</v>
      </c>
      <c r="C72" s="10">
        <v>130.93</v>
      </c>
      <c r="F72"/>
      <c r="G72" s="81"/>
      <c r="H72"/>
    </row>
    <row r="73" spans="1:8" x14ac:dyDescent="0.3">
      <c r="A73" s="9">
        <v>38665</v>
      </c>
      <c r="B73" s="15">
        <f>(B72+B74)/2</f>
        <v>33.83</v>
      </c>
      <c r="C73" s="70">
        <v>164.65</v>
      </c>
      <c r="F73"/>
      <c r="G73" s="81"/>
      <c r="H73"/>
    </row>
    <row r="74" spans="1:8" x14ac:dyDescent="0.3">
      <c r="A74" s="9">
        <v>38687</v>
      </c>
      <c r="B74" s="10">
        <v>33.94</v>
      </c>
      <c r="C74" s="10">
        <v>130.71</v>
      </c>
      <c r="F74"/>
      <c r="G74" s="81"/>
      <c r="H74"/>
    </row>
    <row r="75" spans="1:8" x14ac:dyDescent="0.3">
      <c r="A75" s="9">
        <v>38754</v>
      </c>
      <c r="B75" s="10">
        <v>33.74</v>
      </c>
      <c r="C75" s="10">
        <v>130.91</v>
      </c>
      <c r="F75"/>
      <c r="G75" s="81"/>
      <c r="H75"/>
    </row>
    <row r="76" spans="1:8" x14ac:dyDescent="0.3">
      <c r="A76" s="9">
        <v>38779</v>
      </c>
      <c r="B76" s="10">
        <v>33.83</v>
      </c>
      <c r="C76" s="10">
        <v>130.82</v>
      </c>
      <c r="F76"/>
      <c r="G76" s="81"/>
      <c r="H76"/>
    </row>
    <row r="77" spans="1:8" x14ac:dyDescent="0.3">
      <c r="A77" s="9">
        <v>38817</v>
      </c>
      <c r="B77" s="10">
        <v>33.96</v>
      </c>
      <c r="C77" s="10">
        <v>130.69</v>
      </c>
      <c r="F77"/>
      <c r="G77" s="81"/>
      <c r="H77"/>
    </row>
    <row r="78" spans="1:8" x14ac:dyDescent="0.3">
      <c r="A78" s="9">
        <v>38825</v>
      </c>
      <c r="B78" s="10">
        <v>34.049999999999997</v>
      </c>
      <c r="C78" s="10">
        <v>130.6</v>
      </c>
      <c r="F78"/>
      <c r="G78" s="81"/>
      <c r="H78"/>
    </row>
    <row r="79" spans="1:8" x14ac:dyDescent="0.3">
      <c r="A79" s="9">
        <v>38833</v>
      </c>
      <c r="B79" s="10">
        <v>34.01</v>
      </c>
      <c r="C79" s="10">
        <v>130.63999999999999</v>
      </c>
      <c r="F79"/>
      <c r="G79" s="81"/>
      <c r="H79"/>
    </row>
    <row r="80" spans="1:8" x14ac:dyDescent="0.3">
      <c r="A80" s="9">
        <v>38844</v>
      </c>
      <c r="B80" s="10">
        <v>34.36</v>
      </c>
      <c r="C80" s="10">
        <v>130.29</v>
      </c>
      <c r="F80"/>
      <c r="G80" s="81"/>
      <c r="H80"/>
    </row>
    <row r="81" spans="1:8" x14ac:dyDescent="0.3">
      <c r="A81" s="9">
        <v>38849</v>
      </c>
      <c r="B81" s="10">
        <v>34.119999999999997</v>
      </c>
      <c r="C81" s="10">
        <v>130.53</v>
      </c>
      <c r="F81"/>
      <c r="G81" s="81"/>
      <c r="H81"/>
    </row>
    <row r="82" spans="1:8" x14ac:dyDescent="0.3">
      <c r="A82" s="9">
        <v>38855</v>
      </c>
      <c r="B82" s="10">
        <v>34.22</v>
      </c>
      <c r="C82" s="10">
        <v>130.43</v>
      </c>
      <c r="F82"/>
      <c r="G82" s="81"/>
      <c r="H82"/>
    </row>
    <row r="83" spans="1:8" x14ac:dyDescent="0.3">
      <c r="A83" s="9">
        <v>38860</v>
      </c>
      <c r="B83" s="10">
        <v>34.19</v>
      </c>
      <c r="C83" s="10">
        <v>130.46</v>
      </c>
      <c r="F83"/>
      <c r="G83" s="81"/>
      <c r="H83"/>
    </row>
    <row r="84" spans="1:8" x14ac:dyDescent="0.3">
      <c r="A84" s="9">
        <v>38909</v>
      </c>
      <c r="B84" s="10">
        <v>34.4</v>
      </c>
      <c r="C84" s="10">
        <v>130.25</v>
      </c>
      <c r="F84"/>
      <c r="G84" s="81"/>
      <c r="H84"/>
    </row>
    <row r="85" spans="1:8" x14ac:dyDescent="0.3">
      <c r="A85" s="9">
        <v>38929</v>
      </c>
      <c r="B85" s="10">
        <v>34.479999999999997</v>
      </c>
      <c r="C85" s="10">
        <v>130.16999999999999</v>
      </c>
      <c r="F85"/>
      <c r="G85" s="81"/>
      <c r="H85"/>
    </row>
    <row r="86" spans="1:8" x14ac:dyDescent="0.3">
      <c r="A86" s="9">
        <v>38960</v>
      </c>
      <c r="B86" s="10">
        <v>34.64</v>
      </c>
      <c r="C86" s="10">
        <v>130.01</v>
      </c>
      <c r="F86"/>
      <c r="G86" s="81"/>
      <c r="H86"/>
    </row>
    <row r="87" spans="1:8" x14ac:dyDescent="0.3">
      <c r="A87" s="9">
        <v>38974</v>
      </c>
      <c r="B87" s="11">
        <v>34.67</v>
      </c>
      <c r="C87" s="10">
        <v>129.97999999999999</v>
      </c>
      <c r="F87"/>
      <c r="G87" s="81"/>
      <c r="H87"/>
    </row>
    <row r="88" spans="1:8" x14ac:dyDescent="0.3">
      <c r="A88" s="9">
        <v>38999</v>
      </c>
      <c r="B88" s="11">
        <v>34.520000000000003</v>
      </c>
      <c r="C88" s="10">
        <v>130.13</v>
      </c>
      <c r="F88"/>
      <c r="G88" s="81"/>
      <c r="H88"/>
    </row>
    <row r="89" spans="1:8" x14ac:dyDescent="0.3">
      <c r="A89" s="9">
        <v>39085</v>
      </c>
      <c r="B89" s="11">
        <v>34.549999999999997</v>
      </c>
      <c r="C89" s="10">
        <v>130.1</v>
      </c>
      <c r="F89"/>
      <c r="G89" s="81"/>
      <c r="H89"/>
    </row>
    <row r="90" spans="1:8" x14ac:dyDescent="0.3">
      <c r="A90" s="9">
        <v>39107</v>
      </c>
      <c r="B90" s="11">
        <v>34.58</v>
      </c>
      <c r="C90" s="10">
        <v>130.07</v>
      </c>
      <c r="F90"/>
      <c r="G90" s="81"/>
      <c r="H90"/>
    </row>
    <row r="91" spans="1:8" x14ac:dyDescent="0.3">
      <c r="A91" s="9">
        <v>39140</v>
      </c>
      <c r="B91" s="11">
        <v>34.799999999999997</v>
      </c>
      <c r="C91" s="10">
        <v>129.85</v>
      </c>
      <c r="F91"/>
      <c r="G91" s="81"/>
      <c r="H91"/>
    </row>
    <row r="92" spans="1:8" x14ac:dyDescent="0.3">
      <c r="A92" s="9">
        <v>39184</v>
      </c>
      <c r="B92" s="11">
        <v>34.67</v>
      </c>
      <c r="C92" s="10">
        <v>129.97999999999999</v>
      </c>
      <c r="F92"/>
      <c r="G92" s="81"/>
      <c r="H92"/>
    </row>
    <row r="93" spans="1:8" x14ac:dyDescent="0.3">
      <c r="A93" s="9">
        <v>39213</v>
      </c>
      <c r="B93" s="11">
        <v>34.33</v>
      </c>
      <c r="C93" s="10">
        <v>130.32</v>
      </c>
      <c r="F93"/>
      <c r="G93" s="81"/>
      <c r="H93"/>
    </row>
    <row r="94" spans="1:8" x14ac:dyDescent="0.3">
      <c r="A94" s="9">
        <v>39231</v>
      </c>
      <c r="B94" s="11">
        <v>34.32</v>
      </c>
      <c r="C94" s="10">
        <v>130.33000000000001</v>
      </c>
      <c r="F94"/>
      <c r="G94" s="81"/>
      <c r="H94"/>
    </row>
    <row r="95" spans="1:8" x14ac:dyDescent="0.3">
      <c r="A95" s="9">
        <v>39253</v>
      </c>
      <c r="B95" s="11">
        <v>34.869999999999997</v>
      </c>
      <c r="C95" s="10">
        <v>129.78</v>
      </c>
      <c r="F95"/>
      <c r="G95" s="81"/>
      <c r="H95"/>
    </row>
    <row r="96" spans="1:8" x14ac:dyDescent="0.3">
      <c r="A96" s="9">
        <v>39346</v>
      </c>
      <c r="B96" s="10">
        <v>35.229999999999997</v>
      </c>
      <c r="C96" s="10">
        <v>129.41999999999999</v>
      </c>
      <c r="F96"/>
      <c r="G96" s="81"/>
      <c r="H96"/>
    </row>
    <row r="97" spans="1:8" x14ac:dyDescent="0.3">
      <c r="A97" s="9">
        <v>39374</v>
      </c>
      <c r="B97" s="10">
        <v>35.15</v>
      </c>
      <c r="C97" s="10">
        <v>129.5</v>
      </c>
      <c r="F97"/>
      <c r="G97" s="81"/>
      <c r="H97"/>
    </row>
    <row r="98" spans="1:8" x14ac:dyDescent="0.3">
      <c r="A98" s="9">
        <v>39471</v>
      </c>
      <c r="B98" s="10">
        <v>35.590000000000003</v>
      </c>
      <c r="C98" s="10">
        <v>129.06</v>
      </c>
      <c r="F98"/>
      <c r="G98" s="81"/>
      <c r="H98"/>
    </row>
    <row r="99" spans="1:8" x14ac:dyDescent="0.3">
      <c r="A99" s="9">
        <v>39492</v>
      </c>
      <c r="B99" s="10">
        <v>35.549999999999997</v>
      </c>
      <c r="C99" s="10">
        <v>129.1</v>
      </c>
      <c r="F99"/>
      <c r="G99" s="81"/>
      <c r="H99"/>
    </row>
    <row r="100" spans="1:8" x14ac:dyDescent="0.3">
      <c r="A100" s="9">
        <v>39507</v>
      </c>
      <c r="B100" s="10">
        <v>35.61</v>
      </c>
      <c r="C100" s="10">
        <v>129.04</v>
      </c>
      <c r="F100"/>
      <c r="G100" s="81"/>
      <c r="H100"/>
    </row>
    <row r="101" spans="1:8" x14ac:dyDescent="0.3">
      <c r="A101" s="9">
        <v>39538</v>
      </c>
      <c r="B101" s="10">
        <v>35.58</v>
      </c>
      <c r="C101" s="10">
        <v>129.07</v>
      </c>
      <c r="F101"/>
      <c r="G101" s="81"/>
      <c r="H101"/>
    </row>
    <row r="102" spans="1:8" x14ac:dyDescent="0.3">
      <c r="A102" s="9">
        <v>39612</v>
      </c>
      <c r="B102" s="10">
        <v>35.67</v>
      </c>
      <c r="C102" s="10">
        <v>128.97999999999999</v>
      </c>
      <c r="F102"/>
      <c r="G102" s="81"/>
      <c r="H102"/>
    </row>
    <row r="103" spans="1:8" x14ac:dyDescent="0.3">
      <c r="A103" s="9">
        <v>39643</v>
      </c>
      <c r="B103" s="10">
        <v>35.840000000000003</v>
      </c>
      <c r="C103" s="10">
        <v>128.81</v>
      </c>
      <c r="F103"/>
      <c r="G103" s="81"/>
      <c r="H103"/>
    </row>
    <row r="104" spans="1:8" x14ac:dyDescent="0.3">
      <c r="A104" s="9">
        <v>39714</v>
      </c>
      <c r="B104" s="10">
        <v>35.380000000000003</v>
      </c>
      <c r="C104" s="10">
        <v>129.27000000000001</v>
      </c>
      <c r="F104"/>
      <c r="G104" s="81"/>
      <c r="H104"/>
    </row>
    <row r="105" spans="1:8" x14ac:dyDescent="0.3">
      <c r="A105" s="9">
        <v>39805</v>
      </c>
      <c r="B105" s="10">
        <v>35.68</v>
      </c>
      <c r="C105" s="10">
        <v>128.97</v>
      </c>
      <c r="F105"/>
      <c r="G105" s="81"/>
      <c r="H105"/>
    </row>
    <row r="106" spans="1:8" x14ac:dyDescent="0.3">
      <c r="A106" s="9">
        <v>39847</v>
      </c>
      <c r="B106" s="10">
        <v>35.6</v>
      </c>
      <c r="C106" s="10">
        <v>129.05000000000001</v>
      </c>
      <c r="F106"/>
      <c r="G106" s="81"/>
      <c r="H106"/>
    </row>
    <row r="107" spans="1:8" x14ac:dyDescent="0.3">
      <c r="A107" s="69">
        <v>39881</v>
      </c>
      <c r="B107" s="10">
        <v>35.68</v>
      </c>
      <c r="C107" s="10">
        <v>128.97</v>
      </c>
      <c r="F107"/>
      <c r="G107" s="81"/>
      <c r="H107"/>
    </row>
    <row r="108" spans="1:8" x14ac:dyDescent="0.3">
      <c r="A108" s="69">
        <v>39939</v>
      </c>
      <c r="B108" s="10">
        <v>35.909999999999997</v>
      </c>
      <c r="C108" s="10">
        <v>128.74</v>
      </c>
      <c r="F108"/>
      <c r="G108" s="81"/>
      <c r="H108"/>
    </row>
    <row r="109" spans="1:8" x14ac:dyDescent="0.3">
      <c r="A109" s="69">
        <v>40011</v>
      </c>
      <c r="B109" s="10">
        <v>36.06</v>
      </c>
      <c r="C109" s="10">
        <v>128.59</v>
      </c>
      <c r="F109"/>
      <c r="G109" s="81"/>
      <c r="H109"/>
    </row>
    <row r="110" spans="1:8" x14ac:dyDescent="0.3">
      <c r="A110" s="69">
        <v>40049</v>
      </c>
      <c r="B110" s="10">
        <v>35.979999999999997</v>
      </c>
      <c r="C110" s="10">
        <v>128.66999999999999</v>
      </c>
      <c r="F110"/>
      <c r="G110" s="81"/>
      <c r="H110"/>
    </row>
    <row r="111" spans="1:8" x14ac:dyDescent="0.3">
      <c r="A111" s="69">
        <v>40099</v>
      </c>
      <c r="B111" s="10">
        <v>36.1</v>
      </c>
      <c r="C111" s="10">
        <v>128.55000000000001</v>
      </c>
      <c r="F111"/>
      <c r="G111" s="81"/>
      <c r="H111"/>
    </row>
    <row r="112" spans="1:8" x14ac:dyDescent="0.3">
      <c r="A112" s="69">
        <v>40176</v>
      </c>
      <c r="B112" s="10">
        <v>36.159999999999997</v>
      </c>
      <c r="C112" s="10">
        <v>128.49</v>
      </c>
      <c r="F112"/>
      <c r="G112" s="81"/>
      <c r="H112"/>
    </row>
    <row r="113" spans="1:8" x14ac:dyDescent="0.3">
      <c r="A113" s="69">
        <v>40214</v>
      </c>
      <c r="B113" s="10">
        <v>36.1</v>
      </c>
      <c r="C113" s="10">
        <v>128.55000000000001</v>
      </c>
      <c r="F113"/>
      <c r="G113" s="81"/>
      <c r="H113"/>
    </row>
    <row r="114" spans="1:8" x14ac:dyDescent="0.3">
      <c r="A114" s="69">
        <v>40235</v>
      </c>
      <c r="B114" s="10">
        <v>36.299999999999997</v>
      </c>
      <c r="C114" s="10">
        <v>128.35</v>
      </c>
      <c r="F114"/>
      <c r="G114" s="81"/>
      <c r="H114"/>
    </row>
    <row r="115" spans="1:8" x14ac:dyDescent="0.3">
      <c r="A115" s="69">
        <v>40287</v>
      </c>
      <c r="B115" s="10">
        <v>36.549999999999997</v>
      </c>
      <c r="C115" s="10">
        <v>128.1</v>
      </c>
      <c r="F115"/>
      <c r="G115" s="81"/>
      <c r="H115"/>
    </row>
    <row r="116" spans="1:8" x14ac:dyDescent="0.3">
      <c r="A116" s="69">
        <v>40305</v>
      </c>
      <c r="B116" s="10">
        <v>36.36</v>
      </c>
      <c r="C116" s="10">
        <v>128.29</v>
      </c>
      <c r="F116"/>
      <c r="G116" s="81"/>
      <c r="H116"/>
    </row>
    <row r="117" spans="1:8" x14ac:dyDescent="0.3">
      <c r="A117" s="69">
        <v>40331</v>
      </c>
      <c r="B117" s="10">
        <v>36.450000000000003</v>
      </c>
      <c r="C117" s="10">
        <v>128.19999999999999</v>
      </c>
      <c r="F117"/>
      <c r="G117" s="81"/>
      <c r="H117"/>
    </row>
    <row r="118" spans="1:8" x14ac:dyDescent="0.3">
      <c r="A118" s="69">
        <v>40394</v>
      </c>
      <c r="B118" s="10">
        <v>36</v>
      </c>
      <c r="C118" s="10">
        <v>128.65</v>
      </c>
      <c r="F118"/>
      <c r="G118" s="81"/>
      <c r="H118"/>
    </row>
    <row r="119" spans="1:8" x14ac:dyDescent="0.3">
      <c r="A119" s="69">
        <v>40417</v>
      </c>
      <c r="B119" s="10">
        <v>36.119999999999997</v>
      </c>
      <c r="C119" s="10">
        <v>128.53</v>
      </c>
      <c r="F119"/>
      <c r="G119" s="81"/>
      <c r="H119"/>
    </row>
    <row r="120" spans="1:8" x14ac:dyDescent="0.3">
      <c r="A120" s="69">
        <v>40498</v>
      </c>
      <c r="B120" s="10">
        <v>35.44</v>
      </c>
      <c r="C120" s="10">
        <v>129.21</v>
      </c>
      <c r="F120"/>
      <c r="G120" s="81"/>
      <c r="H120"/>
    </row>
    <row r="121" spans="1:8" x14ac:dyDescent="0.3">
      <c r="A121" s="69">
        <v>40575</v>
      </c>
      <c r="B121" s="10">
        <v>34.75</v>
      </c>
      <c r="C121" s="10">
        <v>129.9</v>
      </c>
      <c r="F121"/>
      <c r="G121" s="81"/>
      <c r="H121"/>
    </row>
    <row r="122" spans="1:8" x14ac:dyDescent="0.3">
      <c r="A122" s="69">
        <v>40679</v>
      </c>
      <c r="B122" s="10">
        <v>34.79</v>
      </c>
      <c r="C122" s="10">
        <v>129.86000000000001</v>
      </c>
      <c r="F122"/>
      <c r="G122" s="81"/>
      <c r="H122"/>
    </row>
    <row r="123" spans="1:8" x14ac:dyDescent="0.3">
      <c r="A123" s="69">
        <v>40745</v>
      </c>
      <c r="B123" s="10">
        <v>34.49</v>
      </c>
      <c r="C123" s="10">
        <v>130.16</v>
      </c>
      <c r="F123"/>
      <c r="G123" s="81"/>
      <c r="H123"/>
    </row>
    <row r="124" spans="1:8" x14ac:dyDescent="0.3">
      <c r="A124" s="69">
        <v>40777</v>
      </c>
      <c r="B124" s="10">
        <v>34.39</v>
      </c>
      <c r="C124" s="10">
        <v>130.26</v>
      </c>
      <c r="F124"/>
      <c r="G124" s="81"/>
      <c r="H124"/>
    </row>
    <row r="125" spans="1:8" x14ac:dyDescent="0.3">
      <c r="A125" s="69">
        <v>40800</v>
      </c>
      <c r="B125" s="10">
        <v>34.270000000000003</v>
      </c>
      <c r="C125" s="10">
        <v>130.38</v>
      </c>
      <c r="F125"/>
      <c r="G125" s="81"/>
      <c r="H125"/>
    </row>
    <row r="126" spans="1:8" x14ac:dyDescent="0.3">
      <c r="A126" s="69">
        <v>40814</v>
      </c>
      <c r="B126" s="10">
        <v>34.4</v>
      </c>
      <c r="C126" s="10">
        <v>130.25</v>
      </c>
      <c r="F126"/>
      <c r="G126" s="81"/>
      <c r="H126"/>
    </row>
    <row r="127" spans="1:8" x14ac:dyDescent="0.3">
      <c r="A127" s="69">
        <v>40834</v>
      </c>
      <c r="B127" s="10">
        <v>34.299999999999997</v>
      </c>
      <c r="C127" s="10">
        <v>130.35</v>
      </c>
      <c r="F127"/>
      <c r="G127" s="81"/>
      <c r="H127"/>
    </row>
    <row r="128" spans="1:8" x14ac:dyDescent="0.3">
      <c r="A128" s="69">
        <v>40864</v>
      </c>
      <c r="B128" s="10">
        <v>34.29</v>
      </c>
      <c r="C128" s="10">
        <v>130.36000000000001</v>
      </c>
      <c r="F128"/>
      <c r="G128" s="81"/>
      <c r="H128"/>
    </row>
    <row r="129" spans="1:8" x14ac:dyDescent="0.3">
      <c r="A129" s="69">
        <v>40911</v>
      </c>
      <c r="B129" s="10">
        <v>34.299999999999997</v>
      </c>
      <c r="C129" s="10">
        <v>130.35</v>
      </c>
      <c r="F129"/>
      <c r="G129" s="81"/>
      <c r="H129"/>
    </row>
    <row r="130" spans="1:8" x14ac:dyDescent="0.3">
      <c r="A130" s="69">
        <v>40934</v>
      </c>
      <c r="B130" s="10">
        <v>34.4</v>
      </c>
      <c r="C130" s="10">
        <v>130.25</v>
      </c>
      <c r="F130"/>
      <c r="G130" s="81"/>
      <c r="H130"/>
    </row>
    <row r="131" spans="1:8" x14ac:dyDescent="0.3">
      <c r="A131" s="69">
        <v>40963</v>
      </c>
      <c r="B131" s="10">
        <v>34.549999999999997</v>
      </c>
      <c r="C131" s="10">
        <v>130.1</v>
      </c>
      <c r="F131"/>
      <c r="G131" s="81"/>
      <c r="H131"/>
    </row>
    <row r="132" spans="1:8" x14ac:dyDescent="0.3">
      <c r="A132" s="69">
        <v>41011</v>
      </c>
      <c r="B132" s="10">
        <v>34.9</v>
      </c>
      <c r="C132" s="10">
        <v>129.75</v>
      </c>
      <c r="F132"/>
      <c r="G132" s="81"/>
      <c r="H132"/>
    </row>
    <row r="133" spans="1:8" x14ac:dyDescent="0.3">
      <c r="A133" s="69">
        <v>41072</v>
      </c>
      <c r="B133" s="10">
        <v>35.35</v>
      </c>
      <c r="C133" s="10">
        <v>129.30000000000001</v>
      </c>
      <c r="F133"/>
      <c r="G133" s="81"/>
      <c r="H133"/>
    </row>
    <row r="134" spans="1:8" x14ac:dyDescent="0.3">
      <c r="A134" s="69">
        <v>41191</v>
      </c>
      <c r="B134" s="10">
        <v>35.619999999999997</v>
      </c>
      <c r="C134" s="10">
        <v>129.03</v>
      </c>
      <c r="F134"/>
      <c r="G134" s="81"/>
      <c r="H134"/>
    </row>
    <row r="135" spans="1:8" x14ac:dyDescent="0.3">
      <c r="A135" s="69">
        <v>41228</v>
      </c>
      <c r="B135" s="10">
        <v>35.75</v>
      </c>
      <c r="C135" s="10">
        <v>128.9</v>
      </c>
      <c r="F135"/>
      <c r="G135" s="81"/>
      <c r="H135"/>
    </row>
    <row r="136" spans="1:8" x14ac:dyDescent="0.3">
      <c r="A136" s="69">
        <v>41278</v>
      </c>
      <c r="B136" s="15">
        <f>(B135+B137)/2</f>
        <v>36.125</v>
      </c>
      <c r="C136" s="70">
        <v>164.65</v>
      </c>
      <c r="F136"/>
      <c r="G136" s="81"/>
      <c r="H136"/>
    </row>
    <row r="137" spans="1:8" x14ac:dyDescent="0.3">
      <c r="A137" s="69">
        <v>41368</v>
      </c>
      <c r="B137" s="10">
        <v>36.5</v>
      </c>
      <c r="C137" s="10">
        <v>128.15</v>
      </c>
      <c r="F137"/>
      <c r="G137" s="81"/>
      <c r="H137"/>
    </row>
    <row r="138" spans="1:8" x14ac:dyDescent="0.3">
      <c r="A138" s="69">
        <v>41401</v>
      </c>
      <c r="B138" s="10">
        <v>36.79</v>
      </c>
      <c r="C138" s="10">
        <v>127.86</v>
      </c>
      <c r="F138"/>
      <c r="G138" s="81"/>
      <c r="H138"/>
    </row>
    <row r="139" spans="1:8" x14ac:dyDescent="0.3">
      <c r="A139" s="69">
        <v>41437</v>
      </c>
      <c r="B139" s="10">
        <v>36.97</v>
      </c>
      <c r="C139" s="10">
        <v>127.68</v>
      </c>
      <c r="F139"/>
      <c r="G139" s="81"/>
      <c r="H139"/>
    </row>
    <row r="140" spans="1:8" x14ac:dyDescent="0.3">
      <c r="A140" s="69">
        <v>41471</v>
      </c>
      <c r="B140" s="10">
        <v>36.99</v>
      </c>
      <c r="C140" s="10">
        <v>127.66</v>
      </c>
      <c r="F140"/>
      <c r="G140" s="81"/>
      <c r="H140"/>
    </row>
    <row r="141" spans="1:8" x14ac:dyDescent="0.3">
      <c r="A141" s="69">
        <v>41506</v>
      </c>
      <c r="B141" s="10">
        <v>37.130000000000003</v>
      </c>
      <c r="C141" s="10">
        <v>127.52</v>
      </c>
      <c r="F141"/>
      <c r="G141" s="81"/>
      <c r="H141"/>
    </row>
    <row r="142" spans="1:8" x14ac:dyDescent="0.3">
      <c r="A142" s="69">
        <v>41555</v>
      </c>
      <c r="B142" s="10">
        <v>37.18</v>
      </c>
      <c r="C142" s="10">
        <v>127.47</v>
      </c>
      <c r="F142"/>
      <c r="G142" s="81"/>
      <c r="H142"/>
    </row>
    <row r="143" spans="1:8" x14ac:dyDescent="0.3">
      <c r="A143" s="69">
        <v>41556</v>
      </c>
      <c r="B143" s="10">
        <v>37.18</v>
      </c>
      <c r="C143" s="10">
        <v>127.47</v>
      </c>
      <c r="F143"/>
      <c r="G143" s="81"/>
      <c r="H143"/>
    </row>
    <row r="144" spans="1:8" x14ac:dyDescent="0.3">
      <c r="A144" s="69">
        <v>41617</v>
      </c>
      <c r="B144" s="10">
        <v>37.15</v>
      </c>
      <c r="C144" s="10">
        <v>127.5</v>
      </c>
      <c r="F144"/>
      <c r="G144" s="81"/>
      <c r="H144"/>
    </row>
    <row r="145" spans="1:8" x14ac:dyDescent="0.3">
      <c r="A145" s="69">
        <v>41647</v>
      </c>
      <c r="B145" s="10">
        <v>37.200000000000003</v>
      </c>
      <c r="C145" s="10">
        <v>127.45</v>
      </c>
      <c r="F145"/>
      <c r="G145" s="81"/>
      <c r="H145"/>
    </row>
    <row r="146" spans="1:8" x14ac:dyDescent="0.3">
      <c r="A146" s="69">
        <v>41683</v>
      </c>
      <c r="B146" s="10">
        <v>37.24</v>
      </c>
      <c r="C146" s="10">
        <v>127.41</v>
      </c>
      <c r="F146"/>
      <c r="G146" s="81"/>
      <c r="H146"/>
    </row>
    <row r="147" spans="1:8" x14ac:dyDescent="0.3">
      <c r="A147" s="69">
        <v>41731</v>
      </c>
      <c r="B147" s="10">
        <v>37.450000000000003</v>
      </c>
      <c r="C147" s="10">
        <v>127.2</v>
      </c>
      <c r="F147"/>
      <c r="G147" s="81"/>
      <c r="H147"/>
    </row>
    <row r="148" spans="1:8" x14ac:dyDescent="0.3">
      <c r="A148" s="69">
        <v>41683</v>
      </c>
      <c r="B148" s="10">
        <v>37.24</v>
      </c>
      <c r="C148" s="10">
        <v>127.41</v>
      </c>
      <c r="F148"/>
      <c r="G148" s="81"/>
      <c r="H148"/>
    </row>
    <row r="149" spans="1:8" x14ac:dyDescent="0.3">
      <c r="A149" s="69">
        <v>41731</v>
      </c>
      <c r="B149" s="10">
        <v>37.450000000000003</v>
      </c>
      <c r="C149" s="10">
        <v>127.2</v>
      </c>
      <c r="F149"/>
      <c r="G149" s="81"/>
      <c r="H149"/>
    </row>
    <row r="150" spans="1:8" x14ac:dyDescent="0.3">
      <c r="A150" s="69">
        <v>41764</v>
      </c>
      <c r="B150" s="10">
        <v>37.54</v>
      </c>
      <c r="C150" s="10">
        <v>127.11</v>
      </c>
      <c r="F150"/>
      <c r="G150" s="81"/>
      <c r="H150"/>
    </row>
    <row r="151" spans="1:8" x14ac:dyDescent="0.3">
      <c r="A151" s="69">
        <v>41793</v>
      </c>
      <c r="B151" s="10">
        <v>37.909999999999997</v>
      </c>
      <c r="C151" s="10">
        <v>126.74</v>
      </c>
      <c r="F151"/>
      <c r="G151" s="81"/>
      <c r="H151"/>
    </row>
    <row r="152" spans="1:8" x14ac:dyDescent="0.3">
      <c r="A152" s="69">
        <v>41830</v>
      </c>
      <c r="B152" s="10">
        <v>37.74</v>
      </c>
      <c r="C152" s="10">
        <v>126.91</v>
      </c>
      <c r="F152"/>
      <c r="G152" s="81"/>
      <c r="H152"/>
    </row>
    <row r="153" spans="1:8" x14ac:dyDescent="0.3">
      <c r="A153" s="69">
        <v>41877</v>
      </c>
      <c r="B153" s="10">
        <v>37.81</v>
      </c>
      <c r="C153" s="10">
        <v>126.84</v>
      </c>
      <c r="F153"/>
      <c r="G153" s="81"/>
      <c r="H153"/>
    </row>
    <row r="154" spans="1:8" x14ac:dyDescent="0.3">
      <c r="A154" s="69">
        <v>41906</v>
      </c>
      <c r="B154" s="10">
        <v>37.950000000000003</v>
      </c>
      <c r="C154" s="10">
        <v>126.7</v>
      </c>
      <c r="F154"/>
      <c r="G154" s="81"/>
      <c r="H154"/>
    </row>
    <row r="155" spans="1:8" x14ac:dyDescent="0.3">
      <c r="A155" s="69">
        <v>41936</v>
      </c>
      <c r="B155" s="10">
        <v>37.82</v>
      </c>
      <c r="C155" s="10">
        <v>126.83</v>
      </c>
      <c r="F155"/>
      <c r="G155" s="81"/>
      <c r="H155"/>
    </row>
    <row r="156" spans="1:8" x14ac:dyDescent="0.3">
      <c r="A156" s="69">
        <v>41976</v>
      </c>
      <c r="B156" s="10">
        <v>37.770000000000003</v>
      </c>
      <c r="C156" s="10">
        <v>126.88</v>
      </c>
      <c r="F156"/>
      <c r="G156" s="81"/>
      <c r="H156"/>
    </row>
    <row r="157" spans="1:8" x14ac:dyDescent="0.3">
      <c r="A157" s="69">
        <v>42009</v>
      </c>
      <c r="B157" s="10">
        <v>37.65</v>
      </c>
      <c r="C157" s="10">
        <v>127</v>
      </c>
      <c r="F157"/>
      <c r="G157" s="81"/>
      <c r="H157"/>
    </row>
    <row r="158" spans="1:8" x14ac:dyDescent="0.3">
      <c r="A158" s="69">
        <v>42107</v>
      </c>
      <c r="B158" s="10">
        <v>38.28</v>
      </c>
      <c r="C158" s="10">
        <v>126.37</v>
      </c>
      <c r="F158"/>
      <c r="G158" s="81"/>
      <c r="H158"/>
    </row>
    <row r="159" spans="1:8" x14ac:dyDescent="0.3">
      <c r="A159" s="69">
        <v>42157</v>
      </c>
      <c r="B159" s="10">
        <v>38</v>
      </c>
      <c r="C159" s="10">
        <v>126.65</v>
      </c>
      <c r="F159"/>
      <c r="G159" s="81"/>
      <c r="H159"/>
    </row>
    <row r="160" spans="1:8" x14ac:dyDescent="0.3">
      <c r="A160" s="69">
        <v>42220</v>
      </c>
      <c r="B160" s="11">
        <v>38.24</v>
      </c>
      <c r="C160" s="10">
        <v>126.41</v>
      </c>
      <c r="F160"/>
      <c r="G160" s="81"/>
      <c r="H160"/>
    </row>
    <row r="161" spans="1:8" x14ac:dyDescent="0.3">
      <c r="A161" s="69">
        <v>42255</v>
      </c>
      <c r="B161" s="11">
        <v>38.369999999999997</v>
      </c>
      <c r="C161" s="10">
        <v>126.28</v>
      </c>
      <c r="F161"/>
      <c r="G161" s="81"/>
      <c r="H161"/>
    </row>
    <row r="162" spans="1:8" x14ac:dyDescent="0.3">
      <c r="A162" s="69">
        <v>42292</v>
      </c>
      <c r="B162" s="11">
        <v>38.340000000000003</v>
      </c>
      <c r="C162" s="10">
        <v>126.31</v>
      </c>
      <c r="F162"/>
      <c r="G162" s="81"/>
      <c r="H162"/>
    </row>
    <row r="163" spans="1:8" x14ac:dyDescent="0.3">
      <c r="A163" s="69">
        <v>42306</v>
      </c>
      <c r="B163" s="11">
        <v>38.58</v>
      </c>
      <c r="C163" s="10">
        <v>126.07</v>
      </c>
      <c r="F163"/>
      <c r="G163" s="81"/>
      <c r="H163"/>
    </row>
    <row r="164" spans="1:8" x14ac:dyDescent="0.3">
      <c r="A164" s="69">
        <v>42353</v>
      </c>
      <c r="B164" s="11">
        <v>38.54</v>
      </c>
      <c r="C164" s="10">
        <v>126.11</v>
      </c>
      <c r="F164"/>
      <c r="G164" s="81"/>
      <c r="H164"/>
    </row>
    <row r="165" spans="1:8" x14ac:dyDescent="0.3">
      <c r="A165" s="69">
        <v>42387</v>
      </c>
      <c r="B165" s="11">
        <v>38.81</v>
      </c>
      <c r="C165" s="10">
        <v>125.84</v>
      </c>
      <c r="F165"/>
      <c r="G165" s="81"/>
      <c r="H165"/>
    </row>
    <row r="166" spans="1:8" x14ac:dyDescent="0.3">
      <c r="A166" s="69">
        <v>42429</v>
      </c>
      <c r="B166" s="15">
        <f>(B165+B167)/2</f>
        <v>38.89</v>
      </c>
      <c r="C166" s="70">
        <v>164.65</v>
      </c>
      <c r="F166"/>
      <c r="G166" s="81"/>
      <c r="H166"/>
    </row>
    <row r="167" spans="1:8" x14ac:dyDescent="0.3">
      <c r="A167" s="69">
        <v>42471</v>
      </c>
      <c r="B167" s="11">
        <v>38.97</v>
      </c>
      <c r="C167" s="10">
        <v>125.68</v>
      </c>
      <c r="F167"/>
      <c r="G167" s="81"/>
      <c r="H167"/>
    </row>
    <row r="168" spans="1:8" x14ac:dyDescent="0.3">
      <c r="A168" s="69">
        <v>42557</v>
      </c>
      <c r="B168" s="11">
        <v>39.340000000000003</v>
      </c>
      <c r="C168" s="10">
        <v>125.31</v>
      </c>
      <c r="F168"/>
      <c r="G168" s="81"/>
      <c r="H168"/>
    </row>
    <row r="169" spans="1:8" x14ac:dyDescent="0.3">
      <c r="A169" s="69">
        <v>42591</v>
      </c>
      <c r="B169" s="11">
        <v>39.22</v>
      </c>
      <c r="C169" s="10">
        <v>125.43</v>
      </c>
      <c r="F169"/>
      <c r="G169" s="81"/>
      <c r="H169"/>
    </row>
    <row r="170" spans="1:8" x14ac:dyDescent="0.3">
      <c r="A170" s="69">
        <v>42774</v>
      </c>
      <c r="B170" s="11">
        <v>39.979999999999997</v>
      </c>
      <c r="C170" s="10">
        <v>124.67</v>
      </c>
      <c r="F170"/>
      <c r="G170" s="81"/>
      <c r="H170"/>
    </row>
    <row r="171" spans="1:8" x14ac:dyDescent="0.3">
      <c r="A171" s="69">
        <v>42865</v>
      </c>
      <c r="B171" s="11">
        <v>39.82</v>
      </c>
      <c r="C171" s="10">
        <v>124.83</v>
      </c>
      <c r="F171"/>
      <c r="G171" s="81"/>
      <c r="H171"/>
    </row>
    <row r="172" spans="1:8" x14ac:dyDescent="0.3">
      <c r="A172" s="69">
        <v>42887</v>
      </c>
      <c r="B172" s="11">
        <v>39.9</v>
      </c>
      <c r="C172" s="10">
        <v>124.75</v>
      </c>
      <c r="F172"/>
      <c r="G172" s="81"/>
      <c r="H172"/>
    </row>
    <row r="173" spans="1:8" x14ac:dyDescent="0.3">
      <c r="A173" s="69">
        <v>42955</v>
      </c>
      <c r="B173" s="11">
        <v>39.71</v>
      </c>
      <c r="C173" s="10">
        <v>124.94</v>
      </c>
      <c r="F173"/>
      <c r="G173" s="81"/>
      <c r="H173"/>
    </row>
    <row r="174" spans="1:8" x14ac:dyDescent="0.3">
      <c r="A174" s="69">
        <v>43011</v>
      </c>
      <c r="B174" s="11">
        <v>39.57</v>
      </c>
      <c r="C174" s="10">
        <v>125.08</v>
      </c>
      <c r="F174"/>
      <c r="G174" s="81"/>
      <c r="H174"/>
    </row>
    <row r="175" spans="1:8" x14ac:dyDescent="0.3">
      <c r="A175" s="69">
        <v>43123</v>
      </c>
      <c r="B175" s="11">
        <v>39.409999999999997</v>
      </c>
      <c r="C175" s="10">
        <v>125.24</v>
      </c>
      <c r="F175"/>
      <c r="G175" s="81"/>
      <c r="H175"/>
    </row>
    <row r="176" spans="1:8" x14ac:dyDescent="0.3">
      <c r="A176" s="69">
        <v>43558</v>
      </c>
      <c r="B176" s="11">
        <v>40.090000000000003</v>
      </c>
      <c r="C176" s="10">
        <v>124.56</v>
      </c>
      <c r="F176"/>
      <c r="G176" s="81"/>
      <c r="H176"/>
    </row>
    <row r="177" spans="1:8" x14ac:dyDescent="0.3">
      <c r="A177" s="69">
        <v>43697</v>
      </c>
      <c r="B177" s="11">
        <v>40.4</v>
      </c>
      <c r="C177" s="10">
        <v>124.25</v>
      </c>
      <c r="F177"/>
      <c r="G177" s="81"/>
      <c r="H177"/>
    </row>
    <row r="178" spans="1:8" x14ac:dyDescent="0.3">
      <c r="A178" s="69">
        <v>43921</v>
      </c>
      <c r="B178" s="11">
        <v>41.01</v>
      </c>
      <c r="C178" s="15">
        <f>(C177+C179)/2</f>
        <v>123.95</v>
      </c>
      <c r="F178"/>
      <c r="G178" s="81"/>
      <c r="H178"/>
    </row>
    <row r="179" spans="1:8" x14ac:dyDescent="0.3">
      <c r="A179" s="69">
        <v>43964</v>
      </c>
      <c r="B179" s="11">
        <v>41</v>
      </c>
      <c r="C179" s="10">
        <v>123.65</v>
      </c>
      <c r="F179"/>
      <c r="G179" s="81"/>
      <c r="H179"/>
    </row>
    <row r="180" spans="1:8" x14ac:dyDescent="0.3">
      <c r="A180" s="69">
        <v>44008</v>
      </c>
      <c r="B180" s="11">
        <v>41.47</v>
      </c>
      <c r="C180" s="15">
        <f>123.15</f>
        <v>123.15</v>
      </c>
      <c r="F180"/>
      <c r="G180" s="81"/>
      <c r="H180"/>
    </row>
    <row r="181" spans="1:8" x14ac:dyDescent="0.3">
      <c r="A181" s="69">
        <v>44440</v>
      </c>
      <c r="B181" s="11">
        <v>42.14</v>
      </c>
      <c r="C181" s="15">
        <v>122.87</v>
      </c>
      <c r="F181"/>
      <c r="G181" s="81"/>
      <c r="H181"/>
    </row>
    <row r="182" spans="1:8" x14ac:dyDescent="0.3">
      <c r="A182" s="88">
        <v>45449</v>
      </c>
      <c r="B182" s="90">
        <v>42.87</v>
      </c>
      <c r="F182"/>
      <c r="G182" s="81"/>
      <c r="H182"/>
    </row>
    <row r="183" spans="1:8" x14ac:dyDescent="0.3">
      <c r="A183" s="88">
        <v>45972</v>
      </c>
      <c r="B183" s="90">
        <v>43.72</v>
      </c>
      <c r="F183"/>
      <c r="G183" s="81"/>
      <c r="H183"/>
    </row>
    <row r="184" spans="1:8" x14ac:dyDescent="0.3">
      <c r="F184"/>
      <c r="G184" s="81"/>
      <c r="H184"/>
    </row>
    <row r="185" spans="1:8" x14ac:dyDescent="0.3">
      <c r="F185"/>
      <c r="G185" s="81"/>
      <c r="H185"/>
    </row>
    <row r="186" spans="1:8" x14ac:dyDescent="0.3">
      <c r="F186"/>
      <c r="G186" s="81"/>
      <c r="H186"/>
    </row>
    <row r="187" spans="1:8" x14ac:dyDescent="0.3">
      <c r="F187"/>
      <c r="G187" s="81"/>
      <c r="H187"/>
    </row>
    <row r="188" spans="1:8" x14ac:dyDescent="0.3">
      <c r="F188"/>
      <c r="G188" s="81"/>
      <c r="H188"/>
    </row>
    <row r="189" spans="1:8" x14ac:dyDescent="0.3">
      <c r="F189"/>
      <c r="G189" s="81"/>
      <c r="H189"/>
    </row>
    <row r="190" spans="1:8" x14ac:dyDescent="0.3">
      <c r="F190"/>
      <c r="G190" s="81"/>
      <c r="H190"/>
    </row>
    <row r="191" spans="1:8" x14ac:dyDescent="0.3">
      <c r="F191"/>
      <c r="G191" s="81"/>
      <c r="H191"/>
    </row>
    <row r="192" spans="1:8" x14ac:dyDescent="0.3">
      <c r="F192"/>
      <c r="G192" s="81"/>
      <c r="H192"/>
    </row>
    <row r="193" spans="6:8" x14ac:dyDescent="0.3">
      <c r="F193"/>
      <c r="G193" s="81"/>
      <c r="H193"/>
    </row>
    <row r="194" spans="6:8" x14ac:dyDescent="0.3">
      <c r="F194"/>
      <c r="G194" s="81"/>
      <c r="H194"/>
    </row>
    <row r="195" spans="6:8" x14ac:dyDescent="0.3">
      <c r="F195"/>
      <c r="G195" s="81"/>
      <c r="H195"/>
    </row>
    <row r="196" spans="6:8" x14ac:dyDescent="0.3">
      <c r="F196"/>
      <c r="G196" s="81"/>
      <c r="H196"/>
    </row>
    <row r="197" spans="6:8" x14ac:dyDescent="0.3">
      <c r="F197"/>
      <c r="G197" s="81"/>
      <c r="H197"/>
    </row>
    <row r="198" spans="6:8" x14ac:dyDescent="0.3">
      <c r="F198"/>
      <c r="G198" s="81"/>
      <c r="H198"/>
    </row>
    <row r="199" spans="6:8" x14ac:dyDescent="0.3">
      <c r="F199"/>
      <c r="G199" s="81"/>
      <c r="H199"/>
    </row>
    <row r="200" spans="6:8" x14ac:dyDescent="0.3">
      <c r="F200"/>
      <c r="G200" s="81"/>
      <c r="H200"/>
    </row>
    <row r="201" spans="6:8" x14ac:dyDescent="0.3">
      <c r="F201"/>
      <c r="G201" s="81"/>
      <c r="H201"/>
    </row>
    <row r="202" spans="6:8" x14ac:dyDescent="0.3">
      <c r="F202"/>
      <c r="G202" s="81"/>
      <c r="H202"/>
    </row>
    <row r="203" spans="6:8" x14ac:dyDescent="0.3">
      <c r="F203"/>
      <c r="G203" s="81"/>
      <c r="H203"/>
    </row>
    <row r="204" spans="6:8" x14ac:dyDescent="0.3">
      <c r="F204"/>
      <c r="G204" s="81"/>
      <c r="H204"/>
    </row>
    <row r="205" spans="6:8" x14ac:dyDescent="0.3">
      <c r="F205"/>
      <c r="G205" s="81"/>
      <c r="H205"/>
    </row>
    <row r="206" spans="6:8" x14ac:dyDescent="0.3">
      <c r="F206"/>
      <c r="G206" s="81"/>
      <c r="H206"/>
    </row>
    <row r="207" spans="6:8" x14ac:dyDescent="0.3">
      <c r="F207"/>
      <c r="G207" s="81"/>
      <c r="H207"/>
    </row>
    <row r="208" spans="6:8" x14ac:dyDescent="0.3">
      <c r="F208"/>
      <c r="G208" s="81"/>
      <c r="H208"/>
    </row>
    <row r="209" spans="6:8" x14ac:dyDescent="0.3">
      <c r="F209"/>
      <c r="G209" s="81"/>
      <c r="H209"/>
    </row>
    <row r="210" spans="6:8" x14ac:dyDescent="0.3">
      <c r="F210"/>
      <c r="G210" s="81"/>
      <c r="H210"/>
    </row>
    <row r="211" spans="6:8" x14ac:dyDescent="0.3">
      <c r="F211"/>
      <c r="G211" s="81"/>
      <c r="H211"/>
    </row>
    <row r="212" spans="6:8" x14ac:dyDescent="0.3">
      <c r="F212"/>
      <c r="G212" s="81"/>
      <c r="H212"/>
    </row>
    <row r="213" spans="6:8" x14ac:dyDescent="0.3">
      <c r="F213"/>
      <c r="G213" s="81"/>
      <c r="H213"/>
    </row>
    <row r="214" spans="6:8" x14ac:dyDescent="0.3">
      <c r="F214"/>
      <c r="G214" s="81"/>
      <c r="H214"/>
    </row>
    <row r="215" spans="6:8" x14ac:dyDescent="0.3">
      <c r="F215"/>
      <c r="G215" s="81"/>
      <c r="H215"/>
    </row>
    <row r="216" spans="6:8" x14ac:dyDescent="0.3">
      <c r="F216"/>
      <c r="G216" s="81"/>
      <c r="H216"/>
    </row>
    <row r="217" spans="6:8" x14ac:dyDescent="0.3">
      <c r="F217"/>
      <c r="G217" s="81"/>
      <c r="H217"/>
    </row>
    <row r="218" spans="6:8" x14ac:dyDescent="0.3">
      <c r="F218"/>
      <c r="G218" s="81"/>
      <c r="H218"/>
    </row>
    <row r="219" spans="6:8" x14ac:dyDescent="0.3">
      <c r="F219"/>
      <c r="G219" s="81"/>
      <c r="H219"/>
    </row>
    <row r="220" spans="6:8" x14ac:dyDescent="0.3">
      <c r="F220"/>
      <c r="G220" s="81"/>
      <c r="H220"/>
    </row>
    <row r="221" spans="6:8" x14ac:dyDescent="0.3">
      <c r="F221"/>
      <c r="G221" s="81"/>
      <c r="H221"/>
    </row>
    <row r="222" spans="6:8" x14ac:dyDescent="0.3">
      <c r="F222"/>
      <c r="G222" s="81"/>
      <c r="H222"/>
    </row>
    <row r="223" spans="6:8" x14ac:dyDescent="0.3">
      <c r="F223"/>
      <c r="G223" s="81"/>
      <c r="H223"/>
    </row>
    <row r="224" spans="6:8" x14ac:dyDescent="0.3">
      <c r="F224"/>
      <c r="G224" s="81"/>
      <c r="H224"/>
    </row>
    <row r="225" spans="6:8" x14ac:dyDescent="0.3">
      <c r="F225"/>
      <c r="G225" s="81"/>
      <c r="H225"/>
    </row>
    <row r="226" spans="6:8" x14ac:dyDescent="0.3">
      <c r="F226"/>
      <c r="G226" s="81"/>
      <c r="H226"/>
    </row>
    <row r="227" spans="6:8" x14ac:dyDescent="0.3">
      <c r="F227"/>
      <c r="G227" s="81"/>
      <c r="H227"/>
    </row>
    <row r="228" spans="6:8" x14ac:dyDescent="0.3">
      <c r="F228"/>
      <c r="G228" s="81"/>
      <c r="H228"/>
    </row>
    <row r="229" spans="6:8" x14ac:dyDescent="0.3">
      <c r="F229"/>
      <c r="G229" s="81"/>
      <c r="H229"/>
    </row>
    <row r="230" spans="6:8" x14ac:dyDescent="0.3">
      <c r="F230"/>
      <c r="G230" s="81"/>
      <c r="H230"/>
    </row>
    <row r="231" spans="6:8" x14ac:dyDescent="0.3">
      <c r="F231"/>
      <c r="G231" s="81"/>
      <c r="H231"/>
    </row>
    <row r="232" spans="6:8" x14ac:dyDescent="0.3">
      <c r="F232"/>
      <c r="G232" s="81"/>
      <c r="H232"/>
    </row>
    <row r="233" spans="6:8" x14ac:dyDescent="0.3">
      <c r="F233"/>
      <c r="G233" s="81"/>
      <c r="H233"/>
    </row>
    <row r="234" spans="6:8" x14ac:dyDescent="0.3">
      <c r="F234"/>
      <c r="G234" s="81"/>
      <c r="H234"/>
    </row>
    <row r="235" spans="6:8" x14ac:dyDescent="0.3">
      <c r="F235"/>
      <c r="G235" s="81"/>
      <c r="H235"/>
    </row>
    <row r="236" spans="6:8" x14ac:dyDescent="0.3">
      <c r="F236"/>
      <c r="G236" s="81"/>
      <c r="H236"/>
    </row>
    <row r="237" spans="6:8" x14ac:dyDescent="0.3">
      <c r="F237"/>
      <c r="G237" s="81"/>
      <c r="H237"/>
    </row>
    <row r="238" spans="6:8" x14ac:dyDescent="0.3">
      <c r="F238"/>
      <c r="G238" s="81"/>
      <c r="H238"/>
    </row>
    <row r="239" spans="6:8" x14ac:dyDescent="0.3">
      <c r="F239"/>
      <c r="G239" s="81"/>
      <c r="H239"/>
    </row>
    <row r="240" spans="6:8" x14ac:dyDescent="0.3">
      <c r="F240"/>
      <c r="G240" s="81"/>
      <c r="H240"/>
    </row>
    <row r="241" spans="6:8" x14ac:dyDescent="0.3">
      <c r="F241"/>
      <c r="G241" s="81"/>
      <c r="H241"/>
    </row>
    <row r="242" spans="6:8" x14ac:dyDescent="0.3">
      <c r="F242"/>
      <c r="G242" s="81"/>
      <c r="H242"/>
    </row>
    <row r="243" spans="6:8" x14ac:dyDescent="0.3">
      <c r="F243"/>
      <c r="G243" s="81"/>
      <c r="H243"/>
    </row>
    <row r="244" spans="6:8" x14ac:dyDescent="0.3">
      <c r="F244"/>
      <c r="G244" s="81"/>
      <c r="H244"/>
    </row>
    <row r="245" spans="6:8" x14ac:dyDescent="0.3">
      <c r="F245"/>
      <c r="G245" s="81"/>
      <c r="H245"/>
    </row>
    <row r="246" spans="6:8" x14ac:dyDescent="0.3">
      <c r="F246"/>
      <c r="G246" s="81"/>
      <c r="H246"/>
    </row>
    <row r="247" spans="6:8" x14ac:dyDescent="0.3">
      <c r="F247"/>
      <c r="G247" s="81"/>
      <c r="H247"/>
    </row>
    <row r="248" spans="6:8" x14ac:dyDescent="0.3">
      <c r="F248"/>
      <c r="G248" s="81"/>
      <c r="H248"/>
    </row>
    <row r="249" spans="6:8" x14ac:dyDescent="0.3">
      <c r="F249"/>
      <c r="G249" s="81"/>
      <c r="H249"/>
    </row>
    <row r="250" spans="6:8" x14ac:dyDescent="0.3">
      <c r="F250"/>
      <c r="G250" s="81"/>
      <c r="H250"/>
    </row>
    <row r="251" spans="6:8" x14ac:dyDescent="0.3">
      <c r="F251"/>
      <c r="G251" s="81"/>
      <c r="H251"/>
    </row>
    <row r="252" spans="6:8" x14ac:dyDescent="0.3">
      <c r="F252"/>
      <c r="G252" s="81"/>
      <c r="H252"/>
    </row>
    <row r="253" spans="6:8" x14ac:dyDescent="0.3">
      <c r="F253"/>
      <c r="G253" s="81"/>
      <c r="H253"/>
    </row>
    <row r="254" spans="6:8" x14ac:dyDescent="0.3">
      <c r="F254"/>
      <c r="G254" s="81"/>
      <c r="H254"/>
    </row>
    <row r="255" spans="6:8" x14ac:dyDescent="0.3">
      <c r="F255"/>
      <c r="G255" s="81"/>
      <c r="H255"/>
    </row>
    <row r="256" spans="6:8" x14ac:dyDescent="0.3">
      <c r="F256"/>
      <c r="G256" s="81"/>
      <c r="H256"/>
    </row>
    <row r="257" spans="6:8" x14ac:dyDescent="0.3">
      <c r="F257"/>
      <c r="G257" s="81"/>
      <c r="H257"/>
    </row>
    <row r="258" spans="6:8" x14ac:dyDescent="0.3">
      <c r="F258"/>
      <c r="G258" s="81"/>
      <c r="H258"/>
    </row>
    <row r="259" spans="6:8" x14ac:dyDescent="0.3">
      <c r="F259"/>
      <c r="G259" s="81"/>
      <c r="H259"/>
    </row>
    <row r="260" spans="6:8" x14ac:dyDescent="0.3">
      <c r="F260"/>
      <c r="G260" s="81"/>
      <c r="H260"/>
    </row>
    <row r="261" spans="6:8" x14ac:dyDescent="0.3">
      <c r="F261"/>
      <c r="G261" s="81"/>
      <c r="H261"/>
    </row>
    <row r="262" spans="6:8" x14ac:dyDescent="0.3">
      <c r="F262"/>
      <c r="G262" s="81"/>
      <c r="H262"/>
    </row>
    <row r="263" spans="6:8" x14ac:dyDescent="0.3">
      <c r="F263"/>
      <c r="G263" s="81"/>
      <c r="H263"/>
    </row>
    <row r="264" spans="6:8" x14ac:dyDescent="0.3">
      <c r="F264"/>
      <c r="G264" s="81"/>
      <c r="H264"/>
    </row>
    <row r="265" spans="6:8" x14ac:dyDescent="0.3">
      <c r="F265"/>
      <c r="G265" s="81"/>
      <c r="H265"/>
    </row>
    <row r="266" spans="6:8" x14ac:dyDescent="0.3">
      <c r="F266"/>
      <c r="G266" s="81"/>
      <c r="H266"/>
    </row>
    <row r="267" spans="6:8" x14ac:dyDescent="0.3">
      <c r="F267"/>
      <c r="G267" s="81"/>
      <c r="H267"/>
    </row>
    <row r="268" spans="6:8" x14ac:dyDescent="0.3">
      <c r="F268"/>
      <c r="G268" s="81"/>
      <c r="H268"/>
    </row>
    <row r="269" spans="6:8" x14ac:dyDescent="0.3">
      <c r="F269"/>
      <c r="G269" s="81"/>
      <c r="H269"/>
    </row>
    <row r="270" spans="6:8" x14ac:dyDescent="0.3">
      <c r="F270"/>
      <c r="G270" s="81"/>
      <c r="H270"/>
    </row>
    <row r="271" spans="6:8" x14ac:dyDescent="0.3">
      <c r="F271"/>
      <c r="G271" s="81"/>
      <c r="H271"/>
    </row>
    <row r="272" spans="6:8" x14ac:dyDescent="0.3">
      <c r="F272"/>
      <c r="G272" s="81"/>
      <c r="H272"/>
    </row>
    <row r="273" spans="6:8" x14ac:dyDescent="0.3">
      <c r="F273"/>
      <c r="G273" s="81"/>
      <c r="H273"/>
    </row>
    <row r="274" spans="6:8" x14ac:dyDescent="0.3">
      <c r="F274"/>
      <c r="G274" s="81"/>
      <c r="H274"/>
    </row>
    <row r="275" spans="6:8" x14ac:dyDescent="0.3">
      <c r="F275"/>
      <c r="G275" s="81"/>
      <c r="H275"/>
    </row>
    <row r="276" spans="6:8" x14ac:dyDescent="0.3">
      <c r="F276"/>
      <c r="G276" s="81"/>
      <c r="H276"/>
    </row>
    <row r="277" spans="6:8" x14ac:dyDescent="0.3">
      <c r="F277"/>
      <c r="G277" s="81"/>
      <c r="H277"/>
    </row>
    <row r="278" spans="6:8" x14ac:dyDescent="0.3">
      <c r="F278"/>
      <c r="G278" s="81"/>
      <c r="H278"/>
    </row>
    <row r="279" spans="6:8" x14ac:dyDescent="0.3">
      <c r="F279"/>
      <c r="G279" s="81"/>
      <c r="H279"/>
    </row>
    <row r="280" spans="6:8" x14ac:dyDescent="0.3">
      <c r="F280"/>
      <c r="G280" s="81"/>
      <c r="H280"/>
    </row>
    <row r="281" spans="6:8" x14ac:dyDescent="0.3">
      <c r="F281"/>
      <c r="G281" s="81"/>
      <c r="H281"/>
    </row>
    <row r="282" spans="6:8" x14ac:dyDescent="0.3">
      <c r="F282"/>
      <c r="G282" s="81"/>
      <c r="H282"/>
    </row>
    <row r="283" spans="6:8" x14ac:dyDescent="0.3">
      <c r="F283"/>
      <c r="G283" s="81"/>
      <c r="H283"/>
    </row>
    <row r="284" spans="6:8" x14ac:dyDescent="0.3">
      <c r="F284"/>
      <c r="G284" s="81"/>
      <c r="H284"/>
    </row>
    <row r="285" spans="6:8" x14ac:dyDescent="0.3">
      <c r="F285"/>
      <c r="G285" s="81"/>
      <c r="H285"/>
    </row>
    <row r="286" spans="6:8" x14ac:dyDescent="0.3">
      <c r="F286"/>
      <c r="G286" s="81"/>
      <c r="H286"/>
    </row>
    <row r="287" spans="6:8" x14ac:dyDescent="0.3">
      <c r="F287"/>
      <c r="G287" s="81"/>
      <c r="H287"/>
    </row>
    <row r="288" spans="6:8" x14ac:dyDescent="0.3">
      <c r="F288"/>
      <c r="G288" s="81"/>
      <c r="H288"/>
    </row>
    <row r="289" spans="6:8" x14ac:dyDescent="0.3">
      <c r="F289"/>
      <c r="G289" s="81"/>
      <c r="H289"/>
    </row>
    <row r="290" spans="6:8" x14ac:dyDescent="0.3">
      <c r="F290"/>
      <c r="G290" s="81"/>
      <c r="H290"/>
    </row>
    <row r="291" spans="6:8" x14ac:dyDescent="0.3">
      <c r="F291"/>
      <c r="G291" s="81"/>
      <c r="H291"/>
    </row>
    <row r="292" spans="6:8" x14ac:dyDescent="0.3">
      <c r="F292"/>
      <c r="G292" s="81"/>
      <c r="H292"/>
    </row>
    <row r="293" spans="6:8" x14ac:dyDescent="0.3">
      <c r="F293"/>
      <c r="G293" s="81"/>
      <c r="H293"/>
    </row>
    <row r="294" spans="6:8" x14ac:dyDescent="0.3">
      <c r="F294"/>
      <c r="G294" s="81"/>
      <c r="H294"/>
    </row>
    <row r="295" spans="6:8" x14ac:dyDescent="0.3">
      <c r="F295"/>
      <c r="G295" s="81"/>
      <c r="H295"/>
    </row>
    <row r="296" spans="6:8" x14ac:dyDescent="0.3">
      <c r="F296"/>
      <c r="G296" s="81"/>
      <c r="H296"/>
    </row>
    <row r="297" spans="6:8" x14ac:dyDescent="0.3">
      <c r="F297"/>
      <c r="G297" s="81"/>
      <c r="H297"/>
    </row>
    <row r="298" spans="6:8" x14ac:dyDescent="0.3">
      <c r="F298"/>
      <c r="G298" s="81"/>
      <c r="H298"/>
    </row>
    <row r="299" spans="6:8" x14ac:dyDescent="0.3">
      <c r="F299"/>
      <c r="G299" s="81"/>
      <c r="H299"/>
    </row>
    <row r="300" spans="6:8" x14ac:dyDescent="0.3">
      <c r="F300"/>
      <c r="G300" s="81"/>
      <c r="H300"/>
    </row>
    <row r="301" spans="6:8" x14ac:dyDescent="0.3">
      <c r="F301"/>
      <c r="G301" s="81"/>
      <c r="H301"/>
    </row>
    <row r="302" spans="6:8" x14ac:dyDescent="0.3">
      <c r="F302"/>
      <c r="G302" s="81"/>
      <c r="H302"/>
    </row>
    <row r="303" spans="6:8" x14ac:dyDescent="0.3">
      <c r="F303"/>
      <c r="G303" s="81"/>
      <c r="H303"/>
    </row>
    <row r="304" spans="6:8" x14ac:dyDescent="0.3">
      <c r="F304"/>
      <c r="G304" s="81"/>
      <c r="H304"/>
    </row>
    <row r="305" spans="6:8" x14ac:dyDescent="0.3">
      <c r="F305"/>
      <c r="G305" s="81"/>
      <c r="H305"/>
    </row>
    <row r="306" spans="6:8" x14ac:dyDescent="0.3">
      <c r="F306"/>
      <c r="G306" s="81"/>
      <c r="H306"/>
    </row>
    <row r="307" spans="6:8" x14ac:dyDescent="0.3">
      <c r="F307"/>
      <c r="G307" s="81"/>
      <c r="H307"/>
    </row>
    <row r="308" spans="6:8" x14ac:dyDescent="0.3">
      <c r="F308"/>
      <c r="G308" s="81"/>
      <c r="H308"/>
    </row>
    <row r="309" spans="6:8" x14ac:dyDescent="0.3">
      <c r="F309"/>
      <c r="G309" s="81"/>
      <c r="H309"/>
    </row>
    <row r="310" spans="6:8" x14ac:dyDescent="0.3">
      <c r="F310"/>
      <c r="G310" s="81"/>
      <c r="H310"/>
    </row>
    <row r="311" spans="6:8" x14ac:dyDescent="0.3">
      <c r="F311"/>
      <c r="G311" s="81"/>
      <c r="H311"/>
    </row>
    <row r="312" spans="6:8" x14ac:dyDescent="0.3">
      <c r="F312"/>
      <c r="G312" s="81"/>
      <c r="H312"/>
    </row>
    <row r="313" spans="6:8" x14ac:dyDescent="0.3">
      <c r="F313"/>
      <c r="G313" s="81"/>
      <c r="H313"/>
    </row>
    <row r="314" spans="6:8" x14ac:dyDescent="0.3">
      <c r="F314"/>
      <c r="G314" s="81"/>
      <c r="H314"/>
    </row>
    <row r="315" spans="6:8" x14ac:dyDescent="0.3">
      <c r="F315"/>
      <c r="G315" s="81"/>
      <c r="H315"/>
    </row>
    <row r="316" spans="6:8" x14ac:dyDescent="0.3">
      <c r="F316"/>
      <c r="G316" s="81"/>
      <c r="H316"/>
    </row>
    <row r="317" spans="6:8" x14ac:dyDescent="0.3">
      <c r="F317"/>
      <c r="G317" s="81"/>
      <c r="H317"/>
    </row>
    <row r="318" spans="6:8" x14ac:dyDescent="0.3">
      <c r="F318"/>
      <c r="G318" s="81"/>
      <c r="H318"/>
    </row>
    <row r="319" spans="6:8" x14ac:dyDescent="0.3">
      <c r="F319"/>
      <c r="G319" s="81"/>
      <c r="H319"/>
    </row>
    <row r="320" spans="6:8" x14ac:dyDescent="0.3">
      <c r="F320"/>
      <c r="G320" s="81"/>
      <c r="H320"/>
    </row>
    <row r="321" spans="6:8" x14ac:dyDescent="0.3">
      <c r="F321"/>
      <c r="G321" s="81"/>
      <c r="H321"/>
    </row>
    <row r="322" spans="6:8" x14ac:dyDescent="0.3">
      <c r="F322"/>
      <c r="G322" s="81"/>
      <c r="H322"/>
    </row>
    <row r="323" spans="6:8" x14ac:dyDescent="0.3">
      <c r="F323"/>
      <c r="G323" s="81"/>
      <c r="H323"/>
    </row>
    <row r="324" spans="6:8" x14ac:dyDescent="0.3">
      <c r="F324"/>
      <c r="G324" s="81"/>
      <c r="H324"/>
    </row>
    <row r="325" spans="6:8" x14ac:dyDescent="0.3">
      <c r="F325"/>
      <c r="G325" s="81"/>
      <c r="H325"/>
    </row>
    <row r="326" spans="6:8" x14ac:dyDescent="0.3">
      <c r="F326"/>
      <c r="G326" s="81"/>
      <c r="H326"/>
    </row>
    <row r="327" spans="6:8" x14ac:dyDescent="0.3">
      <c r="F327"/>
      <c r="G327" s="81"/>
      <c r="H327"/>
    </row>
    <row r="328" spans="6:8" x14ac:dyDescent="0.3">
      <c r="F328"/>
      <c r="G328" s="81"/>
      <c r="H328"/>
    </row>
    <row r="329" spans="6:8" x14ac:dyDescent="0.3">
      <c r="F329"/>
      <c r="G329" s="81"/>
      <c r="H329"/>
    </row>
    <row r="330" spans="6:8" x14ac:dyDescent="0.3">
      <c r="F330"/>
      <c r="G330" s="81"/>
      <c r="H330"/>
    </row>
    <row r="331" spans="6:8" x14ac:dyDescent="0.3">
      <c r="F331"/>
      <c r="G331" s="81"/>
      <c r="H331"/>
    </row>
    <row r="332" spans="6:8" x14ac:dyDescent="0.3">
      <c r="F332"/>
      <c r="G332" s="81"/>
      <c r="H332"/>
    </row>
    <row r="333" spans="6:8" x14ac:dyDescent="0.3">
      <c r="F333"/>
      <c r="G333" s="81"/>
      <c r="H333"/>
    </row>
    <row r="334" spans="6:8" x14ac:dyDescent="0.3">
      <c r="F334"/>
      <c r="G334" s="81"/>
      <c r="H334"/>
    </row>
    <row r="335" spans="6:8" x14ac:dyDescent="0.3">
      <c r="F335"/>
      <c r="G335" s="81"/>
      <c r="H335"/>
    </row>
    <row r="336" spans="6:8" x14ac:dyDescent="0.3">
      <c r="F336"/>
      <c r="G336" s="81"/>
      <c r="H336"/>
    </row>
    <row r="337" spans="6:8" x14ac:dyDescent="0.3">
      <c r="F337"/>
      <c r="G337" s="81"/>
      <c r="H337"/>
    </row>
    <row r="338" spans="6:8" x14ac:dyDescent="0.3">
      <c r="F338"/>
      <c r="G338" s="81"/>
      <c r="H338"/>
    </row>
    <row r="339" spans="6:8" x14ac:dyDescent="0.3">
      <c r="F339"/>
      <c r="G339" s="81"/>
      <c r="H339"/>
    </row>
    <row r="340" spans="6:8" x14ac:dyDescent="0.3">
      <c r="F340"/>
      <c r="G340" s="81"/>
      <c r="H340"/>
    </row>
    <row r="341" spans="6:8" x14ac:dyDescent="0.3">
      <c r="F341"/>
      <c r="G341" s="81"/>
      <c r="H341"/>
    </row>
    <row r="342" spans="6:8" x14ac:dyDescent="0.3">
      <c r="F342"/>
      <c r="G342" s="81"/>
      <c r="H342"/>
    </row>
    <row r="343" spans="6:8" x14ac:dyDescent="0.3">
      <c r="F343"/>
      <c r="G343" s="81"/>
      <c r="H343"/>
    </row>
    <row r="344" spans="6:8" x14ac:dyDescent="0.3">
      <c r="F344"/>
      <c r="G344" s="81"/>
      <c r="H344"/>
    </row>
    <row r="345" spans="6:8" x14ac:dyDescent="0.3">
      <c r="F345"/>
      <c r="G345" s="81"/>
      <c r="H345"/>
    </row>
    <row r="346" spans="6:8" x14ac:dyDescent="0.3">
      <c r="F346"/>
      <c r="G346" s="81"/>
      <c r="H346"/>
    </row>
    <row r="347" spans="6:8" x14ac:dyDescent="0.3">
      <c r="F347"/>
      <c r="G347" s="81"/>
      <c r="H347"/>
    </row>
    <row r="348" spans="6:8" x14ac:dyDescent="0.3">
      <c r="F348"/>
      <c r="G348" s="81"/>
      <c r="H348"/>
    </row>
    <row r="349" spans="6:8" x14ac:dyDescent="0.3">
      <c r="F349"/>
      <c r="G349" s="81"/>
      <c r="H349"/>
    </row>
    <row r="350" spans="6:8" x14ac:dyDescent="0.3">
      <c r="F350"/>
      <c r="G350" s="81"/>
      <c r="H350"/>
    </row>
    <row r="351" spans="6:8" x14ac:dyDescent="0.3">
      <c r="F351"/>
      <c r="G351" s="81"/>
      <c r="H351"/>
    </row>
    <row r="352" spans="6:8" x14ac:dyDescent="0.3">
      <c r="F352"/>
      <c r="G352" s="81"/>
      <c r="H352"/>
    </row>
    <row r="353" spans="6:8" x14ac:dyDescent="0.3">
      <c r="F353"/>
      <c r="G353" s="81"/>
      <c r="H353"/>
    </row>
    <row r="354" spans="6:8" x14ac:dyDescent="0.3">
      <c r="F354"/>
      <c r="G354" s="81"/>
      <c r="H354"/>
    </row>
    <row r="355" spans="6:8" x14ac:dyDescent="0.3">
      <c r="F355"/>
      <c r="G355" s="81"/>
      <c r="H355"/>
    </row>
    <row r="356" spans="6:8" x14ac:dyDescent="0.3">
      <c r="F356"/>
      <c r="G356" s="81"/>
      <c r="H356"/>
    </row>
    <row r="357" spans="6:8" x14ac:dyDescent="0.3">
      <c r="F357"/>
      <c r="G357" s="81"/>
      <c r="H357"/>
    </row>
    <row r="358" spans="6:8" x14ac:dyDescent="0.3">
      <c r="F358"/>
      <c r="G358" s="81"/>
      <c r="H358"/>
    </row>
    <row r="359" spans="6:8" x14ac:dyDescent="0.3">
      <c r="F359"/>
      <c r="G359" s="81"/>
      <c r="H359"/>
    </row>
    <row r="360" spans="6:8" x14ac:dyDescent="0.3">
      <c r="F360"/>
      <c r="G360" s="81"/>
      <c r="H360"/>
    </row>
    <row r="361" spans="6:8" x14ac:dyDescent="0.3">
      <c r="F361"/>
      <c r="G361" s="81"/>
      <c r="H361"/>
    </row>
    <row r="362" spans="6:8" x14ac:dyDescent="0.3">
      <c r="F362"/>
      <c r="G362" s="81"/>
      <c r="H362"/>
    </row>
    <row r="363" spans="6:8" x14ac:dyDescent="0.3">
      <c r="F363"/>
      <c r="G363" s="81"/>
      <c r="H363"/>
    </row>
    <row r="364" spans="6:8" x14ac:dyDescent="0.3">
      <c r="F364"/>
      <c r="G364" s="81"/>
      <c r="H364"/>
    </row>
    <row r="365" spans="6:8" x14ac:dyDescent="0.3">
      <c r="F365"/>
      <c r="G365" s="81"/>
      <c r="H365"/>
    </row>
    <row r="366" spans="6:8" x14ac:dyDescent="0.3">
      <c r="F366"/>
      <c r="G366" s="81"/>
      <c r="H366"/>
    </row>
    <row r="367" spans="6:8" x14ac:dyDescent="0.3">
      <c r="F367"/>
      <c r="G367" s="81"/>
      <c r="H367"/>
    </row>
    <row r="368" spans="6:8" x14ac:dyDescent="0.3">
      <c r="F368"/>
      <c r="G368" s="81"/>
      <c r="H368"/>
    </row>
    <row r="369" spans="6:8" x14ac:dyDescent="0.3">
      <c r="F369"/>
      <c r="G369" s="81"/>
      <c r="H369"/>
    </row>
    <row r="370" spans="6:8" x14ac:dyDescent="0.3">
      <c r="F370"/>
      <c r="G370" s="81"/>
      <c r="H370"/>
    </row>
    <row r="371" spans="6:8" x14ac:dyDescent="0.3">
      <c r="F371"/>
      <c r="G371" s="81"/>
      <c r="H371"/>
    </row>
    <row r="372" spans="6:8" x14ac:dyDescent="0.3">
      <c r="F372"/>
      <c r="G372" s="81"/>
      <c r="H372"/>
    </row>
    <row r="373" spans="6:8" x14ac:dyDescent="0.3">
      <c r="F373"/>
      <c r="G373" s="81"/>
      <c r="H373"/>
    </row>
    <row r="374" spans="6:8" x14ac:dyDescent="0.3">
      <c r="F374"/>
      <c r="G374" s="81"/>
      <c r="H374"/>
    </row>
    <row r="375" spans="6:8" x14ac:dyDescent="0.3">
      <c r="F375"/>
      <c r="G375" s="81"/>
      <c r="H375"/>
    </row>
    <row r="376" spans="6:8" x14ac:dyDescent="0.3">
      <c r="F376"/>
      <c r="G376" s="81"/>
      <c r="H376"/>
    </row>
    <row r="377" spans="6:8" x14ac:dyDescent="0.3">
      <c r="F377"/>
      <c r="G377" s="81"/>
      <c r="H377"/>
    </row>
    <row r="378" spans="6:8" x14ac:dyDescent="0.3">
      <c r="F378"/>
      <c r="G378" s="81"/>
      <c r="H378"/>
    </row>
    <row r="379" spans="6:8" x14ac:dyDescent="0.3">
      <c r="F379"/>
      <c r="G379" s="81"/>
      <c r="H379"/>
    </row>
    <row r="380" spans="6:8" x14ac:dyDescent="0.3">
      <c r="F380"/>
      <c r="G380" s="81"/>
      <c r="H380"/>
    </row>
    <row r="381" spans="6:8" x14ac:dyDescent="0.3">
      <c r="F381"/>
      <c r="G381" s="81"/>
      <c r="H381"/>
    </row>
    <row r="382" spans="6:8" x14ac:dyDescent="0.3">
      <c r="F382"/>
      <c r="G382" s="81"/>
      <c r="H382"/>
    </row>
    <row r="383" spans="6:8" x14ac:dyDescent="0.3">
      <c r="F383"/>
      <c r="G383" s="81"/>
      <c r="H383"/>
    </row>
    <row r="384" spans="6:8" x14ac:dyDescent="0.3">
      <c r="F384"/>
      <c r="G384" s="81"/>
      <c r="H384"/>
    </row>
    <row r="385" spans="6:8" x14ac:dyDescent="0.3">
      <c r="F385"/>
      <c r="G385" s="81"/>
      <c r="H385"/>
    </row>
    <row r="386" spans="6:8" x14ac:dyDescent="0.3">
      <c r="F386"/>
      <c r="G386" s="81"/>
      <c r="H386"/>
    </row>
    <row r="387" spans="6:8" x14ac:dyDescent="0.3">
      <c r="F387"/>
      <c r="G387" s="81"/>
      <c r="H387"/>
    </row>
    <row r="388" spans="6:8" x14ac:dyDescent="0.3">
      <c r="F388"/>
      <c r="G388" s="81"/>
      <c r="H388"/>
    </row>
    <row r="389" spans="6:8" x14ac:dyDescent="0.3">
      <c r="F389"/>
      <c r="G389" s="81"/>
      <c r="H389"/>
    </row>
    <row r="390" spans="6:8" x14ac:dyDescent="0.3">
      <c r="F390"/>
      <c r="G390" s="81"/>
      <c r="H390"/>
    </row>
    <row r="391" spans="6:8" x14ac:dyDescent="0.3">
      <c r="F391"/>
      <c r="G391" s="81"/>
      <c r="H391"/>
    </row>
    <row r="392" spans="6:8" x14ac:dyDescent="0.3">
      <c r="F392"/>
      <c r="G392" s="81"/>
      <c r="H392"/>
    </row>
    <row r="393" spans="6:8" x14ac:dyDescent="0.3">
      <c r="F393"/>
      <c r="G393" s="81"/>
      <c r="H393"/>
    </row>
    <row r="394" spans="6:8" x14ac:dyDescent="0.3">
      <c r="F394"/>
      <c r="G394" s="81"/>
      <c r="H394"/>
    </row>
    <row r="395" spans="6:8" x14ac:dyDescent="0.3">
      <c r="F395"/>
      <c r="G395" s="81"/>
      <c r="H395"/>
    </row>
    <row r="396" spans="6:8" x14ac:dyDescent="0.3">
      <c r="F396"/>
      <c r="G396" s="81"/>
      <c r="H396"/>
    </row>
    <row r="397" spans="6:8" x14ac:dyDescent="0.3">
      <c r="F397"/>
      <c r="G397" s="81"/>
      <c r="H397"/>
    </row>
    <row r="398" spans="6:8" x14ac:dyDescent="0.3">
      <c r="F398"/>
      <c r="G398" s="81"/>
      <c r="H398"/>
    </row>
    <row r="399" spans="6:8" x14ac:dyDescent="0.3">
      <c r="F399"/>
      <c r="G399" s="81"/>
      <c r="H399"/>
    </row>
    <row r="400" spans="6:8" x14ac:dyDescent="0.3">
      <c r="F400"/>
      <c r="G400" s="81"/>
      <c r="H400"/>
    </row>
    <row r="401" spans="6:8" x14ac:dyDescent="0.3">
      <c r="F401"/>
      <c r="G401" s="81"/>
      <c r="H401"/>
    </row>
    <row r="402" spans="6:8" x14ac:dyDescent="0.3">
      <c r="F402"/>
      <c r="G402" s="81"/>
      <c r="H402"/>
    </row>
    <row r="403" spans="6:8" x14ac:dyDescent="0.3">
      <c r="F403"/>
      <c r="G403" s="81"/>
      <c r="H403"/>
    </row>
    <row r="404" spans="6:8" x14ac:dyDescent="0.3">
      <c r="F404"/>
      <c r="G404" s="81"/>
      <c r="H404"/>
    </row>
    <row r="405" spans="6:8" x14ac:dyDescent="0.3">
      <c r="F405"/>
      <c r="G405" s="81"/>
      <c r="H405"/>
    </row>
    <row r="406" spans="6:8" x14ac:dyDescent="0.3">
      <c r="F406"/>
      <c r="G406" s="81"/>
      <c r="H406"/>
    </row>
    <row r="407" spans="6:8" x14ac:dyDescent="0.3">
      <c r="F407"/>
      <c r="G407" s="81"/>
      <c r="H407"/>
    </row>
    <row r="408" spans="6:8" x14ac:dyDescent="0.3">
      <c r="F408"/>
      <c r="G408" s="81"/>
      <c r="H408"/>
    </row>
    <row r="409" spans="6:8" x14ac:dyDescent="0.3">
      <c r="F409"/>
      <c r="G409" s="81"/>
      <c r="H409"/>
    </row>
    <row r="410" spans="6:8" x14ac:dyDescent="0.3">
      <c r="F410"/>
      <c r="G410" s="81"/>
      <c r="H410"/>
    </row>
    <row r="411" spans="6:8" x14ac:dyDescent="0.3">
      <c r="F411"/>
      <c r="G411" s="81"/>
      <c r="H411"/>
    </row>
    <row r="412" spans="6:8" x14ac:dyDescent="0.3">
      <c r="F412"/>
      <c r="G412" s="81"/>
      <c r="H412"/>
    </row>
    <row r="413" spans="6:8" x14ac:dyDescent="0.3">
      <c r="F413"/>
      <c r="G413" s="81"/>
      <c r="H413"/>
    </row>
    <row r="414" spans="6:8" x14ac:dyDescent="0.3">
      <c r="F414"/>
      <c r="G414" s="81"/>
      <c r="H414"/>
    </row>
    <row r="415" spans="6:8" x14ac:dyDescent="0.3">
      <c r="F415"/>
      <c r="G415" s="81"/>
      <c r="H415"/>
    </row>
    <row r="416" spans="6:8" x14ac:dyDescent="0.3">
      <c r="F416"/>
      <c r="G416" s="81"/>
      <c r="H416"/>
    </row>
    <row r="417" spans="6:8" x14ac:dyDescent="0.3">
      <c r="F417"/>
      <c r="G417" s="81"/>
      <c r="H417"/>
    </row>
    <row r="418" spans="6:8" x14ac:dyDescent="0.3">
      <c r="F418"/>
      <c r="G418" s="81"/>
      <c r="H418"/>
    </row>
    <row r="419" spans="6:8" x14ac:dyDescent="0.3">
      <c r="F419"/>
      <c r="G419" s="81"/>
      <c r="H419"/>
    </row>
    <row r="420" spans="6:8" x14ac:dyDescent="0.3">
      <c r="F420"/>
      <c r="G420" s="81"/>
      <c r="H420"/>
    </row>
    <row r="421" spans="6:8" x14ac:dyDescent="0.3">
      <c r="F421"/>
      <c r="G421" s="81"/>
      <c r="H421"/>
    </row>
    <row r="422" spans="6:8" x14ac:dyDescent="0.3">
      <c r="F422"/>
      <c r="G422" s="81"/>
      <c r="H422"/>
    </row>
    <row r="423" spans="6:8" x14ac:dyDescent="0.3">
      <c r="F423"/>
      <c r="G423" s="81"/>
      <c r="H423"/>
    </row>
    <row r="424" spans="6:8" x14ac:dyDescent="0.3">
      <c r="F424"/>
      <c r="G424" s="81"/>
      <c r="H424"/>
    </row>
    <row r="425" spans="6:8" x14ac:dyDescent="0.3">
      <c r="F425"/>
      <c r="G425" s="81"/>
      <c r="H425"/>
    </row>
    <row r="426" spans="6:8" x14ac:dyDescent="0.3">
      <c r="F426"/>
      <c r="G426" s="81"/>
      <c r="H426"/>
    </row>
    <row r="427" spans="6:8" x14ac:dyDescent="0.3">
      <c r="F427"/>
      <c r="G427" s="81"/>
      <c r="H427"/>
    </row>
    <row r="428" spans="6:8" x14ac:dyDescent="0.3">
      <c r="F428"/>
      <c r="G428" s="81"/>
      <c r="H428"/>
    </row>
    <row r="429" spans="6:8" x14ac:dyDescent="0.3">
      <c r="F429"/>
      <c r="G429" s="81"/>
      <c r="H429"/>
    </row>
    <row r="430" spans="6:8" x14ac:dyDescent="0.3">
      <c r="F430"/>
      <c r="G430" s="81"/>
      <c r="H430"/>
    </row>
    <row r="431" spans="6:8" x14ac:dyDescent="0.3">
      <c r="F431"/>
      <c r="G431" s="81"/>
      <c r="H431"/>
    </row>
    <row r="432" spans="6:8" x14ac:dyDescent="0.3">
      <c r="F432"/>
      <c r="G432" s="81"/>
      <c r="H432"/>
    </row>
    <row r="433" spans="6:8" x14ac:dyDescent="0.3">
      <c r="F433"/>
      <c r="G433" s="81"/>
      <c r="H433"/>
    </row>
    <row r="434" spans="6:8" x14ac:dyDescent="0.3">
      <c r="F434"/>
      <c r="G434" s="81"/>
      <c r="H434"/>
    </row>
    <row r="435" spans="6:8" x14ac:dyDescent="0.3">
      <c r="F435"/>
      <c r="G435" s="81"/>
      <c r="H435"/>
    </row>
    <row r="436" spans="6:8" x14ac:dyDescent="0.3">
      <c r="F436"/>
      <c r="G436" s="81"/>
      <c r="H436"/>
    </row>
    <row r="437" spans="6:8" x14ac:dyDescent="0.3">
      <c r="F437"/>
      <c r="G437" s="81"/>
      <c r="H437"/>
    </row>
    <row r="438" spans="6:8" x14ac:dyDescent="0.3">
      <c r="F438"/>
      <c r="G438" s="81"/>
      <c r="H438"/>
    </row>
    <row r="439" spans="6:8" x14ac:dyDescent="0.3">
      <c r="F439"/>
      <c r="G439" s="81"/>
      <c r="H439"/>
    </row>
    <row r="440" spans="6:8" x14ac:dyDescent="0.3">
      <c r="F440"/>
      <c r="G440" s="81"/>
      <c r="H440"/>
    </row>
    <row r="441" spans="6:8" x14ac:dyDescent="0.3">
      <c r="F441"/>
      <c r="G441" s="81"/>
      <c r="H441"/>
    </row>
    <row r="442" spans="6:8" x14ac:dyDescent="0.3">
      <c r="F442"/>
      <c r="G442" s="81"/>
      <c r="H442"/>
    </row>
    <row r="443" spans="6:8" x14ac:dyDescent="0.3">
      <c r="F443"/>
      <c r="G443" s="81"/>
      <c r="H443"/>
    </row>
    <row r="444" spans="6:8" x14ac:dyDescent="0.3">
      <c r="F444"/>
      <c r="G444" s="81"/>
      <c r="H444"/>
    </row>
    <row r="445" spans="6:8" x14ac:dyDescent="0.3">
      <c r="F445"/>
      <c r="G445" s="81"/>
      <c r="H445"/>
    </row>
    <row r="446" spans="6:8" x14ac:dyDescent="0.3">
      <c r="F446"/>
      <c r="G446" s="81"/>
      <c r="H446"/>
    </row>
    <row r="447" spans="6:8" x14ac:dyDescent="0.3">
      <c r="F447"/>
      <c r="G447" s="81"/>
      <c r="H447"/>
    </row>
    <row r="448" spans="6:8" x14ac:dyDescent="0.3">
      <c r="F448"/>
      <c r="G448" s="81"/>
      <c r="H448"/>
    </row>
    <row r="449" spans="6:8" x14ac:dyDescent="0.3">
      <c r="F449"/>
      <c r="G449" s="81"/>
      <c r="H449"/>
    </row>
    <row r="450" spans="6:8" x14ac:dyDescent="0.3">
      <c r="F450"/>
      <c r="G450" s="81"/>
      <c r="H450"/>
    </row>
    <row r="451" spans="6:8" x14ac:dyDescent="0.3">
      <c r="F451"/>
      <c r="G451" s="81"/>
      <c r="H451"/>
    </row>
    <row r="452" spans="6:8" x14ac:dyDescent="0.3">
      <c r="F452"/>
      <c r="G452" s="81"/>
      <c r="H452"/>
    </row>
    <row r="453" spans="6:8" x14ac:dyDescent="0.3">
      <c r="F453"/>
      <c r="G453" s="81"/>
      <c r="H453"/>
    </row>
    <row r="454" spans="6:8" x14ac:dyDescent="0.3">
      <c r="F454"/>
      <c r="G454" s="81"/>
      <c r="H454"/>
    </row>
    <row r="455" spans="6:8" x14ac:dyDescent="0.3">
      <c r="F455"/>
      <c r="G455" s="81"/>
      <c r="H455"/>
    </row>
    <row r="456" spans="6:8" x14ac:dyDescent="0.3">
      <c r="F456"/>
      <c r="G456" s="81"/>
      <c r="H456"/>
    </row>
    <row r="457" spans="6:8" x14ac:dyDescent="0.3">
      <c r="F457"/>
      <c r="G457" s="81"/>
      <c r="H457"/>
    </row>
    <row r="458" spans="6:8" x14ac:dyDescent="0.3">
      <c r="F458"/>
      <c r="G458" s="81"/>
      <c r="H458"/>
    </row>
    <row r="459" spans="6:8" x14ac:dyDescent="0.3">
      <c r="F459"/>
      <c r="G459" s="81"/>
      <c r="H459"/>
    </row>
    <row r="460" spans="6:8" x14ac:dyDescent="0.3">
      <c r="F460"/>
      <c r="G460" s="81"/>
      <c r="H460"/>
    </row>
    <row r="461" spans="6:8" x14ac:dyDescent="0.3">
      <c r="F461"/>
      <c r="G461" s="81"/>
      <c r="H461"/>
    </row>
    <row r="462" spans="6:8" x14ac:dyDescent="0.3">
      <c r="F462"/>
      <c r="G462" s="81"/>
      <c r="H462"/>
    </row>
    <row r="463" spans="6:8" x14ac:dyDescent="0.3">
      <c r="F463"/>
      <c r="G463" s="81"/>
      <c r="H463"/>
    </row>
    <row r="464" spans="6:8" x14ac:dyDescent="0.3">
      <c r="F464"/>
      <c r="G464" s="81"/>
      <c r="H464"/>
    </row>
    <row r="465" spans="6:8" x14ac:dyDescent="0.3">
      <c r="F465"/>
      <c r="G465" s="81"/>
      <c r="H465"/>
    </row>
    <row r="466" spans="6:8" x14ac:dyDescent="0.3">
      <c r="F466"/>
      <c r="G466" s="81"/>
      <c r="H466"/>
    </row>
    <row r="467" spans="6:8" x14ac:dyDescent="0.3">
      <c r="F467"/>
      <c r="G467" s="81"/>
      <c r="H467"/>
    </row>
    <row r="468" spans="6:8" x14ac:dyDescent="0.3">
      <c r="F468"/>
      <c r="G468" s="81"/>
      <c r="H468"/>
    </row>
    <row r="469" spans="6:8" x14ac:dyDescent="0.3">
      <c r="F469"/>
      <c r="G469" s="81"/>
      <c r="H469"/>
    </row>
    <row r="470" spans="6:8" x14ac:dyDescent="0.3">
      <c r="F470"/>
      <c r="G470" s="81"/>
      <c r="H470"/>
    </row>
    <row r="471" spans="6:8" x14ac:dyDescent="0.3">
      <c r="F471"/>
      <c r="G471" s="81"/>
      <c r="H471"/>
    </row>
    <row r="472" spans="6:8" x14ac:dyDescent="0.3">
      <c r="F472"/>
      <c r="G472" s="81"/>
      <c r="H472"/>
    </row>
    <row r="473" spans="6:8" x14ac:dyDescent="0.3">
      <c r="F473"/>
      <c r="G473" s="81"/>
      <c r="H473"/>
    </row>
    <row r="474" spans="6:8" x14ac:dyDescent="0.3">
      <c r="F474"/>
      <c r="G474" s="81"/>
      <c r="H474"/>
    </row>
    <row r="475" spans="6:8" x14ac:dyDescent="0.3">
      <c r="F475"/>
      <c r="G475" s="81"/>
      <c r="H475"/>
    </row>
    <row r="476" spans="6:8" x14ac:dyDescent="0.3">
      <c r="F476"/>
      <c r="G476" s="81"/>
      <c r="H476"/>
    </row>
    <row r="477" spans="6:8" x14ac:dyDescent="0.3">
      <c r="F477"/>
      <c r="G477" s="81"/>
      <c r="H477"/>
    </row>
    <row r="478" spans="6:8" x14ac:dyDescent="0.3">
      <c r="F478"/>
      <c r="G478" s="81"/>
      <c r="H478"/>
    </row>
    <row r="479" spans="6:8" x14ac:dyDescent="0.3">
      <c r="F479"/>
      <c r="G479" s="81"/>
      <c r="H479"/>
    </row>
    <row r="480" spans="6:8" x14ac:dyDescent="0.3">
      <c r="F480"/>
      <c r="G480" s="81"/>
      <c r="H480"/>
    </row>
    <row r="481" spans="6:8" x14ac:dyDescent="0.3">
      <c r="F481"/>
      <c r="G481" s="81"/>
      <c r="H481"/>
    </row>
    <row r="482" spans="6:8" x14ac:dyDescent="0.3">
      <c r="F482"/>
      <c r="G482" s="81"/>
      <c r="H482"/>
    </row>
    <row r="483" spans="6:8" x14ac:dyDescent="0.3">
      <c r="F483"/>
      <c r="G483" s="81"/>
      <c r="H483"/>
    </row>
    <row r="484" spans="6:8" x14ac:dyDescent="0.3">
      <c r="F484"/>
      <c r="G484" s="81"/>
      <c r="H484"/>
    </row>
    <row r="485" spans="6:8" x14ac:dyDescent="0.3">
      <c r="F485"/>
      <c r="G485" s="81"/>
      <c r="H485"/>
    </row>
    <row r="486" spans="6:8" x14ac:dyDescent="0.3">
      <c r="F486"/>
      <c r="G486" s="81"/>
      <c r="H486"/>
    </row>
    <row r="487" spans="6:8" x14ac:dyDescent="0.3">
      <c r="F487"/>
      <c r="G487" s="81"/>
      <c r="H487"/>
    </row>
    <row r="488" spans="6:8" x14ac:dyDescent="0.3">
      <c r="F488"/>
      <c r="G488" s="81"/>
      <c r="H488"/>
    </row>
    <row r="489" spans="6:8" x14ac:dyDescent="0.3">
      <c r="F489"/>
      <c r="G489" s="81"/>
      <c r="H489"/>
    </row>
    <row r="490" spans="6:8" x14ac:dyDescent="0.3">
      <c r="F490"/>
      <c r="G490" s="81"/>
      <c r="H490"/>
    </row>
    <row r="491" spans="6:8" x14ac:dyDescent="0.3">
      <c r="F491"/>
      <c r="G491" s="81"/>
      <c r="H491"/>
    </row>
    <row r="492" spans="6:8" x14ac:dyDescent="0.3">
      <c r="F492"/>
      <c r="G492" s="81"/>
      <c r="H492"/>
    </row>
    <row r="493" spans="6:8" x14ac:dyDescent="0.3">
      <c r="F493"/>
      <c r="G493" s="81"/>
      <c r="H493"/>
    </row>
    <row r="494" spans="6:8" x14ac:dyDescent="0.3">
      <c r="F494"/>
      <c r="G494" s="81"/>
      <c r="H494"/>
    </row>
    <row r="495" spans="6:8" x14ac:dyDescent="0.3">
      <c r="F495"/>
      <c r="G495" s="81"/>
      <c r="H495"/>
    </row>
    <row r="496" spans="6:8" x14ac:dyDescent="0.3">
      <c r="F496"/>
      <c r="G496" s="81"/>
      <c r="H496"/>
    </row>
    <row r="497" spans="6:8" x14ac:dyDescent="0.3">
      <c r="F497"/>
      <c r="G497" s="81"/>
      <c r="H497"/>
    </row>
    <row r="498" spans="6:8" x14ac:dyDescent="0.3">
      <c r="F498"/>
      <c r="G498" s="81"/>
      <c r="H498"/>
    </row>
    <row r="499" spans="6:8" x14ac:dyDescent="0.3">
      <c r="F499"/>
      <c r="G499" s="81"/>
      <c r="H499"/>
    </row>
    <row r="500" spans="6:8" x14ac:dyDescent="0.3">
      <c r="F500"/>
      <c r="G500" s="81"/>
      <c r="H500"/>
    </row>
    <row r="501" spans="6:8" x14ac:dyDescent="0.3">
      <c r="F501"/>
      <c r="G501" s="81"/>
      <c r="H501"/>
    </row>
    <row r="502" spans="6:8" x14ac:dyDescent="0.3">
      <c r="F502"/>
      <c r="G502" s="81"/>
      <c r="H502"/>
    </row>
    <row r="503" spans="6:8" x14ac:dyDescent="0.3">
      <c r="F503"/>
      <c r="G503" s="81"/>
      <c r="H503"/>
    </row>
    <row r="504" spans="6:8" x14ac:dyDescent="0.3">
      <c r="F504"/>
      <c r="G504" s="81"/>
      <c r="H504"/>
    </row>
    <row r="505" spans="6:8" x14ac:dyDescent="0.3">
      <c r="F505"/>
      <c r="G505" s="81"/>
      <c r="H505"/>
    </row>
    <row r="506" spans="6:8" x14ac:dyDescent="0.3">
      <c r="F506"/>
      <c r="G506" s="81"/>
      <c r="H506"/>
    </row>
    <row r="507" spans="6:8" x14ac:dyDescent="0.3">
      <c r="F507"/>
      <c r="G507" s="81"/>
      <c r="H507"/>
    </row>
    <row r="508" spans="6:8" x14ac:dyDescent="0.3">
      <c r="F508"/>
      <c r="G508" s="81"/>
      <c r="H508"/>
    </row>
    <row r="509" spans="6:8" x14ac:dyDescent="0.3">
      <c r="F509"/>
      <c r="G509" s="81"/>
      <c r="H509"/>
    </row>
    <row r="510" spans="6:8" x14ac:dyDescent="0.3">
      <c r="F510"/>
      <c r="G510" s="81"/>
      <c r="H510"/>
    </row>
    <row r="511" spans="6:8" x14ac:dyDescent="0.3">
      <c r="F511"/>
      <c r="G511" s="81"/>
      <c r="H511"/>
    </row>
    <row r="512" spans="6:8" x14ac:dyDescent="0.3">
      <c r="F512"/>
      <c r="G512" s="81"/>
      <c r="H512"/>
    </row>
    <row r="513" spans="6:8" x14ac:dyDescent="0.3">
      <c r="F513"/>
      <c r="G513" s="81"/>
      <c r="H513"/>
    </row>
    <row r="514" spans="6:8" x14ac:dyDescent="0.3">
      <c r="F514"/>
      <c r="G514" s="81"/>
      <c r="H514"/>
    </row>
    <row r="515" spans="6:8" x14ac:dyDescent="0.3">
      <c r="F515"/>
      <c r="G515" s="81"/>
      <c r="H515"/>
    </row>
    <row r="516" spans="6:8" x14ac:dyDescent="0.3">
      <c r="F516"/>
      <c r="G516" s="81"/>
      <c r="H516"/>
    </row>
    <row r="517" spans="6:8" x14ac:dyDescent="0.3">
      <c r="F517"/>
      <c r="G517" s="81"/>
      <c r="H517"/>
    </row>
    <row r="518" spans="6:8" x14ac:dyDescent="0.3">
      <c r="F518"/>
      <c r="G518" s="81"/>
      <c r="H518"/>
    </row>
    <row r="519" spans="6:8" x14ac:dyDescent="0.3">
      <c r="F519"/>
      <c r="G519" s="81"/>
      <c r="H519"/>
    </row>
    <row r="520" spans="6:8" x14ac:dyDescent="0.3">
      <c r="F520"/>
      <c r="G520" s="81"/>
      <c r="H520"/>
    </row>
    <row r="521" spans="6:8" x14ac:dyDescent="0.3">
      <c r="F521"/>
      <c r="G521" s="81"/>
      <c r="H521"/>
    </row>
    <row r="522" spans="6:8" x14ac:dyDescent="0.3">
      <c r="F522"/>
      <c r="G522" s="81"/>
      <c r="H522"/>
    </row>
    <row r="523" spans="6:8" x14ac:dyDescent="0.3">
      <c r="F523"/>
      <c r="G523" s="81"/>
      <c r="H523"/>
    </row>
    <row r="524" spans="6:8" x14ac:dyDescent="0.3">
      <c r="F524"/>
      <c r="G524" s="81"/>
      <c r="H524"/>
    </row>
    <row r="525" spans="6:8" x14ac:dyDescent="0.3">
      <c r="F525"/>
      <c r="G525" s="81"/>
      <c r="H525"/>
    </row>
    <row r="526" spans="6:8" x14ac:dyDescent="0.3">
      <c r="F526"/>
      <c r="G526" s="81"/>
      <c r="H526"/>
    </row>
    <row r="527" spans="6:8" x14ac:dyDescent="0.3">
      <c r="F527"/>
      <c r="G527" s="81"/>
      <c r="H527"/>
    </row>
    <row r="528" spans="6:8" x14ac:dyDescent="0.3">
      <c r="F528"/>
      <c r="G528" s="81"/>
      <c r="H528"/>
    </row>
    <row r="529" spans="6:8" x14ac:dyDescent="0.3">
      <c r="F529"/>
      <c r="G529" s="81"/>
      <c r="H529"/>
    </row>
    <row r="530" spans="6:8" x14ac:dyDescent="0.3">
      <c r="F530"/>
      <c r="G530" s="81"/>
      <c r="H530"/>
    </row>
    <row r="531" spans="6:8" x14ac:dyDescent="0.3">
      <c r="F531"/>
      <c r="G531" s="81"/>
      <c r="H531"/>
    </row>
    <row r="532" spans="6:8" x14ac:dyDescent="0.3">
      <c r="F532"/>
      <c r="G532" s="81"/>
      <c r="H532"/>
    </row>
    <row r="533" spans="6:8" x14ac:dyDescent="0.3">
      <c r="F533"/>
      <c r="G533" s="81"/>
      <c r="H533"/>
    </row>
    <row r="534" spans="6:8" x14ac:dyDescent="0.3">
      <c r="F534"/>
      <c r="G534" s="81"/>
      <c r="H534"/>
    </row>
    <row r="535" spans="6:8" x14ac:dyDescent="0.3">
      <c r="F535"/>
      <c r="G535" s="81"/>
      <c r="H535"/>
    </row>
    <row r="536" spans="6:8" x14ac:dyDescent="0.3">
      <c r="F536"/>
      <c r="G536" s="81"/>
      <c r="H536"/>
    </row>
    <row r="537" spans="6:8" x14ac:dyDescent="0.3">
      <c r="F537"/>
      <c r="G537" s="81"/>
      <c r="H537"/>
    </row>
    <row r="538" spans="6:8" x14ac:dyDescent="0.3">
      <c r="F538"/>
      <c r="G538" s="81"/>
      <c r="H538"/>
    </row>
    <row r="539" spans="6:8" x14ac:dyDescent="0.3">
      <c r="F539"/>
      <c r="G539" s="81"/>
      <c r="H539"/>
    </row>
    <row r="540" spans="6:8" x14ac:dyDescent="0.3">
      <c r="F540"/>
      <c r="G540" s="81"/>
      <c r="H540"/>
    </row>
    <row r="541" spans="6:8" x14ac:dyDescent="0.3">
      <c r="F541"/>
      <c r="G541" s="81"/>
      <c r="H541"/>
    </row>
    <row r="542" spans="6:8" x14ac:dyDescent="0.3">
      <c r="F542"/>
      <c r="G542" s="81"/>
      <c r="H542"/>
    </row>
    <row r="543" spans="6:8" x14ac:dyDescent="0.3">
      <c r="F543"/>
      <c r="G543" s="81"/>
      <c r="H543"/>
    </row>
    <row r="544" spans="6:8" x14ac:dyDescent="0.3">
      <c r="F544"/>
      <c r="G544" s="81"/>
      <c r="H544"/>
    </row>
    <row r="545" spans="6:8" x14ac:dyDescent="0.3">
      <c r="F545"/>
      <c r="G545" s="81"/>
      <c r="H545"/>
    </row>
    <row r="546" spans="6:8" x14ac:dyDescent="0.3">
      <c r="F546"/>
      <c r="G546" s="81"/>
      <c r="H546"/>
    </row>
    <row r="547" spans="6:8" x14ac:dyDescent="0.3">
      <c r="F547"/>
      <c r="G547" s="81"/>
      <c r="H547"/>
    </row>
    <row r="548" spans="6:8" x14ac:dyDescent="0.3">
      <c r="F548"/>
      <c r="G548" s="81"/>
      <c r="H548"/>
    </row>
    <row r="549" spans="6:8" x14ac:dyDescent="0.3">
      <c r="F549"/>
      <c r="G549" s="81"/>
      <c r="H549"/>
    </row>
    <row r="550" spans="6:8" x14ac:dyDescent="0.3">
      <c r="F550"/>
      <c r="G550" s="81"/>
      <c r="H550"/>
    </row>
    <row r="551" spans="6:8" x14ac:dyDescent="0.3">
      <c r="F551"/>
      <c r="G551" s="81"/>
      <c r="H551"/>
    </row>
    <row r="552" spans="6:8" x14ac:dyDescent="0.3">
      <c r="F552"/>
      <c r="G552" s="81"/>
      <c r="H552"/>
    </row>
    <row r="553" spans="6:8" x14ac:dyDescent="0.3">
      <c r="F553"/>
      <c r="G553" s="81"/>
      <c r="H553"/>
    </row>
    <row r="554" spans="6:8" x14ac:dyDescent="0.3">
      <c r="F554"/>
      <c r="G554" s="81"/>
      <c r="H554"/>
    </row>
    <row r="555" spans="6:8" x14ac:dyDescent="0.3">
      <c r="F555"/>
      <c r="G555" s="81"/>
      <c r="H555"/>
    </row>
    <row r="556" spans="6:8" x14ac:dyDescent="0.3">
      <c r="F556"/>
      <c r="G556" s="81"/>
      <c r="H556"/>
    </row>
    <row r="557" spans="6:8" x14ac:dyDescent="0.3">
      <c r="F557"/>
      <c r="G557" s="81"/>
      <c r="H557"/>
    </row>
    <row r="558" spans="6:8" x14ac:dyDescent="0.3">
      <c r="F558"/>
      <c r="G558" s="81"/>
      <c r="H558"/>
    </row>
    <row r="559" spans="6:8" x14ac:dyDescent="0.3">
      <c r="F559"/>
      <c r="G559" s="81"/>
      <c r="H559"/>
    </row>
    <row r="560" spans="6:8" x14ac:dyDescent="0.3">
      <c r="F560"/>
      <c r="G560" s="81"/>
      <c r="H560"/>
    </row>
    <row r="561" spans="6:8" x14ac:dyDescent="0.3">
      <c r="F561"/>
      <c r="G561" s="81"/>
      <c r="H561"/>
    </row>
    <row r="562" spans="6:8" x14ac:dyDescent="0.3">
      <c r="F562"/>
      <c r="G562" s="81"/>
      <c r="H562"/>
    </row>
    <row r="563" spans="6:8" x14ac:dyDescent="0.3">
      <c r="F563"/>
      <c r="G563" s="81"/>
      <c r="H563"/>
    </row>
    <row r="564" spans="6:8" x14ac:dyDescent="0.3">
      <c r="F564"/>
      <c r="G564" s="81"/>
      <c r="H564"/>
    </row>
    <row r="565" spans="6:8" x14ac:dyDescent="0.3">
      <c r="F565"/>
      <c r="G565" s="81"/>
      <c r="H565"/>
    </row>
    <row r="566" spans="6:8" x14ac:dyDescent="0.3">
      <c r="F566"/>
      <c r="G566" s="81"/>
      <c r="H566"/>
    </row>
    <row r="567" spans="6:8" x14ac:dyDescent="0.3">
      <c r="F567"/>
      <c r="G567" s="81"/>
      <c r="H567"/>
    </row>
    <row r="568" spans="6:8" x14ac:dyDescent="0.3">
      <c r="F568"/>
      <c r="G568" s="81"/>
      <c r="H568"/>
    </row>
    <row r="569" spans="6:8" x14ac:dyDescent="0.3">
      <c r="F569"/>
      <c r="G569" s="81"/>
      <c r="H569"/>
    </row>
    <row r="570" spans="6:8" x14ac:dyDescent="0.3">
      <c r="F570"/>
      <c r="G570" s="81"/>
      <c r="H570"/>
    </row>
    <row r="571" spans="6:8" x14ac:dyDescent="0.3">
      <c r="F571"/>
      <c r="G571" s="81"/>
      <c r="H571"/>
    </row>
    <row r="572" spans="6:8" x14ac:dyDescent="0.3">
      <c r="F572"/>
      <c r="G572" s="81"/>
      <c r="H572"/>
    </row>
    <row r="573" spans="6:8" x14ac:dyDescent="0.3">
      <c r="F573"/>
      <c r="G573" s="81"/>
      <c r="H573"/>
    </row>
    <row r="574" spans="6:8" x14ac:dyDescent="0.3">
      <c r="F574"/>
      <c r="G574" s="81"/>
      <c r="H574"/>
    </row>
    <row r="575" spans="6:8" x14ac:dyDescent="0.3">
      <c r="F575"/>
      <c r="G575" s="81"/>
      <c r="H575"/>
    </row>
    <row r="576" spans="6:8" x14ac:dyDescent="0.3">
      <c r="F576"/>
      <c r="G576" s="81"/>
      <c r="H576"/>
    </row>
    <row r="577" spans="6:8" x14ac:dyDescent="0.3">
      <c r="F577"/>
      <c r="G577" s="81"/>
      <c r="H577"/>
    </row>
    <row r="578" spans="6:8" x14ac:dyDescent="0.3">
      <c r="F578"/>
      <c r="G578" s="81"/>
      <c r="H578"/>
    </row>
    <row r="579" spans="6:8" x14ac:dyDescent="0.3">
      <c r="F579"/>
      <c r="G579" s="81"/>
      <c r="H579"/>
    </row>
    <row r="580" spans="6:8" x14ac:dyDescent="0.3">
      <c r="F580"/>
      <c r="G580" s="81"/>
      <c r="H580"/>
    </row>
    <row r="581" spans="6:8" x14ac:dyDescent="0.3">
      <c r="F581"/>
      <c r="G581" s="81"/>
      <c r="H581"/>
    </row>
    <row r="582" spans="6:8" x14ac:dyDescent="0.3">
      <c r="F582"/>
      <c r="G582" s="81"/>
      <c r="H582"/>
    </row>
    <row r="583" spans="6:8" x14ac:dyDescent="0.3">
      <c r="F583"/>
      <c r="G583" s="81"/>
      <c r="H583"/>
    </row>
    <row r="584" spans="6:8" x14ac:dyDescent="0.3">
      <c r="F584"/>
      <c r="G584" s="81"/>
      <c r="H584"/>
    </row>
    <row r="585" spans="6:8" x14ac:dyDescent="0.3">
      <c r="F585"/>
      <c r="G585" s="81"/>
      <c r="H585"/>
    </row>
    <row r="586" spans="6:8" x14ac:dyDescent="0.3">
      <c r="F586"/>
      <c r="G586" s="81"/>
      <c r="H586"/>
    </row>
    <row r="587" spans="6:8" x14ac:dyDescent="0.3">
      <c r="F587"/>
      <c r="G587" s="81"/>
      <c r="H587"/>
    </row>
    <row r="588" spans="6:8" x14ac:dyDescent="0.3">
      <c r="F588"/>
      <c r="G588" s="81"/>
      <c r="H588"/>
    </row>
    <row r="589" spans="6:8" x14ac:dyDescent="0.3">
      <c r="F589"/>
      <c r="G589" s="81"/>
      <c r="H589"/>
    </row>
    <row r="590" spans="6:8" x14ac:dyDescent="0.3">
      <c r="F590"/>
      <c r="G590" s="81"/>
      <c r="H590"/>
    </row>
    <row r="591" spans="6:8" x14ac:dyDescent="0.3">
      <c r="F591"/>
      <c r="G591" s="81"/>
      <c r="H591"/>
    </row>
    <row r="592" spans="6:8" x14ac:dyDescent="0.3">
      <c r="F592"/>
      <c r="G592" s="81"/>
      <c r="H592"/>
    </row>
    <row r="593" spans="6:8" x14ac:dyDescent="0.3">
      <c r="F593"/>
      <c r="G593" s="81"/>
      <c r="H593"/>
    </row>
    <row r="594" spans="6:8" x14ac:dyDescent="0.3">
      <c r="F594"/>
      <c r="G594" s="81"/>
      <c r="H594"/>
    </row>
    <row r="595" spans="6:8" x14ac:dyDescent="0.3">
      <c r="F595"/>
      <c r="G595" s="81"/>
      <c r="H595"/>
    </row>
    <row r="596" spans="6:8" x14ac:dyDescent="0.3">
      <c r="F596"/>
      <c r="G596" s="81"/>
      <c r="H596"/>
    </row>
    <row r="597" spans="6:8" x14ac:dyDescent="0.3">
      <c r="F597"/>
      <c r="G597" s="81"/>
      <c r="H597"/>
    </row>
    <row r="598" spans="6:8" x14ac:dyDescent="0.3">
      <c r="F598"/>
      <c r="G598" s="81"/>
      <c r="H598"/>
    </row>
    <row r="599" spans="6:8" x14ac:dyDescent="0.3">
      <c r="F599"/>
      <c r="G599" s="81"/>
      <c r="H599"/>
    </row>
    <row r="600" spans="6:8" x14ac:dyDescent="0.3">
      <c r="F600"/>
      <c r="G600" s="81"/>
      <c r="H600"/>
    </row>
    <row r="601" spans="6:8" x14ac:dyDescent="0.3">
      <c r="F601"/>
      <c r="G601" s="81"/>
      <c r="H601"/>
    </row>
    <row r="602" spans="6:8" x14ac:dyDescent="0.3">
      <c r="F602"/>
      <c r="G602" s="81"/>
      <c r="H602"/>
    </row>
    <row r="603" spans="6:8" x14ac:dyDescent="0.3">
      <c r="F603"/>
      <c r="G603" s="81"/>
      <c r="H603"/>
    </row>
    <row r="604" spans="6:8" x14ac:dyDescent="0.3">
      <c r="F604"/>
      <c r="G604" s="81"/>
      <c r="H604"/>
    </row>
    <row r="605" spans="6:8" x14ac:dyDescent="0.3">
      <c r="F605"/>
      <c r="G605" s="81"/>
      <c r="H605"/>
    </row>
    <row r="606" spans="6:8" x14ac:dyDescent="0.3">
      <c r="F606"/>
      <c r="G606" s="81"/>
      <c r="H606"/>
    </row>
    <row r="607" spans="6:8" x14ac:dyDescent="0.3">
      <c r="F607"/>
      <c r="G607" s="81"/>
      <c r="H607"/>
    </row>
    <row r="608" spans="6:8" x14ac:dyDescent="0.3">
      <c r="F608"/>
      <c r="G608" s="81"/>
      <c r="H608"/>
    </row>
    <row r="609" spans="6:8" x14ac:dyDescent="0.3">
      <c r="F609"/>
      <c r="G609" s="81"/>
      <c r="H609"/>
    </row>
    <row r="610" spans="6:8" x14ac:dyDescent="0.3">
      <c r="F610"/>
      <c r="G610" s="81"/>
      <c r="H610"/>
    </row>
    <row r="611" spans="6:8" x14ac:dyDescent="0.3">
      <c r="F611"/>
      <c r="G611" s="81"/>
      <c r="H611"/>
    </row>
    <row r="612" spans="6:8" x14ac:dyDescent="0.3">
      <c r="F612"/>
      <c r="G612" s="81"/>
      <c r="H612"/>
    </row>
    <row r="613" spans="6:8" x14ac:dyDescent="0.3">
      <c r="F613"/>
      <c r="G613" s="81"/>
      <c r="H613"/>
    </row>
    <row r="614" spans="6:8" x14ac:dyDescent="0.3">
      <c r="F614"/>
      <c r="G614" s="81"/>
      <c r="H614"/>
    </row>
    <row r="615" spans="6:8" x14ac:dyDescent="0.3">
      <c r="F615"/>
      <c r="G615" s="81"/>
      <c r="H615"/>
    </row>
    <row r="616" spans="6:8" x14ac:dyDescent="0.3">
      <c r="F616"/>
      <c r="G616" s="81"/>
      <c r="H616"/>
    </row>
    <row r="617" spans="6:8" x14ac:dyDescent="0.3">
      <c r="F617"/>
      <c r="G617" s="81"/>
      <c r="H617"/>
    </row>
    <row r="618" spans="6:8" x14ac:dyDescent="0.3">
      <c r="F618"/>
      <c r="G618" s="81"/>
      <c r="H618"/>
    </row>
    <row r="619" spans="6:8" x14ac:dyDescent="0.3">
      <c r="F619"/>
      <c r="G619" s="81"/>
      <c r="H619"/>
    </row>
    <row r="620" spans="6:8" x14ac:dyDescent="0.3">
      <c r="F620"/>
      <c r="G620" s="81"/>
      <c r="H620"/>
    </row>
    <row r="621" spans="6:8" x14ac:dyDescent="0.3">
      <c r="F621"/>
      <c r="G621" s="81"/>
      <c r="H621"/>
    </row>
    <row r="622" spans="6:8" x14ac:dyDescent="0.3">
      <c r="F622"/>
      <c r="G622" s="81"/>
      <c r="H622"/>
    </row>
    <row r="623" spans="6:8" x14ac:dyDescent="0.3">
      <c r="F623"/>
      <c r="G623" s="81"/>
      <c r="H623"/>
    </row>
    <row r="624" spans="6:8" x14ac:dyDescent="0.3">
      <c r="F624"/>
      <c r="G624" s="81"/>
      <c r="H624"/>
    </row>
    <row r="625" spans="6:8" x14ac:dyDescent="0.3">
      <c r="F625"/>
      <c r="G625" s="81"/>
      <c r="H625"/>
    </row>
    <row r="626" spans="6:8" x14ac:dyDescent="0.3">
      <c r="F626"/>
      <c r="G626" s="81"/>
      <c r="H626"/>
    </row>
    <row r="627" spans="6:8" x14ac:dyDescent="0.3">
      <c r="F627"/>
      <c r="G627" s="81"/>
      <c r="H627"/>
    </row>
    <row r="628" spans="6:8" x14ac:dyDescent="0.3">
      <c r="F628"/>
      <c r="G628" s="81"/>
      <c r="H628"/>
    </row>
    <row r="629" spans="6:8" x14ac:dyDescent="0.3">
      <c r="F629"/>
      <c r="G629" s="81"/>
      <c r="H629"/>
    </row>
    <row r="630" spans="6:8" x14ac:dyDescent="0.3">
      <c r="F630"/>
      <c r="G630" s="81"/>
      <c r="H630"/>
    </row>
    <row r="631" spans="6:8" x14ac:dyDescent="0.3">
      <c r="F631"/>
      <c r="G631" s="81"/>
      <c r="H631"/>
    </row>
    <row r="632" spans="6:8" x14ac:dyDescent="0.3">
      <c r="F632"/>
      <c r="G632" s="81"/>
      <c r="H632"/>
    </row>
    <row r="633" spans="6:8" x14ac:dyDescent="0.3">
      <c r="F633"/>
      <c r="G633" s="81"/>
      <c r="H633"/>
    </row>
    <row r="634" spans="6:8" x14ac:dyDescent="0.3">
      <c r="F634"/>
      <c r="G634" s="81"/>
      <c r="H634"/>
    </row>
    <row r="635" spans="6:8" x14ac:dyDescent="0.3">
      <c r="F635"/>
      <c r="G635" s="81"/>
      <c r="H635"/>
    </row>
    <row r="636" spans="6:8" x14ac:dyDescent="0.3">
      <c r="F636"/>
      <c r="G636" s="81"/>
      <c r="H636"/>
    </row>
    <row r="637" spans="6:8" x14ac:dyDescent="0.3">
      <c r="F637"/>
      <c r="G637" s="81"/>
      <c r="H637"/>
    </row>
    <row r="638" spans="6:8" x14ac:dyDescent="0.3">
      <c r="F638"/>
      <c r="G638" s="81"/>
      <c r="H638"/>
    </row>
    <row r="639" spans="6:8" x14ac:dyDescent="0.3">
      <c r="F639"/>
      <c r="G639" s="81"/>
      <c r="H639"/>
    </row>
    <row r="640" spans="6:8" x14ac:dyDescent="0.3">
      <c r="F640"/>
      <c r="G640" s="81"/>
      <c r="H640"/>
    </row>
    <row r="641" spans="6:8" x14ac:dyDescent="0.3">
      <c r="F641"/>
      <c r="G641" s="81"/>
      <c r="H641"/>
    </row>
    <row r="642" spans="6:8" x14ac:dyDescent="0.3">
      <c r="F642"/>
      <c r="G642" s="81"/>
      <c r="H642"/>
    </row>
    <row r="643" spans="6:8" x14ac:dyDescent="0.3">
      <c r="F643"/>
      <c r="G643" s="81"/>
      <c r="H643"/>
    </row>
    <row r="644" spans="6:8" x14ac:dyDescent="0.3">
      <c r="F644"/>
      <c r="G644" s="81"/>
      <c r="H644"/>
    </row>
    <row r="645" spans="6:8" x14ac:dyDescent="0.3">
      <c r="F645"/>
      <c r="G645" s="81"/>
      <c r="H645"/>
    </row>
    <row r="646" spans="6:8" x14ac:dyDescent="0.3">
      <c r="F646"/>
      <c r="G646" s="81"/>
      <c r="H646"/>
    </row>
    <row r="647" spans="6:8" x14ac:dyDescent="0.3">
      <c r="F647"/>
      <c r="G647" s="81"/>
      <c r="H647"/>
    </row>
    <row r="648" spans="6:8" x14ac:dyDescent="0.3">
      <c r="F648"/>
      <c r="G648" s="81"/>
      <c r="H648"/>
    </row>
    <row r="649" spans="6:8" x14ac:dyDescent="0.3">
      <c r="F649"/>
      <c r="G649" s="81"/>
      <c r="H649"/>
    </row>
    <row r="650" spans="6:8" x14ac:dyDescent="0.3">
      <c r="F650"/>
      <c r="G650" s="81"/>
      <c r="H650"/>
    </row>
    <row r="651" spans="6:8" x14ac:dyDescent="0.3">
      <c r="F651"/>
      <c r="G651" s="81"/>
      <c r="H651"/>
    </row>
    <row r="652" spans="6:8" x14ac:dyDescent="0.3">
      <c r="F652"/>
      <c r="G652" s="81"/>
      <c r="H652"/>
    </row>
    <row r="653" spans="6:8" x14ac:dyDescent="0.3">
      <c r="F653"/>
      <c r="G653" s="81"/>
      <c r="H653"/>
    </row>
    <row r="654" spans="6:8" x14ac:dyDescent="0.3">
      <c r="F654"/>
      <c r="G654" s="81"/>
      <c r="H654"/>
    </row>
    <row r="655" spans="6:8" x14ac:dyDescent="0.3">
      <c r="F655"/>
      <c r="G655" s="81"/>
      <c r="H655"/>
    </row>
    <row r="656" spans="6:8" x14ac:dyDescent="0.3">
      <c r="F656"/>
      <c r="G656" s="81"/>
      <c r="H656"/>
    </row>
    <row r="657" spans="6:8" x14ac:dyDescent="0.3">
      <c r="F657"/>
      <c r="G657" s="81"/>
      <c r="H657"/>
    </row>
    <row r="658" spans="6:8" x14ac:dyDescent="0.3">
      <c r="F658"/>
      <c r="G658" s="81"/>
      <c r="H658"/>
    </row>
    <row r="659" spans="6:8" x14ac:dyDescent="0.3">
      <c r="F659"/>
      <c r="G659" s="81"/>
      <c r="H659"/>
    </row>
    <row r="660" spans="6:8" x14ac:dyDescent="0.3">
      <c r="F660"/>
      <c r="G660" s="81"/>
      <c r="H660"/>
    </row>
    <row r="661" spans="6:8" x14ac:dyDescent="0.3">
      <c r="F661"/>
      <c r="G661" s="81"/>
      <c r="H661"/>
    </row>
    <row r="662" spans="6:8" x14ac:dyDescent="0.3">
      <c r="F662"/>
      <c r="G662" s="81"/>
      <c r="H662"/>
    </row>
    <row r="663" spans="6:8" x14ac:dyDescent="0.3">
      <c r="F663"/>
      <c r="G663" s="81"/>
      <c r="H663"/>
    </row>
    <row r="664" spans="6:8" x14ac:dyDescent="0.3">
      <c r="F664"/>
      <c r="G664" s="81"/>
      <c r="H664"/>
    </row>
    <row r="665" spans="6:8" x14ac:dyDescent="0.3">
      <c r="F665"/>
      <c r="G665" s="81"/>
      <c r="H665"/>
    </row>
    <row r="666" spans="6:8" x14ac:dyDescent="0.3">
      <c r="F666"/>
      <c r="G666" s="81"/>
      <c r="H666"/>
    </row>
    <row r="667" spans="6:8" x14ac:dyDescent="0.3">
      <c r="F667"/>
      <c r="G667" s="81"/>
      <c r="H667"/>
    </row>
    <row r="668" spans="6:8" x14ac:dyDescent="0.3">
      <c r="F668"/>
      <c r="G668" s="81"/>
      <c r="H668"/>
    </row>
    <row r="669" spans="6:8" x14ac:dyDescent="0.3">
      <c r="F669"/>
      <c r="G669" s="81"/>
      <c r="H669"/>
    </row>
    <row r="670" spans="6:8" x14ac:dyDescent="0.3">
      <c r="F670"/>
      <c r="G670" s="81"/>
      <c r="H670"/>
    </row>
    <row r="671" spans="6:8" x14ac:dyDescent="0.3">
      <c r="F671"/>
      <c r="G671" s="81"/>
      <c r="H671"/>
    </row>
    <row r="672" spans="6:8" x14ac:dyDescent="0.3">
      <c r="F672"/>
      <c r="G672" s="81"/>
      <c r="H672"/>
    </row>
    <row r="673" spans="6:8" x14ac:dyDescent="0.3">
      <c r="F673"/>
      <c r="G673" s="81"/>
      <c r="H673"/>
    </row>
    <row r="674" spans="6:8" x14ac:dyDescent="0.3">
      <c r="F674"/>
      <c r="G674" s="81"/>
      <c r="H674"/>
    </row>
    <row r="675" spans="6:8" x14ac:dyDescent="0.3">
      <c r="F675"/>
      <c r="G675" s="81"/>
      <c r="H675"/>
    </row>
    <row r="676" spans="6:8" x14ac:dyDescent="0.3">
      <c r="F676"/>
      <c r="G676" s="81"/>
      <c r="H676"/>
    </row>
    <row r="677" spans="6:8" x14ac:dyDescent="0.3">
      <c r="F677"/>
      <c r="G677" s="81"/>
      <c r="H677"/>
    </row>
    <row r="678" spans="6:8" x14ac:dyDescent="0.3">
      <c r="F678"/>
      <c r="G678" s="81"/>
      <c r="H678"/>
    </row>
    <row r="679" spans="6:8" x14ac:dyDescent="0.3">
      <c r="F679"/>
      <c r="G679" s="81"/>
      <c r="H679"/>
    </row>
    <row r="680" spans="6:8" x14ac:dyDescent="0.3">
      <c r="F680"/>
      <c r="G680" s="81"/>
      <c r="H680"/>
    </row>
    <row r="681" spans="6:8" x14ac:dyDescent="0.3">
      <c r="F681"/>
      <c r="G681" s="81"/>
      <c r="H681"/>
    </row>
    <row r="682" spans="6:8" x14ac:dyDescent="0.3">
      <c r="F682"/>
      <c r="G682" s="81"/>
      <c r="H682"/>
    </row>
    <row r="683" spans="6:8" x14ac:dyDescent="0.3">
      <c r="F683"/>
      <c r="G683" s="81"/>
      <c r="H683"/>
    </row>
    <row r="684" spans="6:8" x14ac:dyDescent="0.3">
      <c r="F684"/>
      <c r="G684" s="81"/>
      <c r="H684"/>
    </row>
    <row r="685" spans="6:8" x14ac:dyDescent="0.3">
      <c r="F685"/>
      <c r="G685" s="81"/>
      <c r="H685"/>
    </row>
    <row r="686" spans="6:8" x14ac:dyDescent="0.3">
      <c r="F686"/>
      <c r="G686" s="81"/>
      <c r="H686"/>
    </row>
    <row r="687" spans="6:8" x14ac:dyDescent="0.3">
      <c r="F687"/>
      <c r="G687" s="81"/>
      <c r="H687"/>
    </row>
    <row r="688" spans="6:8" x14ac:dyDescent="0.3">
      <c r="F688"/>
      <c r="G688" s="81"/>
      <c r="H688"/>
    </row>
    <row r="689" spans="6:8" x14ac:dyDescent="0.3">
      <c r="F689"/>
      <c r="G689" s="81"/>
      <c r="H689"/>
    </row>
    <row r="690" spans="6:8" x14ac:dyDescent="0.3">
      <c r="F690"/>
      <c r="G690" s="81"/>
      <c r="H690"/>
    </row>
    <row r="691" spans="6:8" x14ac:dyDescent="0.3">
      <c r="F691"/>
      <c r="G691" s="81"/>
      <c r="H691"/>
    </row>
    <row r="692" spans="6:8" x14ac:dyDescent="0.3">
      <c r="F692"/>
      <c r="G692" s="81"/>
      <c r="H692"/>
    </row>
    <row r="693" spans="6:8" x14ac:dyDescent="0.3">
      <c r="F693"/>
      <c r="G693" s="81"/>
      <c r="H693"/>
    </row>
    <row r="694" spans="6:8" x14ac:dyDescent="0.3">
      <c r="F694"/>
      <c r="G694" s="81"/>
      <c r="H694"/>
    </row>
    <row r="695" spans="6:8" x14ac:dyDescent="0.3">
      <c r="F695"/>
      <c r="G695" s="81"/>
      <c r="H695"/>
    </row>
    <row r="696" spans="6:8" x14ac:dyDescent="0.3">
      <c r="F696"/>
      <c r="G696" s="81"/>
      <c r="H696"/>
    </row>
    <row r="697" spans="6:8" x14ac:dyDescent="0.3">
      <c r="F697"/>
      <c r="G697" s="81"/>
      <c r="H697"/>
    </row>
    <row r="698" spans="6:8" x14ac:dyDescent="0.3">
      <c r="F698"/>
      <c r="G698" s="81"/>
      <c r="H698"/>
    </row>
    <row r="699" spans="6:8" x14ac:dyDescent="0.3">
      <c r="F699"/>
      <c r="G699" s="81"/>
      <c r="H699"/>
    </row>
    <row r="700" spans="6:8" x14ac:dyDescent="0.3">
      <c r="F700"/>
      <c r="G700" s="81"/>
      <c r="H700"/>
    </row>
    <row r="701" spans="6:8" x14ac:dyDescent="0.3">
      <c r="F701"/>
      <c r="G701" s="81"/>
      <c r="H701"/>
    </row>
    <row r="702" spans="6:8" x14ac:dyDescent="0.3">
      <c r="F702"/>
      <c r="G702" s="81"/>
      <c r="H702"/>
    </row>
    <row r="703" spans="6:8" x14ac:dyDescent="0.3">
      <c r="F703"/>
      <c r="G703" s="81"/>
      <c r="H703"/>
    </row>
    <row r="704" spans="6:8" x14ac:dyDescent="0.3">
      <c r="F704"/>
      <c r="G704" s="81"/>
      <c r="H704"/>
    </row>
    <row r="705" spans="6:8" x14ac:dyDescent="0.3">
      <c r="F705"/>
      <c r="G705" s="81"/>
      <c r="H705"/>
    </row>
    <row r="706" spans="6:8" x14ac:dyDescent="0.3">
      <c r="F706"/>
      <c r="G706" s="81"/>
      <c r="H706"/>
    </row>
    <row r="707" spans="6:8" x14ac:dyDescent="0.3">
      <c r="F707"/>
      <c r="G707" s="81"/>
      <c r="H707"/>
    </row>
    <row r="708" spans="6:8" x14ac:dyDescent="0.3">
      <c r="F708"/>
      <c r="G708" s="81"/>
      <c r="H708"/>
    </row>
    <row r="709" spans="6:8" x14ac:dyDescent="0.3">
      <c r="F709"/>
      <c r="G709" s="81"/>
      <c r="H709"/>
    </row>
    <row r="710" spans="6:8" x14ac:dyDescent="0.3">
      <c r="F710"/>
      <c r="G710" s="81"/>
      <c r="H710"/>
    </row>
    <row r="711" spans="6:8" x14ac:dyDescent="0.3">
      <c r="F711"/>
      <c r="G711" s="81"/>
      <c r="H711"/>
    </row>
    <row r="712" spans="6:8" x14ac:dyDescent="0.3">
      <c r="F712"/>
      <c r="G712" s="81"/>
      <c r="H712"/>
    </row>
    <row r="713" spans="6:8" x14ac:dyDescent="0.3">
      <c r="F713"/>
      <c r="G713" s="81"/>
      <c r="H713"/>
    </row>
    <row r="714" spans="6:8" x14ac:dyDescent="0.3">
      <c r="F714"/>
      <c r="G714" s="81"/>
      <c r="H714"/>
    </row>
    <row r="715" spans="6:8" x14ac:dyDescent="0.3">
      <c r="F715"/>
      <c r="G715" s="81"/>
      <c r="H715"/>
    </row>
    <row r="716" spans="6:8" x14ac:dyDescent="0.3">
      <c r="F716"/>
      <c r="G716" s="81"/>
      <c r="H716"/>
    </row>
    <row r="717" spans="6:8" x14ac:dyDescent="0.3">
      <c r="F717"/>
      <c r="G717" s="81"/>
      <c r="H717"/>
    </row>
    <row r="718" spans="6:8" x14ac:dyDescent="0.3">
      <c r="F718"/>
      <c r="G718" s="81"/>
      <c r="H718"/>
    </row>
    <row r="719" spans="6:8" x14ac:dyDescent="0.3">
      <c r="F719"/>
      <c r="G719" s="81"/>
      <c r="H719"/>
    </row>
    <row r="720" spans="6:8" x14ac:dyDescent="0.3">
      <c r="F720"/>
      <c r="G720" s="81"/>
      <c r="H720"/>
    </row>
    <row r="721" spans="6:8" x14ac:dyDescent="0.3">
      <c r="F721"/>
      <c r="G721" s="81"/>
      <c r="H721"/>
    </row>
    <row r="722" spans="6:8" x14ac:dyDescent="0.3">
      <c r="F722"/>
      <c r="G722" s="81"/>
      <c r="H722"/>
    </row>
    <row r="723" spans="6:8" x14ac:dyDescent="0.3">
      <c r="F723"/>
      <c r="G723" s="81"/>
      <c r="H723"/>
    </row>
    <row r="724" spans="6:8" x14ac:dyDescent="0.3">
      <c r="F724"/>
      <c r="G724" s="81"/>
      <c r="H724"/>
    </row>
    <row r="725" spans="6:8" x14ac:dyDescent="0.3">
      <c r="F725"/>
      <c r="G725" s="81"/>
      <c r="H725"/>
    </row>
    <row r="726" spans="6:8" x14ac:dyDescent="0.3">
      <c r="F726"/>
      <c r="G726" s="81"/>
      <c r="H726"/>
    </row>
    <row r="727" spans="6:8" x14ac:dyDescent="0.3">
      <c r="F727"/>
      <c r="G727" s="81"/>
      <c r="H727"/>
    </row>
    <row r="728" spans="6:8" x14ac:dyDescent="0.3">
      <c r="F728"/>
      <c r="G728" s="81"/>
      <c r="H728"/>
    </row>
    <row r="729" spans="6:8" x14ac:dyDescent="0.3">
      <c r="F729"/>
      <c r="G729" s="81"/>
      <c r="H729"/>
    </row>
    <row r="730" spans="6:8" x14ac:dyDescent="0.3">
      <c r="F730"/>
      <c r="G730" s="81"/>
      <c r="H730"/>
    </row>
    <row r="731" spans="6:8" x14ac:dyDescent="0.3">
      <c r="F731"/>
      <c r="G731" s="81"/>
      <c r="H731"/>
    </row>
    <row r="732" spans="6:8" x14ac:dyDescent="0.3">
      <c r="F732"/>
      <c r="G732" s="81"/>
      <c r="H732"/>
    </row>
    <row r="733" spans="6:8" x14ac:dyDescent="0.3">
      <c r="F733"/>
      <c r="G733" s="81"/>
      <c r="H733"/>
    </row>
    <row r="734" spans="6:8" x14ac:dyDescent="0.3">
      <c r="F734"/>
      <c r="G734" s="81"/>
      <c r="H734"/>
    </row>
    <row r="735" spans="6:8" x14ac:dyDescent="0.3">
      <c r="F735"/>
      <c r="G735" s="81"/>
      <c r="H735"/>
    </row>
    <row r="736" spans="6:8" x14ac:dyDescent="0.3">
      <c r="F736"/>
      <c r="G736" s="81"/>
      <c r="H736"/>
    </row>
    <row r="737" spans="6:8" x14ac:dyDescent="0.3">
      <c r="F737"/>
      <c r="G737" s="81"/>
      <c r="H737"/>
    </row>
    <row r="738" spans="6:8" x14ac:dyDescent="0.3">
      <c r="F738"/>
      <c r="G738" s="81"/>
      <c r="H738"/>
    </row>
    <row r="739" spans="6:8" x14ac:dyDescent="0.3">
      <c r="F739"/>
      <c r="G739" s="81"/>
      <c r="H739"/>
    </row>
    <row r="740" spans="6:8" x14ac:dyDescent="0.3">
      <c r="F740"/>
      <c r="G740" s="81"/>
      <c r="H740"/>
    </row>
    <row r="741" spans="6:8" x14ac:dyDescent="0.3">
      <c r="F741"/>
      <c r="G741" s="81"/>
      <c r="H741"/>
    </row>
    <row r="742" spans="6:8" x14ac:dyDescent="0.3">
      <c r="F742"/>
      <c r="G742" s="81"/>
      <c r="H742"/>
    </row>
    <row r="743" spans="6:8" x14ac:dyDescent="0.3">
      <c r="F743"/>
      <c r="G743" s="81"/>
      <c r="H743"/>
    </row>
    <row r="744" spans="6:8" x14ac:dyDescent="0.3">
      <c r="F744"/>
      <c r="G744" s="81"/>
      <c r="H744"/>
    </row>
    <row r="745" spans="6:8" x14ac:dyDescent="0.3">
      <c r="F745"/>
      <c r="G745" s="81"/>
      <c r="H745"/>
    </row>
    <row r="746" spans="6:8" x14ac:dyDescent="0.3">
      <c r="F746"/>
      <c r="G746" s="81"/>
      <c r="H746"/>
    </row>
    <row r="747" spans="6:8" x14ac:dyDescent="0.3">
      <c r="F747"/>
      <c r="G747" s="81"/>
      <c r="H747"/>
    </row>
    <row r="748" spans="6:8" x14ac:dyDescent="0.3">
      <c r="F748"/>
      <c r="G748" s="81"/>
      <c r="H748"/>
    </row>
    <row r="749" spans="6:8" x14ac:dyDescent="0.3">
      <c r="F749"/>
      <c r="G749" s="81"/>
      <c r="H749"/>
    </row>
    <row r="750" spans="6:8" x14ac:dyDescent="0.3">
      <c r="F750"/>
      <c r="G750" s="81"/>
      <c r="H750"/>
    </row>
    <row r="751" spans="6:8" x14ac:dyDescent="0.3">
      <c r="F751"/>
      <c r="G751" s="81"/>
      <c r="H751"/>
    </row>
    <row r="752" spans="6:8" x14ac:dyDescent="0.3">
      <c r="F752"/>
      <c r="G752" s="81"/>
      <c r="H752"/>
    </row>
    <row r="753" spans="6:8" x14ac:dyDescent="0.3">
      <c r="F753"/>
      <c r="G753" s="81"/>
      <c r="H753"/>
    </row>
    <row r="754" spans="6:8" x14ac:dyDescent="0.3">
      <c r="F754"/>
      <c r="G754" s="81"/>
      <c r="H754"/>
    </row>
    <row r="755" spans="6:8" x14ac:dyDescent="0.3">
      <c r="F755"/>
      <c r="G755" s="81"/>
      <c r="H755"/>
    </row>
    <row r="756" spans="6:8" x14ac:dyDescent="0.3">
      <c r="F756"/>
      <c r="G756" s="81"/>
      <c r="H756"/>
    </row>
    <row r="757" spans="6:8" x14ac:dyDescent="0.3">
      <c r="F757"/>
      <c r="G757" s="81"/>
      <c r="H757"/>
    </row>
    <row r="758" spans="6:8" x14ac:dyDescent="0.3">
      <c r="F758"/>
      <c r="G758" s="81"/>
      <c r="H758"/>
    </row>
    <row r="759" spans="6:8" x14ac:dyDescent="0.3">
      <c r="F759"/>
      <c r="G759" s="81"/>
      <c r="H759"/>
    </row>
    <row r="760" spans="6:8" x14ac:dyDescent="0.3">
      <c r="F760"/>
      <c r="G760" s="81"/>
      <c r="H760"/>
    </row>
    <row r="761" spans="6:8" x14ac:dyDescent="0.3">
      <c r="F761"/>
      <c r="G761" s="81"/>
      <c r="H761"/>
    </row>
    <row r="762" spans="6:8" x14ac:dyDescent="0.3">
      <c r="F762"/>
      <c r="G762" s="81"/>
      <c r="H762"/>
    </row>
    <row r="763" spans="6:8" x14ac:dyDescent="0.3">
      <c r="F763"/>
      <c r="G763" s="81"/>
      <c r="H763"/>
    </row>
    <row r="764" spans="6:8" x14ac:dyDescent="0.3">
      <c r="F764"/>
      <c r="G764" s="81"/>
      <c r="H764"/>
    </row>
    <row r="765" spans="6:8" x14ac:dyDescent="0.3">
      <c r="F765"/>
      <c r="G765" s="81"/>
      <c r="H765"/>
    </row>
    <row r="766" spans="6:8" x14ac:dyDescent="0.3">
      <c r="F766"/>
      <c r="G766" s="81"/>
      <c r="H766"/>
    </row>
    <row r="767" spans="6:8" x14ac:dyDescent="0.3">
      <c r="F767"/>
      <c r="G767" s="81"/>
      <c r="H767"/>
    </row>
    <row r="768" spans="6:8" x14ac:dyDescent="0.3">
      <c r="F768"/>
      <c r="G768" s="81"/>
      <c r="H768"/>
    </row>
    <row r="769" spans="6:8" x14ac:dyDescent="0.3">
      <c r="F769"/>
      <c r="G769" s="81"/>
      <c r="H769"/>
    </row>
    <row r="770" spans="6:8" x14ac:dyDescent="0.3">
      <c r="F770"/>
      <c r="G770" s="81"/>
      <c r="H770"/>
    </row>
    <row r="771" spans="6:8" x14ac:dyDescent="0.3">
      <c r="F771"/>
      <c r="G771" s="81"/>
      <c r="H771"/>
    </row>
    <row r="772" spans="6:8" x14ac:dyDescent="0.3">
      <c r="F772"/>
      <c r="G772" s="81"/>
      <c r="H772"/>
    </row>
    <row r="773" spans="6:8" x14ac:dyDescent="0.3">
      <c r="F773"/>
      <c r="G773" s="81"/>
      <c r="H773"/>
    </row>
    <row r="774" spans="6:8" x14ac:dyDescent="0.3">
      <c r="F774"/>
      <c r="G774" s="81"/>
      <c r="H774"/>
    </row>
    <row r="775" spans="6:8" x14ac:dyDescent="0.3">
      <c r="F775"/>
      <c r="G775" s="81"/>
      <c r="H775"/>
    </row>
    <row r="776" spans="6:8" x14ac:dyDescent="0.3">
      <c r="F776"/>
      <c r="G776" s="81"/>
      <c r="H776"/>
    </row>
    <row r="777" spans="6:8" x14ac:dyDescent="0.3">
      <c r="F777"/>
      <c r="G777" s="81"/>
      <c r="H777"/>
    </row>
    <row r="778" spans="6:8" x14ac:dyDescent="0.3">
      <c r="F778"/>
      <c r="G778" s="81"/>
      <c r="H778"/>
    </row>
    <row r="779" spans="6:8" x14ac:dyDescent="0.3">
      <c r="F779"/>
      <c r="G779" s="81"/>
      <c r="H779"/>
    </row>
    <row r="780" spans="6:8" x14ac:dyDescent="0.3">
      <c r="F780"/>
      <c r="G780" s="81"/>
      <c r="H780"/>
    </row>
    <row r="781" spans="6:8" x14ac:dyDescent="0.3">
      <c r="F781"/>
      <c r="G781" s="81"/>
      <c r="H781"/>
    </row>
    <row r="782" spans="6:8" x14ac:dyDescent="0.3">
      <c r="F782"/>
      <c r="G782" s="81"/>
      <c r="H782"/>
    </row>
    <row r="783" spans="6:8" x14ac:dyDescent="0.3">
      <c r="F783"/>
      <c r="G783" s="81"/>
      <c r="H783"/>
    </row>
    <row r="784" spans="6:8" x14ac:dyDescent="0.3">
      <c r="F784"/>
      <c r="G784" s="81"/>
      <c r="H784"/>
    </row>
    <row r="785" spans="6:8" x14ac:dyDescent="0.3">
      <c r="F785"/>
      <c r="G785" s="81"/>
      <c r="H785"/>
    </row>
    <row r="786" spans="6:8" x14ac:dyDescent="0.3">
      <c r="F786"/>
      <c r="G786" s="81"/>
      <c r="H786"/>
    </row>
    <row r="787" spans="6:8" x14ac:dyDescent="0.3">
      <c r="F787"/>
      <c r="G787" s="81"/>
      <c r="H787"/>
    </row>
    <row r="788" spans="6:8" x14ac:dyDescent="0.3">
      <c r="F788"/>
      <c r="G788" s="81"/>
      <c r="H788"/>
    </row>
    <row r="789" spans="6:8" x14ac:dyDescent="0.3">
      <c r="F789"/>
      <c r="G789" s="81"/>
      <c r="H789"/>
    </row>
    <row r="790" spans="6:8" x14ac:dyDescent="0.3">
      <c r="F790"/>
      <c r="G790" s="81"/>
      <c r="H790"/>
    </row>
    <row r="791" spans="6:8" x14ac:dyDescent="0.3">
      <c r="F791"/>
      <c r="G791" s="81"/>
      <c r="H791"/>
    </row>
    <row r="792" spans="6:8" x14ac:dyDescent="0.3">
      <c r="F792"/>
      <c r="G792" s="81"/>
      <c r="H792"/>
    </row>
    <row r="793" spans="6:8" x14ac:dyDescent="0.3">
      <c r="F793"/>
      <c r="G793" s="81"/>
      <c r="H793"/>
    </row>
    <row r="794" spans="6:8" x14ac:dyDescent="0.3">
      <c r="F794"/>
      <c r="G794" s="81"/>
      <c r="H794"/>
    </row>
    <row r="795" spans="6:8" x14ac:dyDescent="0.3">
      <c r="F795"/>
      <c r="G795" s="81"/>
      <c r="H795"/>
    </row>
    <row r="796" spans="6:8" x14ac:dyDescent="0.3">
      <c r="F796"/>
      <c r="G796" s="81"/>
      <c r="H796"/>
    </row>
    <row r="797" spans="6:8" x14ac:dyDescent="0.3">
      <c r="F797"/>
      <c r="G797" s="81"/>
      <c r="H797"/>
    </row>
    <row r="798" spans="6:8" x14ac:dyDescent="0.3">
      <c r="F798"/>
      <c r="G798" s="81"/>
      <c r="H798"/>
    </row>
    <row r="799" spans="6:8" x14ac:dyDescent="0.3">
      <c r="F799"/>
      <c r="G799" s="81"/>
      <c r="H799"/>
    </row>
    <row r="800" spans="6:8" x14ac:dyDescent="0.3">
      <c r="F800"/>
      <c r="G800" s="81"/>
      <c r="H800"/>
    </row>
    <row r="801" spans="6:8" x14ac:dyDescent="0.3">
      <c r="F801"/>
      <c r="G801" s="81"/>
      <c r="H801"/>
    </row>
    <row r="802" spans="6:8" x14ac:dyDescent="0.3">
      <c r="F802"/>
      <c r="G802" s="81"/>
      <c r="H802"/>
    </row>
    <row r="803" spans="6:8" x14ac:dyDescent="0.3">
      <c r="F803"/>
      <c r="G803" s="81"/>
      <c r="H803"/>
    </row>
    <row r="804" spans="6:8" x14ac:dyDescent="0.3">
      <c r="F804"/>
      <c r="G804" s="81"/>
      <c r="H804"/>
    </row>
    <row r="805" spans="6:8" x14ac:dyDescent="0.3">
      <c r="F805"/>
      <c r="G805" s="81"/>
      <c r="H805"/>
    </row>
    <row r="806" spans="6:8" x14ac:dyDescent="0.3">
      <c r="F806"/>
      <c r="G806" s="81"/>
      <c r="H806"/>
    </row>
    <row r="807" spans="6:8" x14ac:dyDescent="0.3">
      <c r="F807"/>
      <c r="G807" s="81"/>
      <c r="H807"/>
    </row>
    <row r="808" spans="6:8" x14ac:dyDescent="0.3">
      <c r="F808"/>
      <c r="G808" s="81"/>
      <c r="H808"/>
    </row>
    <row r="809" spans="6:8" x14ac:dyDescent="0.3">
      <c r="F809"/>
      <c r="G809" s="81"/>
      <c r="H809"/>
    </row>
    <row r="810" spans="6:8" x14ac:dyDescent="0.3">
      <c r="F810"/>
      <c r="G810" s="81"/>
      <c r="H810"/>
    </row>
    <row r="811" spans="6:8" x14ac:dyDescent="0.3">
      <c r="F811"/>
      <c r="G811" s="81"/>
      <c r="H811"/>
    </row>
    <row r="812" spans="6:8" x14ac:dyDescent="0.3">
      <c r="F812"/>
      <c r="G812" s="81"/>
      <c r="H812"/>
    </row>
    <row r="813" spans="6:8" x14ac:dyDescent="0.3">
      <c r="F813"/>
      <c r="G813" s="81"/>
      <c r="H813"/>
    </row>
    <row r="814" spans="6:8" x14ac:dyDescent="0.3">
      <c r="F814"/>
      <c r="G814" s="81"/>
      <c r="H814"/>
    </row>
    <row r="815" spans="6:8" x14ac:dyDescent="0.3">
      <c r="F815"/>
      <c r="G815" s="81"/>
      <c r="H815"/>
    </row>
    <row r="816" spans="6:8" x14ac:dyDescent="0.3">
      <c r="F816"/>
      <c r="G816" s="81"/>
      <c r="H816"/>
    </row>
    <row r="817" spans="6:8" x14ac:dyDescent="0.3">
      <c r="F817"/>
      <c r="G817" s="81"/>
      <c r="H817"/>
    </row>
    <row r="818" spans="6:8" x14ac:dyDescent="0.3">
      <c r="F818"/>
      <c r="G818" s="81"/>
      <c r="H818"/>
    </row>
    <row r="819" spans="6:8" x14ac:dyDescent="0.3">
      <c r="F819"/>
      <c r="G819" s="81"/>
      <c r="H819"/>
    </row>
    <row r="820" spans="6:8" x14ac:dyDescent="0.3">
      <c r="F820"/>
      <c r="G820" s="81"/>
      <c r="H820"/>
    </row>
    <row r="821" spans="6:8" x14ac:dyDescent="0.3">
      <c r="F821"/>
      <c r="G821" s="81"/>
      <c r="H821"/>
    </row>
    <row r="822" spans="6:8" x14ac:dyDescent="0.3">
      <c r="F822"/>
      <c r="G822" s="81"/>
      <c r="H822"/>
    </row>
    <row r="823" spans="6:8" x14ac:dyDescent="0.3">
      <c r="F823"/>
      <c r="G823" s="81"/>
      <c r="H823"/>
    </row>
    <row r="824" spans="6:8" x14ac:dyDescent="0.3">
      <c r="F824"/>
      <c r="G824" s="81"/>
      <c r="H824"/>
    </row>
    <row r="825" spans="6:8" x14ac:dyDescent="0.3">
      <c r="F825"/>
      <c r="G825" s="81"/>
      <c r="H825"/>
    </row>
    <row r="826" spans="6:8" x14ac:dyDescent="0.3">
      <c r="F826"/>
      <c r="G826" s="81"/>
      <c r="H826"/>
    </row>
    <row r="827" spans="6:8" x14ac:dyDescent="0.3">
      <c r="F827"/>
      <c r="G827" s="81"/>
      <c r="H827"/>
    </row>
    <row r="828" spans="6:8" x14ac:dyDescent="0.3">
      <c r="F828"/>
      <c r="G828" s="81"/>
      <c r="H828"/>
    </row>
    <row r="829" spans="6:8" x14ac:dyDescent="0.3">
      <c r="F829"/>
      <c r="G829" s="81"/>
      <c r="H829"/>
    </row>
    <row r="830" spans="6:8" x14ac:dyDescent="0.3">
      <c r="F830"/>
      <c r="G830" s="81"/>
      <c r="H830"/>
    </row>
    <row r="831" spans="6:8" x14ac:dyDescent="0.3">
      <c r="F831"/>
      <c r="G831" s="81"/>
      <c r="H831"/>
    </row>
    <row r="832" spans="6:8" x14ac:dyDescent="0.3">
      <c r="F832"/>
      <c r="G832" s="81"/>
      <c r="H832"/>
    </row>
    <row r="833" spans="6:8" x14ac:dyDescent="0.3">
      <c r="F833"/>
      <c r="G833" s="81"/>
      <c r="H833"/>
    </row>
    <row r="834" spans="6:8" x14ac:dyDescent="0.3">
      <c r="F834"/>
      <c r="G834" s="81"/>
      <c r="H834"/>
    </row>
    <row r="835" spans="6:8" x14ac:dyDescent="0.3">
      <c r="F835"/>
      <c r="G835" s="81"/>
      <c r="H835"/>
    </row>
    <row r="836" spans="6:8" x14ac:dyDescent="0.3">
      <c r="F836"/>
      <c r="G836" s="81"/>
      <c r="H836"/>
    </row>
    <row r="837" spans="6:8" x14ac:dyDescent="0.3">
      <c r="F837"/>
      <c r="G837" s="81"/>
      <c r="H837"/>
    </row>
    <row r="838" spans="6:8" x14ac:dyDescent="0.3">
      <c r="F838"/>
      <c r="G838" s="81"/>
      <c r="H838"/>
    </row>
    <row r="839" spans="6:8" x14ac:dyDescent="0.3">
      <c r="F839"/>
      <c r="G839" s="81"/>
      <c r="H839"/>
    </row>
    <row r="840" spans="6:8" x14ac:dyDescent="0.3">
      <c r="F840"/>
      <c r="G840" s="81"/>
      <c r="H840"/>
    </row>
    <row r="841" spans="6:8" x14ac:dyDescent="0.3">
      <c r="F841"/>
      <c r="G841" s="81"/>
      <c r="H841"/>
    </row>
    <row r="842" spans="6:8" x14ac:dyDescent="0.3">
      <c r="F842"/>
      <c r="G842" s="81"/>
      <c r="H842"/>
    </row>
    <row r="843" spans="6:8" x14ac:dyDescent="0.3">
      <c r="F843"/>
      <c r="G843" s="81"/>
      <c r="H843"/>
    </row>
    <row r="844" spans="6:8" x14ac:dyDescent="0.3">
      <c r="F844"/>
      <c r="G844" s="81"/>
      <c r="H844"/>
    </row>
    <row r="845" spans="6:8" x14ac:dyDescent="0.3">
      <c r="F845"/>
      <c r="G845" s="81"/>
      <c r="H845"/>
    </row>
    <row r="846" spans="6:8" x14ac:dyDescent="0.3">
      <c r="F846"/>
      <c r="G846" s="81"/>
      <c r="H846"/>
    </row>
    <row r="847" spans="6:8" x14ac:dyDescent="0.3">
      <c r="F847"/>
      <c r="G847" s="81"/>
      <c r="H847"/>
    </row>
    <row r="848" spans="6:8" x14ac:dyDescent="0.3">
      <c r="F848"/>
      <c r="G848" s="81"/>
      <c r="H848"/>
    </row>
    <row r="849" spans="6:8" x14ac:dyDescent="0.3">
      <c r="F849"/>
      <c r="G849" s="81"/>
      <c r="H849"/>
    </row>
    <row r="850" spans="6:8" x14ac:dyDescent="0.3">
      <c r="F850"/>
      <c r="G850" s="81"/>
      <c r="H850"/>
    </row>
    <row r="851" spans="6:8" x14ac:dyDescent="0.3">
      <c r="F851"/>
      <c r="G851" s="81"/>
      <c r="H851"/>
    </row>
    <row r="852" spans="6:8" x14ac:dyDescent="0.3">
      <c r="F852"/>
      <c r="G852" s="81"/>
      <c r="H852"/>
    </row>
    <row r="853" spans="6:8" x14ac:dyDescent="0.3">
      <c r="F853"/>
      <c r="G853" s="81"/>
      <c r="H853"/>
    </row>
    <row r="854" spans="6:8" x14ac:dyDescent="0.3">
      <c r="F854"/>
      <c r="G854" s="81"/>
      <c r="H854"/>
    </row>
    <row r="855" spans="6:8" x14ac:dyDescent="0.3">
      <c r="F855"/>
      <c r="G855" s="81"/>
      <c r="H855"/>
    </row>
    <row r="856" spans="6:8" x14ac:dyDescent="0.3">
      <c r="F856"/>
      <c r="G856" s="81"/>
      <c r="H856"/>
    </row>
    <row r="857" spans="6:8" x14ac:dyDescent="0.3">
      <c r="F857"/>
      <c r="G857" s="81"/>
      <c r="H857"/>
    </row>
    <row r="858" spans="6:8" x14ac:dyDescent="0.3">
      <c r="F858"/>
      <c r="G858" s="81"/>
      <c r="H858"/>
    </row>
    <row r="859" spans="6:8" x14ac:dyDescent="0.3">
      <c r="F859"/>
      <c r="G859" s="81"/>
      <c r="H859"/>
    </row>
    <row r="860" spans="6:8" x14ac:dyDescent="0.3">
      <c r="F860"/>
      <c r="G860" s="81"/>
      <c r="H860"/>
    </row>
    <row r="861" spans="6:8" x14ac:dyDescent="0.3">
      <c r="F861"/>
      <c r="G861" s="81"/>
      <c r="H861"/>
    </row>
    <row r="862" spans="6:8" x14ac:dyDescent="0.3">
      <c r="F862"/>
      <c r="G862" s="81"/>
      <c r="H862"/>
    </row>
    <row r="863" spans="6:8" x14ac:dyDescent="0.3">
      <c r="F863"/>
      <c r="G863" s="81"/>
      <c r="H863"/>
    </row>
    <row r="864" spans="6:8" x14ac:dyDescent="0.3">
      <c r="F864"/>
      <c r="G864" s="81"/>
      <c r="H864"/>
    </row>
    <row r="865" spans="6:8" x14ac:dyDescent="0.3">
      <c r="F865"/>
      <c r="G865" s="81"/>
      <c r="H865"/>
    </row>
    <row r="866" spans="6:8" x14ac:dyDescent="0.3">
      <c r="F866"/>
      <c r="G866" s="81"/>
      <c r="H866"/>
    </row>
    <row r="867" spans="6:8" x14ac:dyDescent="0.3">
      <c r="F867"/>
      <c r="G867" s="81"/>
      <c r="H867"/>
    </row>
    <row r="868" spans="6:8" x14ac:dyDescent="0.3">
      <c r="F868"/>
      <c r="G868" s="81"/>
      <c r="H868"/>
    </row>
    <row r="869" spans="6:8" x14ac:dyDescent="0.3">
      <c r="F869"/>
      <c r="G869" s="81"/>
      <c r="H869"/>
    </row>
    <row r="870" spans="6:8" x14ac:dyDescent="0.3">
      <c r="F870"/>
      <c r="G870" s="81"/>
      <c r="H870"/>
    </row>
    <row r="871" spans="6:8" x14ac:dyDescent="0.3">
      <c r="F871"/>
      <c r="G871" s="81"/>
      <c r="H871"/>
    </row>
    <row r="872" spans="6:8" x14ac:dyDescent="0.3">
      <c r="F872"/>
      <c r="G872" s="81"/>
      <c r="H872"/>
    </row>
    <row r="873" spans="6:8" x14ac:dyDescent="0.3">
      <c r="F873"/>
      <c r="G873" s="81"/>
      <c r="H873"/>
    </row>
    <row r="874" spans="6:8" x14ac:dyDescent="0.3">
      <c r="F874"/>
      <c r="G874" s="81"/>
      <c r="H874"/>
    </row>
    <row r="875" spans="6:8" x14ac:dyDescent="0.3">
      <c r="F875"/>
      <c r="G875" s="81"/>
      <c r="H875"/>
    </row>
    <row r="876" spans="6:8" x14ac:dyDescent="0.3">
      <c r="F876"/>
      <c r="G876" s="81"/>
      <c r="H876"/>
    </row>
    <row r="877" spans="6:8" x14ac:dyDescent="0.3">
      <c r="F877"/>
      <c r="G877" s="81"/>
      <c r="H877"/>
    </row>
    <row r="878" spans="6:8" x14ac:dyDescent="0.3">
      <c r="F878"/>
      <c r="G878" s="81"/>
      <c r="H878"/>
    </row>
    <row r="879" spans="6:8" x14ac:dyDescent="0.3">
      <c r="F879"/>
      <c r="G879" s="81"/>
      <c r="H879"/>
    </row>
    <row r="880" spans="6:8" x14ac:dyDescent="0.3">
      <c r="F880"/>
      <c r="G880" s="81"/>
      <c r="H880"/>
    </row>
    <row r="881" spans="6:8" x14ac:dyDescent="0.3">
      <c r="F881"/>
      <c r="G881" s="81"/>
      <c r="H881"/>
    </row>
    <row r="882" spans="6:8" x14ac:dyDescent="0.3">
      <c r="F882"/>
      <c r="G882" s="81"/>
      <c r="H882"/>
    </row>
    <row r="883" spans="6:8" x14ac:dyDescent="0.3">
      <c r="F883"/>
      <c r="G883" s="81"/>
      <c r="H883"/>
    </row>
    <row r="884" spans="6:8" x14ac:dyDescent="0.3">
      <c r="F884"/>
      <c r="G884" s="81"/>
      <c r="H884"/>
    </row>
    <row r="885" spans="6:8" x14ac:dyDescent="0.3">
      <c r="F885"/>
      <c r="G885" s="81"/>
      <c r="H885"/>
    </row>
    <row r="886" spans="6:8" x14ac:dyDescent="0.3">
      <c r="F886"/>
      <c r="G886" s="81"/>
      <c r="H886"/>
    </row>
    <row r="887" spans="6:8" x14ac:dyDescent="0.3">
      <c r="F887"/>
      <c r="G887" s="81"/>
      <c r="H887"/>
    </row>
    <row r="888" spans="6:8" x14ac:dyDescent="0.3">
      <c r="F888"/>
      <c r="G888" s="81"/>
      <c r="H888"/>
    </row>
    <row r="889" spans="6:8" x14ac:dyDescent="0.3">
      <c r="F889"/>
      <c r="G889" s="81"/>
      <c r="H889"/>
    </row>
    <row r="890" spans="6:8" x14ac:dyDescent="0.3">
      <c r="F890"/>
      <c r="G890" s="81"/>
      <c r="H890"/>
    </row>
    <row r="891" spans="6:8" x14ac:dyDescent="0.3">
      <c r="F891"/>
      <c r="G891" s="81"/>
      <c r="H891"/>
    </row>
    <row r="892" spans="6:8" x14ac:dyDescent="0.3">
      <c r="F892"/>
      <c r="G892" s="81"/>
      <c r="H892"/>
    </row>
    <row r="893" spans="6:8" x14ac:dyDescent="0.3">
      <c r="F893"/>
      <c r="G893" s="81"/>
      <c r="H893"/>
    </row>
    <row r="894" spans="6:8" x14ac:dyDescent="0.3">
      <c r="F894"/>
      <c r="G894" s="81"/>
      <c r="H894"/>
    </row>
    <row r="895" spans="6:8" x14ac:dyDescent="0.3">
      <c r="F895"/>
      <c r="G895" s="81"/>
      <c r="H895"/>
    </row>
    <row r="896" spans="6:8" x14ac:dyDescent="0.3">
      <c r="F896"/>
      <c r="G896" s="81"/>
      <c r="H896"/>
    </row>
    <row r="897" spans="6:8" x14ac:dyDescent="0.3">
      <c r="F897"/>
      <c r="G897" s="81"/>
      <c r="H897"/>
    </row>
    <row r="898" spans="6:8" x14ac:dyDescent="0.3">
      <c r="F898"/>
      <c r="G898" s="81"/>
      <c r="H898"/>
    </row>
    <row r="899" spans="6:8" x14ac:dyDescent="0.3">
      <c r="F899"/>
      <c r="G899" s="81"/>
      <c r="H899"/>
    </row>
    <row r="900" spans="6:8" x14ac:dyDescent="0.3">
      <c r="F900"/>
      <c r="G900" s="81"/>
      <c r="H900"/>
    </row>
    <row r="901" spans="6:8" x14ac:dyDescent="0.3">
      <c r="F901"/>
      <c r="G901" s="81"/>
      <c r="H901"/>
    </row>
    <row r="902" spans="6:8" x14ac:dyDescent="0.3">
      <c r="F902"/>
      <c r="G902" s="81"/>
      <c r="H902"/>
    </row>
    <row r="903" spans="6:8" x14ac:dyDescent="0.3">
      <c r="F903"/>
      <c r="G903" s="81"/>
      <c r="H903"/>
    </row>
    <row r="904" spans="6:8" x14ac:dyDescent="0.3">
      <c r="F904"/>
      <c r="G904" s="81"/>
      <c r="H904"/>
    </row>
    <row r="905" spans="6:8" x14ac:dyDescent="0.3">
      <c r="F905"/>
      <c r="G905" s="81"/>
      <c r="H905"/>
    </row>
    <row r="906" spans="6:8" x14ac:dyDescent="0.3">
      <c r="F906"/>
      <c r="G906" s="81"/>
      <c r="H906"/>
    </row>
    <row r="907" spans="6:8" x14ac:dyDescent="0.3">
      <c r="F907"/>
      <c r="G907" s="81"/>
      <c r="H907"/>
    </row>
    <row r="908" spans="6:8" x14ac:dyDescent="0.3">
      <c r="F908"/>
      <c r="G908" s="81"/>
      <c r="H908"/>
    </row>
    <row r="909" spans="6:8" x14ac:dyDescent="0.3">
      <c r="F909"/>
      <c r="G909" s="81"/>
      <c r="H909"/>
    </row>
    <row r="910" spans="6:8" x14ac:dyDescent="0.3">
      <c r="F910"/>
      <c r="G910" s="81"/>
      <c r="H910"/>
    </row>
    <row r="911" spans="6:8" x14ac:dyDescent="0.3">
      <c r="F911"/>
      <c r="G911" s="81"/>
      <c r="H911"/>
    </row>
    <row r="912" spans="6:8" x14ac:dyDescent="0.3">
      <c r="F912"/>
      <c r="G912" s="81"/>
      <c r="H912"/>
    </row>
    <row r="913" spans="6:8" x14ac:dyDescent="0.3">
      <c r="F913"/>
      <c r="G913" s="81"/>
      <c r="H913"/>
    </row>
    <row r="914" spans="6:8" x14ac:dyDescent="0.3">
      <c r="F914"/>
      <c r="G914" s="81"/>
      <c r="H914"/>
    </row>
    <row r="915" spans="6:8" x14ac:dyDescent="0.3">
      <c r="F915"/>
      <c r="G915" s="81"/>
      <c r="H915"/>
    </row>
    <row r="916" spans="6:8" x14ac:dyDescent="0.3">
      <c r="F916"/>
      <c r="G916" s="81"/>
      <c r="H916"/>
    </row>
    <row r="917" spans="6:8" x14ac:dyDescent="0.3">
      <c r="F917"/>
      <c r="G917" s="81"/>
      <c r="H917"/>
    </row>
    <row r="918" spans="6:8" x14ac:dyDescent="0.3">
      <c r="F918"/>
      <c r="G918" s="81"/>
      <c r="H918"/>
    </row>
    <row r="919" spans="6:8" x14ac:dyDescent="0.3">
      <c r="F919"/>
      <c r="G919" s="81"/>
      <c r="H919"/>
    </row>
    <row r="920" spans="6:8" x14ac:dyDescent="0.3">
      <c r="F920"/>
      <c r="G920" s="81"/>
      <c r="H920"/>
    </row>
    <row r="921" spans="6:8" x14ac:dyDescent="0.3">
      <c r="F921"/>
      <c r="G921" s="81"/>
      <c r="H921"/>
    </row>
    <row r="922" spans="6:8" x14ac:dyDescent="0.3">
      <c r="F922"/>
      <c r="G922" s="81"/>
      <c r="H922"/>
    </row>
    <row r="923" spans="6:8" x14ac:dyDescent="0.3">
      <c r="F923"/>
      <c r="G923" s="81"/>
      <c r="H923"/>
    </row>
    <row r="924" spans="6:8" x14ac:dyDescent="0.3">
      <c r="F924"/>
      <c r="G924" s="81"/>
      <c r="H924"/>
    </row>
    <row r="925" spans="6:8" x14ac:dyDescent="0.3">
      <c r="F925"/>
      <c r="G925" s="81"/>
      <c r="H925"/>
    </row>
    <row r="926" spans="6:8" x14ac:dyDescent="0.3">
      <c r="F926"/>
      <c r="G926" s="81"/>
      <c r="H926"/>
    </row>
    <row r="927" spans="6:8" x14ac:dyDescent="0.3">
      <c r="F927"/>
      <c r="G927" s="81"/>
      <c r="H927"/>
    </row>
    <row r="928" spans="6:8" x14ac:dyDescent="0.3">
      <c r="F928"/>
      <c r="G928" s="81"/>
      <c r="H928"/>
    </row>
    <row r="929" spans="6:8" x14ac:dyDescent="0.3">
      <c r="F929"/>
      <c r="G929" s="81"/>
      <c r="H929"/>
    </row>
    <row r="930" spans="6:8" x14ac:dyDescent="0.3">
      <c r="F930"/>
      <c r="G930" s="81"/>
      <c r="H930"/>
    </row>
    <row r="931" spans="6:8" x14ac:dyDescent="0.3">
      <c r="F931"/>
      <c r="G931" s="81"/>
      <c r="H931"/>
    </row>
    <row r="932" spans="6:8" x14ac:dyDescent="0.3">
      <c r="F932"/>
      <c r="G932" s="81"/>
      <c r="H932"/>
    </row>
    <row r="933" spans="6:8" x14ac:dyDescent="0.3">
      <c r="F933"/>
      <c r="G933" s="81"/>
      <c r="H933"/>
    </row>
    <row r="934" spans="6:8" x14ac:dyDescent="0.3">
      <c r="F934"/>
      <c r="G934" s="81"/>
      <c r="H934"/>
    </row>
    <row r="935" spans="6:8" x14ac:dyDescent="0.3">
      <c r="F935"/>
      <c r="G935" s="81"/>
      <c r="H935"/>
    </row>
    <row r="936" spans="6:8" x14ac:dyDescent="0.3">
      <c r="F936"/>
      <c r="G936" s="81"/>
      <c r="H936"/>
    </row>
    <row r="937" spans="6:8" x14ac:dyDescent="0.3">
      <c r="F937"/>
      <c r="G937" s="81"/>
      <c r="H937"/>
    </row>
    <row r="938" spans="6:8" x14ac:dyDescent="0.3">
      <c r="F938"/>
      <c r="G938" s="81"/>
      <c r="H938"/>
    </row>
    <row r="939" spans="6:8" x14ac:dyDescent="0.3">
      <c r="F939"/>
      <c r="G939" s="81"/>
      <c r="H939"/>
    </row>
    <row r="940" spans="6:8" x14ac:dyDescent="0.3">
      <c r="F940"/>
      <c r="G940" s="81"/>
      <c r="H940"/>
    </row>
    <row r="941" spans="6:8" x14ac:dyDescent="0.3">
      <c r="F941"/>
      <c r="G941" s="81"/>
      <c r="H941"/>
    </row>
    <row r="942" spans="6:8" x14ac:dyDescent="0.3">
      <c r="F942"/>
      <c r="G942" s="81"/>
      <c r="H942"/>
    </row>
    <row r="943" spans="6:8" x14ac:dyDescent="0.3">
      <c r="F943"/>
      <c r="G943" s="81"/>
      <c r="H943"/>
    </row>
    <row r="944" spans="6:8" x14ac:dyDescent="0.3">
      <c r="F944"/>
      <c r="G944" s="81"/>
      <c r="H944"/>
    </row>
    <row r="945" spans="6:8" x14ac:dyDescent="0.3">
      <c r="F945"/>
      <c r="G945" s="81"/>
      <c r="H945"/>
    </row>
    <row r="946" spans="6:8" x14ac:dyDescent="0.3">
      <c r="F946"/>
      <c r="G946" s="81"/>
      <c r="H946"/>
    </row>
    <row r="947" spans="6:8" x14ac:dyDescent="0.3">
      <c r="F947"/>
      <c r="G947" s="81"/>
      <c r="H947"/>
    </row>
    <row r="948" spans="6:8" x14ac:dyDescent="0.3">
      <c r="F948"/>
      <c r="G948" s="81"/>
      <c r="H948"/>
    </row>
    <row r="949" spans="6:8" x14ac:dyDescent="0.3">
      <c r="F949"/>
      <c r="G949" s="81"/>
      <c r="H949"/>
    </row>
    <row r="950" spans="6:8" x14ac:dyDescent="0.3">
      <c r="F950"/>
      <c r="G950" s="81"/>
      <c r="H950"/>
    </row>
    <row r="951" spans="6:8" x14ac:dyDescent="0.3">
      <c r="F951"/>
      <c r="G951" s="81"/>
      <c r="H951"/>
    </row>
    <row r="952" spans="6:8" x14ac:dyDescent="0.3">
      <c r="F952"/>
      <c r="G952" s="81"/>
      <c r="H952"/>
    </row>
    <row r="953" spans="6:8" x14ac:dyDescent="0.3">
      <c r="F953"/>
      <c r="G953" s="81"/>
      <c r="H953"/>
    </row>
    <row r="954" spans="6:8" x14ac:dyDescent="0.3">
      <c r="F954"/>
      <c r="G954" s="81"/>
      <c r="H954"/>
    </row>
    <row r="955" spans="6:8" x14ac:dyDescent="0.3">
      <c r="F955"/>
      <c r="G955" s="81"/>
      <c r="H955"/>
    </row>
    <row r="956" spans="6:8" x14ac:dyDescent="0.3">
      <c r="F956"/>
      <c r="G956" s="81"/>
      <c r="H956"/>
    </row>
    <row r="957" spans="6:8" x14ac:dyDescent="0.3">
      <c r="F957"/>
      <c r="G957" s="81"/>
      <c r="H957"/>
    </row>
    <row r="958" spans="6:8" x14ac:dyDescent="0.3">
      <c r="F958"/>
      <c r="G958" s="81"/>
      <c r="H958"/>
    </row>
    <row r="959" spans="6:8" x14ac:dyDescent="0.3">
      <c r="F959"/>
      <c r="G959" s="81"/>
      <c r="H959"/>
    </row>
    <row r="960" spans="6:8" x14ac:dyDescent="0.3">
      <c r="F960"/>
      <c r="G960" s="81"/>
      <c r="H960"/>
    </row>
    <row r="961" spans="6:8" x14ac:dyDescent="0.3">
      <c r="F961"/>
      <c r="G961" s="81"/>
      <c r="H961"/>
    </row>
    <row r="962" spans="6:8" x14ac:dyDescent="0.3">
      <c r="F962"/>
      <c r="G962" s="81"/>
      <c r="H962"/>
    </row>
    <row r="963" spans="6:8" x14ac:dyDescent="0.3">
      <c r="F963"/>
      <c r="G963" s="81"/>
      <c r="H963"/>
    </row>
    <row r="964" spans="6:8" x14ac:dyDescent="0.3">
      <c r="F964"/>
      <c r="G964" s="81"/>
      <c r="H964"/>
    </row>
    <row r="965" spans="6:8" x14ac:dyDescent="0.3">
      <c r="F965"/>
      <c r="G965" s="81"/>
      <c r="H965"/>
    </row>
    <row r="966" spans="6:8" x14ac:dyDescent="0.3">
      <c r="F966"/>
      <c r="G966" s="81"/>
      <c r="H966"/>
    </row>
    <row r="967" spans="6:8" x14ac:dyDescent="0.3">
      <c r="F967"/>
      <c r="G967" s="81"/>
      <c r="H967"/>
    </row>
    <row r="968" spans="6:8" x14ac:dyDescent="0.3">
      <c r="F968"/>
      <c r="G968" s="81"/>
      <c r="H968"/>
    </row>
    <row r="969" spans="6:8" x14ac:dyDescent="0.3">
      <c r="F969"/>
      <c r="G969" s="81"/>
      <c r="H969"/>
    </row>
    <row r="970" spans="6:8" x14ac:dyDescent="0.3">
      <c r="F970"/>
      <c r="G970" s="81"/>
      <c r="H970"/>
    </row>
    <row r="971" spans="6:8" x14ac:dyDescent="0.3">
      <c r="F971"/>
      <c r="G971" s="81"/>
      <c r="H971"/>
    </row>
    <row r="972" spans="6:8" x14ac:dyDescent="0.3">
      <c r="F972"/>
      <c r="G972" s="81"/>
      <c r="H972"/>
    </row>
    <row r="973" spans="6:8" x14ac:dyDescent="0.3">
      <c r="F973"/>
      <c r="G973" s="81"/>
      <c r="H973"/>
    </row>
    <row r="974" spans="6:8" x14ac:dyDescent="0.3">
      <c r="F974"/>
      <c r="G974" s="81"/>
      <c r="H974"/>
    </row>
    <row r="975" spans="6:8" x14ac:dyDescent="0.3">
      <c r="F975"/>
      <c r="G975" s="81"/>
      <c r="H975"/>
    </row>
    <row r="976" spans="6:8" x14ac:dyDescent="0.3">
      <c r="F976"/>
      <c r="G976" s="81"/>
      <c r="H976"/>
    </row>
    <row r="977" spans="6:8" x14ac:dyDescent="0.3">
      <c r="F977"/>
      <c r="G977" s="81"/>
      <c r="H977"/>
    </row>
    <row r="978" spans="6:8" x14ac:dyDescent="0.3">
      <c r="F978"/>
      <c r="G978" s="81"/>
      <c r="H978"/>
    </row>
    <row r="979" spans="6:8" x14ac:dyDescent="0.3">
      <c r="F979"/>
      <c r="G979" s="81"/>
      <c r="H979"/>
    </row>
    <row r="980" spans="6:8" x14ac:dyDescent="0.3">
      <c r="F980"/>
      <c r="G980" s="81"/>
      <c r="H980"/>
    </row>
    <row r="981" spans="6:8" x14ac:dyDescent="0.3">
      <c r="F981"/>
      <c r="G981" s="81"/>
      <c r="H981"/>
    </row>
    <row r="982" spans="6:8" x14ac:dyDescent="0.3">
      <c r="F982"/>
      <c r="G982" s="81"/>
      <c r="H982"/>
    </row>
    <row r="983" spans="6:8" x14ac:dyDescent="0.3">
      <c r="F983"/>
      <c r="G983" s="81"/>
      <c r="H983"/>
    </row>
    <row r="984" spans="6:8" x14ac:dyDescent="0.3">
      <c r="F984"/>
      <c r="G984" s="81"/>
      <c r="H984"/>
    </row>
    <row r="985" spans="6:8" x14ac:dyDescent="0.3">
      <c r="F985"/>
      <c r="G985" s="81"/>
      <c r="H985"/>
    </row>
    <row r="986" spans="6:8" x14ac:dyDescent="0.3">
      <c r="F986"/>
      <c r="G986" s="81"/>
      <c r="H986"/>
    </row>
    <row r="987" spans="6:8" x14ac:dyDescent="0.3">
      <c r="F987"/>
      <c r="G987" s="81"/>
      <c r="H987"/>
    </row>
    <row r="988" spans="6:8" x14ac:dyDescent="0.3">
      <c r="F988"/>
      <c r="G988" s="81"/>
      <c r="H988"/>
    </row>
    <row r="989" spans="6:8" x14ac:dyDescent="0.3">
      <c r="F989"/>
      <c r="G989" s="81"/>
      <c r="H989"/>
    </row>
    <row r="990" spans="6:8" x14ac:dyDescent="0.3">
      <c r="F990"/>
      <c r="G990" s="81"/>
      <c r="H990"/>
    </row>
    <row r="991" spans="6:8" x14ac:dyDescent="0.3">
      <c r="F991"/>
      <c r="G991" s="81"/>
      <c r="H991"/>
    </row>
    <row r="992" spans="6:8" x14ac:dyDescent="0.3">
      <c r="F992"/>
      <c r="G992" s="81"/>
      <c r="H992"/>
    </row>
    <row r="993" spans="6:8" x14ac:dyDescent="0.3">
      <c r="F993"/>
      <c r="G993" s="81"/>
      <c r="H993"/>
    </row>
    <row r="994" spans="6:8" x14ac:dyDescent="0.3">
      <c r="F994"/>
      <c r="G994" s="81"/>
      <c r="H994"/>
    </row>
    <row r="995" spans="6:8" x14ac:dyDescent="0.3">
      <c r="F995"/>
      <c r="G995" s="81"/>
      <c r="H995"/>
    </row>
    <row r="996" spans="6:8" x14ac:dyDescent="0.3">
      <c r="F996"/>
      <c r="G996" s="81"/>
      <c r="H996"/>
    </row>
    <row r="997" spans="6:8" x14ac:dyDescent="0.3">
      <c r="F997"/>
      <c r="G997" s="81"/>
      <c r="H997"/>
    </row>
    <row r="998" spans="6:8" x14ac:dyDescent="0.3">
      <c r="F998"/>
      <c r="G998" s="81"/>
      <c r="H998"/>
    </row>
    <row r="999" spans="6:8" x14ac:dyDescent="0.3">
      <c r="F999"/>
      <c r="G999" s="81"/>
      <c r="H999"/>
    </row>
    <row r="1000" spans="6:8" x14ac:dyDescent="0.3">
      <c r="F1000"/>
      <c r="G1000" s="81"/>
      <c r="H1000"/>
    </row>
    <row r="1001" spans="6:8" x14ac:dyDescent="0.3">
      <c r="F1001"/>
      <c r="G1001" s="81"/>
      <c r="H1001"/>
    </row>
    <row r="1002" spans="6:8" x14ac:dyDescent="0.3">
      <c r="F1002"/>
      <c r="G1002" s="81"/>
      <c r="H1002"/>
    </row>
    <row r="1003" spans="6:8" x14ac:dyDescent="0.3">
      <c r="F1003"/>
      <c r="G1003" s="81"/>
      <c r="H1003"/>
    </row>
    <row r="1004" spans="6:8" x14ac:dyDescent="0.3">
      <c r="F1004"/>
      <c r="G1004" s="81"/>
      <c r="H1004"/>
    </row>
    <row r="1005" spans="6:8" x14ac:dyDescent="0.3">
      <c r="F1005"/>
      <c r="G1005" s="81"/>
      <c r="H1005"/>
    </row>
    <row r="1006" spans="6:8" x14ac:dyDescent="0.3">
      <c r="F1006"/>
      <c r="G1006" s="81"/>
      <c r="H1006"/>
    </row>
    <row r="1007" spans="6:8" x14ac:dyDescent="0.3">
      <c r="F1007"/>
      <c r="G1007" s="81"/>
      <c r="H1007"/>
    </row>
    <row r="1008" spans="6:8" x14ac:dyDescent="0.3">
      <c r="F1008"/>
      <c r="G1008" s="81"/>
      <c r="H1008"/>
    </row>
    <row r="1009" spans="6:8" x14ac:dyDescent="0.3">
      <c r="F1009"/>
      <c r="G1009" s="81"/>
      <c r="H1009"/>
    </row>
    <row r="1010" spans="6:8" x14ac:dyDescent="0.3">
      <c r="F1010"/>
      <c r="G1010" s="81"/>
      <c r="H1010"/>
    </row>
    <row r="1011" spans="6:8" x14ac:dyDescent="0.3">
      <c r="F1011"/>
      <c r="G1011" s="81"/>
      <c r="H1011"/>
    </row>
    <row r="1012" spans="6:8" x14ac:dyDescent="0.3">
      <c r="F1012"/>
      <c r="G1012" s="81"/>
      <c r="H1012"/>
    </row>
    <row r="1013" spans="6:8" x14ac:dyDescent="0.3">
      <c r="F1013"/>
      <c r="G1013" s="81"/>
      <c r="H1013"/>
    </row>
    <row r="1014" spans="6:8" x14ac:dyDescent="0.3">
      <c r="F1014"/>
      <c r="G1014" s="81"/>
      <c r="H1014"/>
    </row>
    <row r="1015" spans="6:8" x14ac:dyDescent="0.3">
      <c r="F1015"/>
      <c r="G1015" s="81"/>
      <c r="H1015"/>
    </row>
    <row r="1016" spans="6:8" x14ac:dyDescent="0.3">
      <c r="F1016"/>
      <c r="G1016" s="81"/>
      <c r="H1016"/>
    </row>
    <row r="1017" spans="6:8" x14ac:dyDescent="0.3">
      <c r="F1017"/>
      <c r="G1017" s="81"/>
      <c r="H1017"/>
    </row>
    <row r="1018" spans="6:8" x14ac:dyDescent="0.3">
      <c r="F1018"/>
      <c r="G1018" s="81"/>
      <c r="H1018"/>
    </row>
    <row r="1019" spans="6:8" x14ac:dyDescent="0.3">
      <c r="F1019"/>
      <c r="G1019" s="81"/>
      <c r="H1019"/>
    </row>
    <row r="1020" spans="6:8" x14ac:dyDescent="0.3">
      <c r="F1020"/>
      <c r="G1020" s="81"/>
      <c r="H1020"/>
    </row>
    <row r="1021" spans="6:8" x14ac:dyDescent="0.3">
      <c r="F1021"/>
      <c r="G1021" s="81"/>
      <c r="H1021"/>
    </row>
    <row r="1022" spans="6:8" x14ac:dyDescent="0.3">
      <c r="F1022"/>
      <c r="G1022" s="81"/>
      <c r="H1022"/>
    </row>
    <row r="1023" spans="6:8" x14ac:dyDescent="0.3">
      <c r="F1023"/>
      <c r="G1023" s="81"/>
      <c r="H1023"/>
    </row>
    <row r="1024" spans="6:8" x14ac:dyDescent="0.3">
      <c r="F1024"/>
      <c r="G1024" s="81"/>
      <c r="H1024"/>
    </row>
    <row r="1025" spans="6:8" x14ac:dyDescent="0.3">
      <c r="F1025"/>
      <c r="G1025" s="81"/>
      <c r="H1025"/>
    </row>
    <row r="1026" spans="6:8" x14ac:dyDescent="0.3">
      <c r="F1026"/>
      <c r="G1026" s="81"/>
      <c r="H1026"/>
    </row>
    <row r="1027" spans="6:8" x14ac:dyDescent="0.3">
      <c r="F1027"/>
      <c r="G1027" s="81"/>
      <c r="H1027"/>
    </row>
    <row r="1028" spans="6:8" x14ac:dyDescent="0.3">
      <c r="F1028"/>
      <c r="G1028" s="81"/>
      <c r="H1028"/>
    </row>
    <row r="1029" spans="6:8" x14ac:dyDescent="0.3">
      <c r="F1029"/>
      <c r="G1029" s="81"/>
      <c r="H1029"/>
    </row>
    <row r="1030" spans="6:8" x14ac:dyDescent="0.3">
      <c r="F1030"/>
      <c r="G1030" s="81"/>
      <c r="H1030"/>
    </row>
    <row r="1031" spans="6:8" x14ac:dyDescent="0.3">
      <c r="F1031"/>
      <c r="G1031" s="81"/>
      <c r="H1031"/>
    </row>
    <row r="1032" spans="6:8" x14ac:dyDescent="0.3">
      <c r="F1032"/>
      <c r="G1032" s="81"/>
      <c r="H1032"/>
    </row>
    <row r="1033" spans="6:8" x14ac:dyDescent="0.3">
      <c r="F1033"/>
      <c r="G1033" s="81"/>
      <c r="H1033"/>
    </row>
    <row r="1034" spans="6:8" x14ac:dyDescent="0.3">
      <c r="F1034"/>
      <c r="G1034" s="81"/>
      <c r="H1034"/>
    </row>
    <row r="1035" spans="6:8" x14ac:dyDescent="0.3">
      <c r="F1035"/>
      <c r="G1035" s="81"/>
      <c r="H1035"/>
    </row>
    <row r="1036" spans="6:8" x14ac:dyDescent="0.3">
      <c r="F1036"/>
      <c r="G1036" s="81"/>
      <c r="H1036"/>
    </row>
    <row r="1037" spans="6:8" x14ac:dyDescent="0.3">
      <c r="F1037"/>
      <c r="G1037" s="81"/>
      <c r="H1037"/>
    </row>
    <row r="1038" spans="6:8" x14ac:dyDescent="0.3">
      <c r="F1038"/>
      <c r="G1038" s="81"/>
      <c r="H1038"/>
    </row>
    <row r="1039" spans="6:8" x14ac:dyDescent="0.3">
      <c r="F1039"/>
      <c r="G1039" s="81"/>
      <c r="H1039"/>
    </row>
    <row r="1040" spans="6:8" x14ac:dyDescent="0.3">
      <c r="F1040"/>
      <c r="G1040" s="81"/>
      <c r="H1040"/>
    </row>
    <row r="1041" spans="6:8" x14ac:dyDescent="0.3">
      <c r="F1041"/>
      <c r="G1041" s="81"/>
      <c r="H1041"/>
    </row>
    <row r="1042" spans="6:8" x14ac:dyDescent="0.3">
      <c r="F1042"/>
      <c r="G1042" s="81"/>
      <c r="H1042"/>
    </row>
    <row r="1043" spans="6:8" x14ac:dyDescent="0.3">
      <c r="F1043"/>
      <c r="G1043" s="81"/>
      <c r="H1043"/>
    </row>
    <row r="1044" spans="6:8" x14ac:dyDescent="0.3">
      <c r="F1044"/>
      <c r="G1044" s="81"/>
      <c r="H1044"/>
    </row>
    <row r="1045" spans="6:8" x14ac:dyDescent="0.3">
      <c r="F1045"/>
      <c r="G1045" s="81"/>
      <c r="H1045"/>
    </row>
    <row r="1046" spans="6:8" x14ac:dyDescent="0.3">
      <c r="F1046"/>
      <c r="G1046" s="81"/>
      <c r="H1046"/>
    </row>
    <row r="1047" spans="6:8" x14ac:dyDescent="0.3">
      <c r="F1047"/>
      <c r="G1047" s="81"/>
      <c r="H1047"/>
    </row>
    <row r="1048" spans="6:8" x14ac:dyDescent="0.3">
      <c r="F1048"/>
      <c r="G1048" s="81"/>
      <c r="H1048"/>
    </row>
    <row r="1049" spans="6:8" x14ac:dyDescent="0.3">
      <c r="F1049"/>
      <c r="G1049" s="81"/>
      <c r="H1049"/>
    </row>
    <row r="1050" spans="6:8" x14ac:dyDescent="0.3">
      <c r="F1050"/>
      <c r="G1050" s="81"/>
      <c r="H1050"/>
    </row>
    <row r="1051" spans="6:8" x14ac:dyDescent="0.3">
      <c r="F1051"/>
      <c r="G1051" s="81"/>
      <c r="H1051"/>
    </row>
    <row r="1052" spans="6:8" x14ac:dyDescent="0.3">
      <c r="F1052"/>
      <c r="G1052" s="81"/>
      <c r="H1052"/>
    </row>
    <row r="1053" spans="6:8" x14ac:dyDescent="0.3">
      <c r="F1053"/>
      <c r="G1053" s="81"/>
      <c r="H1053"/>
    </row>
    <row r="1054" spans="6:8" x14ac:dyDescent="0.3">
      <c r="F1054"/>
      <c r="G1054" s="81"/>
      <c r="H1054"/>
    </row>
    <row r="1055" spans="6:8" x14ac:dyDescent="0.3">
      <c r="F1055"/>
      <c r="G1055" s="81"/>
      <c r="H1055"/>
    </row>
    <row r="1056" spans="6:8" x14ac:dyDescent="0.3">
      <c r="F1056"/>
      <c r="G1056" s="81"/>
      <c r="H1056"/>
    </row>
    <row r="1057" spans="6:8" x14ac:dyDescent="0.3">
      <c r="F1057"/>
      <c r="G1057" s="81"/>
      <c r="H1057"/>
    </row>
    <row r="1058" spans="6:8" x14ac:dyDescent="0.3">
      <c r="F1058"/>
      <c r="G1058" s="81"/>
      <c r="H1058"/>
    </row>
    <row r="1059" spans="6:8" x14ac:dyDescent="0.3">
      <c r="F1059"/>
      <c r="G1059" s="81"/>
      <c r="H1059"/>
    </row>
    <row r="1060" spans="6:8" x14ac:dyDescent="0.3">
      <c r="F1060"/>
      <c r="G1060" s="81"/>
      <c r="H1060"/>
    </row>
    <row r="1061" spans="6:8" x14ac:dyDescent="0.3">
      <c r="F1061"/>
      <c r="G1061" s="81"/>
      <c r="H1061"/>
    </row>
    <row r="1062" spans="6:8" x14ac:dyDescent="0.3">
      <c r="F1062"/>
      <c r="G1062" s="81"/>
      <c r="H1062"/>
    </row>
    <row r="1063" spans="6:8" x14ac:dyDescent="0.3">
      <c r="F1063"/>
      <c r="G1063" s="81"/>
      <c r="H1063"/>
    </row>
    <row r="1064" spans="6:8" x14ac:dyDescent="0.3">
      <c r="F1064"/>
      <c r="G1064" s="81"/>
      <c r="H1064"/>
    </row>
    <row r="1065" spans="6:8" x14ac:dyDescent="0.3">
      <c r="F1065"/>
      <c r="G1065" s="81"/>
      <c r="H1065"/>
    </row>
    <row r="1066" spans="6:8" x14ac:dyDescent="0.3">
      <c r="F1066"/>
      <c r="G1066" s="81"/>
      <c r="H1066"/>
    </row>
    <row r="1067" spans="6:8" x14ac:dyDescent="0.3">
      <c r="F1067"/>
      <c r="G1067" s="81"/>
      <c r="H1067"/>
    </row>
    <row r="1068" spans="6:8" x14ac:dyDescent="0.3">
      <c r="F1068"/>
      <c r="G1068" s="81"/>
      <c r="H1068"/>
    </row>
    <row r="1069" spans="6:8" x14ac:dyDescent="0.3">
      <c r="F1069"/>
      <c r="G1069" s="81"/>
      <c r="H1069"/>
    </row>
    <row r="1070" spans="6:8" x14ac:dyDescent="0.3">
      <c r="F1070"/>
      <c r="G1070" s="81"/>
      <c r="H1070"/>
    </row>
    <row r="1071" spans="6:8" x14ac:dyDescent="0.3">
      <c r="F1071"/>
      <c r="G1071" s="81"/>
      <c r="H1071"/>
    </row>
    <row r="1072" spans="6:8" x14ac:dyDescent="0.3">
      <c r="F1072"/>
      <c r="G1072" s="81"/>
      <c r="H1072"/>
    </row>
    <row r="1073" spans="6:8" x14ac:dyDescent="0.3">
      <c r="F1073"/>
      <c r="G1073" s="81"/>
      <c r="H1073"/>
    </row>
    <row r="1074" spans="6:8" x14ac:dyDescent="0.3">
      <c r="F1074"/>
      <c r="G1074" s="81"/>
      <c r="H1074"/>
    </row>
    <row r="1075" spans="6:8" x14ac:dyDescent="0.3">
      <c r="F1075"/>
      <c r="G1075" s="81"/>
      <c r="H1075"/>
    </row>
    <row r="1076" spans="6:8" x14ac:dyDescent="0.3">
      <c r="F1076"/>
      <c r="G1076" s="81"/>
      <c r="H1076"/>
    </row>
    <row r="1077" spans="6:8" x14ac:dyDescent="0.3">
      <c r="F1077"/>
      <c r="G1077" s="81"/>
      <c r="H1077"/>
    </row>
    <row r="1078" spans="6:8" x14ac:dyDescent="0.3">
      <c r="F1078"/>
      <c r="G1078" s="81"/>
      <c r="H1078"/>
    </row>
    <row r="1079" spans="6:8" x14ac:dyDescent="0.3">
      <c r="F1079"/>
      <c r="G1079" s="81"/>
      <c r="H1079"/>
    </row>
    <row r="1080" spans="6:8" x14ac:dyDescent="0.3">
      <c r="F1080"/>
      <c r="G1080" s="81"/>
      <c r="H1080"/>
    </row>
    <row r="1081" spans="6:8" x14ac:dyDescent="0.3">
      <c r="F1081"/>
      <c r="G1081" s="81"/>
      <c r="H1081"/>
    </row>
    <row r="1082" spans="6:8" x14ac:dyDescent="0.3">
      <c r="F1082"/>
      <c r="G1082" s="81"/>
      <c r="H1082"/>
    </row>
    <row r="1083" spans="6:8" x14ac:dyDescent="0.3">
      <c r="F1083"/>
      <c r="G1083" s="81"/>
      <c r="H1083"/>
    </row>
    <row r="1084" spans="6:8" x14ac:dyDescent="0.3">
      <c r="F1084"/>
      <c r="G1084" s="81"/>
      <c r="H1084"/>
    </row>
    <row r="1085" spans="6:8" x14ac:dyDescent="0.3">
      <c r="F1085"/>
      <c r="G1085" s="81"/>
      <c r="H1085"/>
    </row>
  </sheetData>
  <autoFilter ref="A1:A1085" xr:uid="{64019844-906A-48F7-910E-53567B68B286}"/>
  <mergeCells count="2">
    <mergeCell ref="A1:C1"/>
    <mergeCell ref="F1:H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5605-0434-466F-82B6-7633954CAE33}">
  <dimension ref="A1:I1085"/>
  <sheetViews>
    <sheetView workbookViewId="0">
      <selection activeCell="F2" sqref="F1:I1048576"/>
    </sheetView>
  </sheetViews>
  <sheetFormatPr baseColWidth="10" defaultRowHeight="14.4" x14ac:dyDescent="0.3"/>
  <cols>
    <col min="2" max="2" width="16.6640625" customWidth="1"/>
    <col min="3" max="3" width="17.21875" customWidth="1"/>
    <col min="6" max="6" width="11.5546875" style="121"/>
    <col min="7" max="7" width="11.5546875" style="85"/>
    <col min="8" max="8" width="22.21875" style="121" customWidth="1"/>
  </cols>
  <sheetData>
    <row r="1" spans="1:9" x14ac:dyDescent="0.3">
      <c r="A1" s="495" t="s">
        <v>17</v>
      </c>
      <c r="B1" s="498"/>
      <c r="C1" s="499"/>
      <c r="F1" s="529" t="s">
        <v>17</v>
      </c>
      <c r="G1" s="531"/>
      <c r="H1" s="531"/>
    </row>
    <row r="2" spans="1:9" ht="28.8" x14ac:dyDescent="0.3">
      <c r="A2" s="8" t="s">
        <v>1</v>
      </c>
      <c r="B2" s="8" t="s">
        <v>2</v>
      </c>
      <c r="C2" s="8" t="s">
        <v>3</v>
      </c>
      <c r="F2" s="95" t="s">
        <v>1</v>
      </c>
      <c r="G2" s="97" t="s">
        <v>2</v>
      </c>
      <c r="H2" s="97" t="s">
        <v>3</v>
      </c>
    </row>
    <row r="3" spans="1:9" x14ac:dyDescent="0.3">
      <c r="A3" s="9">
        <v>37258</v>
      </c>
      <c r="B3" s="10">
        <v>49.2</v>
      </c>
      <c r="C3" s="10">
        <v>102.62</v>
      </c>
      <c r="F3" s="84">
        <v>40330</v>
      </c>
      <c r="G3" s="142">
        <v>62.6</v>
      </c>
      <c r="H3" s="143">
        <v>89.22</v>
      </c>
      <c r="I3">
        <f>G3+H3</f>
        <v>151.82</v>
      </c>
    </row>
    <row r="4" spans="1:9" x14ac:dyDescent="0.3">
      <c r="A4" s="9">
        <v>37326</v>
      </c>
      <c r="B4" s="10">
        <v>49.54</v>
      </c>
      <c r="C4" s="10">
        <v>102.28</v>
      </c>
      <c r="F4" s="84">
        <v>40513</v>
      </c>
      <c r="G4" s="142">
        <v>62.92</v>
      </c>
      <c r="H4" s="143">
        <v>88.9</v>
      </c>
      <c r="I4">
        <f t="shared" ref="I4:I32" si="0">G4+H4</f>
        <v>151.82</v>
      </c>
    </row>
    <row r="5" spans="1:9" x14ac:dyDescent="0.3">
      <c r="A5" s="9">
        <v>37333</v>
      </c>
      <c r="B5" s="10">
        <v>49.52</v>
      </c>
      <c r="C5" s="10">
        <v>102.3</v>
      </c>
      <c r="F5" s="84">
        <v>40695</v>
      </c>
      <c r="G5" s="142">
        <v>62.9</v>
      </c>
      <c r="H5" s="143">
        <v>88.92</v>
      </c>
      <c r="I5">
        <f t="shared" si="0"/>
        <v>151.82</v>
      </c>
    </row>
    <row r="6" spans="1:9" x14ac:dyDescent="0.3">
      <c r="A6" s="9">
        <v>37341</v>
      </c>
      <c r="B6" s="10">
        <v>49.66</v>
      </c>
      <c r="C6" s="10">
        <v>102.16</v>
      </c>
      <c r="F6" s="84">
        <v>40878</v>
      </c>
      <c r="G6" s="142">
        <v>63.8</v>
      </c>
      <c r="H6" s="143">
        <v>88.02</v>
      </c>
      <c r="I6">
        <f t="shared" si="0"/>
        <v>151.82</v>
      </c>
    </row>
    <row r="7" spans="1:9" x14ac:dyDescent="0.3">
      <c r="A7" s="9">
        <v>37348</v>
      </c>
      <c r="B7" s="10">
        <v>49.47</v>
      </c>
      <c r="C7" s="10">
        <v>102.35</v>
      </c>
      <c r="F7" s="84">
        <v>41061</v>
      </c>
      <c r="G7" s="142">
        <v>63.24</v>
      </c>
      <c r="H7" s="143">
        <v>88.58</v>
      </c>
      <c r="I7">
        <f t="shared" si="0"/>
        <v>151.82</v>
      </c>
    </row>
    <row r="8" spans="1:9" x14ac:dyDescent="0.3">
      <c r="A8" s="9">
        <v>37354</v>
      </c>
      <c r="B8" s="10">
        <v>49.62</v>
      </c>
      <c r="C8" s="10">
        <v>102.2</v>
      </c>
      <c r="F8" s="84">
        <v>41244</v>
      </c>
      <c r="G8" s="142">
        <v>65</v>
      </c>
      <c r="H8" s="143">
        <v>86.82</v>
      </c>
      <c r="I8">
        <f t="shared" si="0"/>
        <v>151.82</v>
      </c>
    </row>
    <row r="9" spans="1:9" x14ac:dyDescent="0.3">
      <c r="A9" s="9">
        <v>37382</v>
      </c>
      <c r="B9" s="10">
        <v>48.92</v>
      </c>
      <c r="C9" s="10">
        <v>102.9</v>
      </c>
      <c r="F9" s="84">
        <v>41426</v>
      </c>
      <c r="G9" s="142">
        <v>65.7</v>
      </c>
      <c r="H9" s="143">
        <v>86.12</v>
      </c>
      <c r="I9">
        <f t="shared" si="0"/>
        <v>151.82</v>
      </c>
    </row>
    <row r="10" spans="1:9" x14ac:dyDescent="0.3">
      <c r="A10" s="9">
        <v>37390</v>
      </c>
      <c r="B10" s="10">
        <v>49.79</v>
      </c>
      <c r="C10" s="10">
        <v>102.03</v>
      </c>
      <c r="F10" s="84">
        <v>41609</v>
      </c>
      <c r="G10" s="142">
        <v>66.52</v>
      </c>
      <c r="H10" s="143">
        <v>85.3</v>
      </c>
      <c r="I10">
        <f t="shared" si="0"/>
        <v>151.82</v>
      </c>
    </row>
    <row r="11" spans="1:9" x14ac:dyDescent="0.3">
      <c r="A11" s="9">
        <v>37396</v>
      </c>
      <c r="B11" s="10">
        <v>49.02</v>
      </c>
      <c r="C11" s="10">
        <v>102.8</v>
      </c>
      <c r="F11" s="84">
        <v>41791</v>
      </c>
      <c r="G11" s="142">
        <v>67.319999999999993</v>
      </c>
      <c r="H11" s="143">
        <v>84.5</v>
      </c>
      <c r="I11">
        <f t="shared" si="0"/>
        <v>151.82</v>
      </c>
    </row>
    <row r="12" spans="1:9" x14ac:dyDescent="0.3">
      <c r="A12" s="9">
        <v>37413</v>
      </c>
      <c r="B12" s="10">
        <v>49.81</v>
      </c>
      <c r="C12" s="10">
        <v>102.01</v>
      </c>
      <c r="F12" s="84">
        <v>41974</v>
      </c>
      <c r="G12" s="144">
        <v>67.989999999999995</v>
      </c>
      <c r="H12" s="142">
        <v>83.83</v>
      </c>
      <c r="I12">
        <f t="shared" si="0"/>
        <v>151.82</v>
      </c>
    </row>
    <row r="13" spans="1:9" x14ac:dyDescent="0.3">
      <c r="A13" s="9">
        <v>37431</v>
      </c>
      <c r="B13" s="10">
        <v>49.1</v>
      </c>
      <c r="C13" s="10">
        <v>102.72</v>
      </c>
      <c r="F13" s="84">
        <v>42156</v>
      </c>
      <c r="G13" s="144">
        <v>68.64</v>
      </c>
      <c r="H13" s="142">
        <v>83.18</v>
      </c>
      <c r="I13">
        <f t="shared" si="0"/>
        <v>151.82</v>
      </c>
    </row>
    <row r="14" spans="1:9" x14ac:dyDescent="0.3">
      <c r="A14" s="9">
        <v>37440</v>
      </c>
      <c r="B14" s="10">
        <v>49.14</v>
      </c>
      <c r="C14" s="10">
        <v>102.68</v>
      </c>
      <c r="F14" s="84">
        <v>42339</v>
      </c>
      <c r="G14" s="144">
        <v>70.59</v>
      </c>
      <c r="H14" s="142">
        <v>81.23</v>
      </c>
      <c r="I14">
        <f t="shared" si="0"/>
        <v>151.82</v>
      </c>
    </row>
    <row r="15" spans="1:9" x14ac:dyDescent="0.3">
      <c r="A15" s="9">
        <v>37448</v>
      </c>
      <c r="B15" s="10">
        <v>49.15</v>
      </c>
      <c r="C15" s="10">
        <v>102.67</v>
      </c>
      <c r="F15" s="84">
        <v>42522</v>
      </c>
      <c r="G15" s="144">
        <v>70.88</v>
      </c>
      <c r="H15" s="142">
        <v>80.94</v>
      </c>
      <c r="I15">
        <f t="shared" si="0"/>
        <v>151.82</v>
      </c>
    </row>
    <row r="16" spans="1:9" x14ac:dyDescent="0.3">
      <c r="A16" s="9">
        <v>37452</v>
      </c>
      <c r="B16" s="10">
        <v>49.23</v>
      </c>
      <c r="C16" s="10">
        <v>102.59</v>
      </c>
      <c r="F16" s="84">
        <v>42705</v>
      </c>
      <c r="G16" s="144">
        <v>71.53</v>
      </c>
      <c r="H16" s="142">
        <v>80.290000000000006</v>
      </c>
      <c r="I16">
        <f t="shared" si="0"/>
        <v>151.82</v>
      </c>
    </row>
    <row r="17" spans="1:9" x14ac:dyDescent="0.3">
      <c r="A17" s="9">
        <v>37459</v>
      </c>
      <c r="B17" s="10">
        <v>49.24</v>
      </c>
      <c r="C17" s="10">
        <v>102.58</v>
      </c>
      <c r="F17" s="84">
        <v>42887</v>
      </c>
      <c r="G17" s="144">
        <v>72.319999999999993</v>
      </c>
      <c r="H17" s="142">
        <v>79.5</v>
      </c>
      <c r="I17">
        <f t="shared" si="0"/>
        <v>151.82</v>
      </c>
    </row>
    <row r="18" spans="1:9" x14ac:dyDescent="0.3">
      <c r="A18" s="9">
        <v>37466</v>
      </c>
      <c r="B18" s="10">
        <v>49.19</v>
      </c>
      <c r="C18" s="10">
        <v>102.63</v>
      </c>
      <c r="F18" s="84">
        <v>43070</v>
      </c>
      <c r="G18" s="144">
        <v>73.819999999999993</v>
      </c>
      <c r="H18" s="142">
        <v>78</v>
      </c>
      <c r="I18">
        <f t="shared" si="0"/>
        <v>151.82</v>
      </c>
    </row>
    <row r="19" spans="1:9" x14ac:dyDescent="0.3">
      <c r="A19" s="9">
        <v>37474</v>
      </c>
      <c r="B19" s="10">
        <v>49.27</v>
      </c>
      <c r="C19" s="10">
        <v>102.55</v>
      </c>
      <c r="F19" s="84">
        <v>43252</v>
      </c>
      <c r="G19" s="144">
        <v>74.75</v>
      </c>
      <c r="H19" s="142">
        <v>77.069999999999993</v>
      </c>
      <c r="I19">
        <f t="shared" si="0"/>
        <v>151.82</v>
      </c>
    </row>
    <row r="20" spans="1:9" x14ac:dyDescent="0.3">
      <c r="A20" s="9">
        <v>37480</v>
      </c>
      <c r="B20" s="10">
        <v>48.87</v>
      </c>
      <c r="C20" s="10">
        <v>102.95</v>
      </c>
      <c r="F20" s="84">
        <v>43435</v>
      </c>
      <c r="G20" s="144">
        <v>75.08</v>
      </c>
      <c r="H20" s="142">
        <v>76.739999999999995</v>
      </c>
      <c r="I20">
        <f t="shared" si="0"/>
        <v>151.82</v>
      </c>
    </row>
    <row r="21" spans="1:9" x14ac:dyDescent="0.3">
      <c r="A21" s="9">
        <v>37488</v>
      </c>
      <c r="B21" s="10">
        <v>48.1</v>
      </c>
      <c r="C21" s="10">
        <v>103.72</v>
      </c>
      <c r="F21" s="84">
        <v>43617</v>
      </c>
      <c r="G21" s="142">
        <v>76.040000000000006</v>
      </c>
      <c r="H21" s="142">
        <v>75.78</v>
      </c>
      <c r="I21">
        <f t="shared" si="0"/>
        <v>151.82</v>
      </c>
    </row>
    <row r="22" spans="1:9" x14ac:dyDescent="0.3">
      <c r="A22" s="9">
        <v>37494</v>
      </c>
      <c r="B22" s="10">
        <v>47.85</v>
      </c>
      <c r="C22" s="10">
        <v>103.97</v>
      </c>
      <c r="F22" s="84">
        <v>43800</v>
      </c>
      <c r="G22" s="144">
        <v>76.95</v>
      </c>
      <c r="H22" s="142">
        <v>74.87</v>
      </c>
      <c r="I22">
        <f t="shared" si="0"/>
        <v>151.82</v>
      </c>
    </row>
    <row r="23" spans="1:9" x14ac:dyDescent="0.3">
      <c r="A23" s="9">
        <v>37502</v>
      </c>
      <c r="B23" s="10">
        <v>48.13</v>
      </c>
      <c r="C23" s="10">
        <v>103.69</v>
      </c>
      <c r="F23" s="84">
        <v>43983</v>
      </c>
      <c r="G23" s="11">
        <v>78.989999999999995</v>
      </c>
      <c r="H23" s="139">
        <f>151.82-G23</f>
        <v>72.83</v>
      </c>
      <c r="I23">
        <f t="shared" si="0"/>
        <v>151.82</v>
      </c>
    </row>
    <row r="24" spans="1:9" x14ac:dyDescent="0.3">
      <c r="A24" s="9">
        <v>37513</v>
      </c>
      <c r="B24" s="10">
        <v>47.72</v>
      </c>
      <c r="C24" s="10">
        <v>104.1</v>
      </c>
      <c r="F24" s="84">
        <v>44166</v>
      </c>
      <c r="G24" s="11">
        <v>79.849999999999994</v>
      </c>
      <c r="H24" s="139">
        <f t="shared" ref="H24:H34" si="1">151.82-G24</f>
        <v>71.97</v>
      </c>
      <c r="I24">
        <f t="shared" si="0"/>
        <v>151.82</v>
      </c>
    </row>
    <row r="25" spans="1:9" x14ac:dyDescent="0.3">
      <c r="A25" s="9">
        <v>37515</v>
      </c>
      <c r="B25" s="10">
        <v>47.33</v>
      </c>
      <c r="C25" s="10">
        <v>104.49</v>
      </c>
      <c r="F25" s="84">
        <v>44348</v>
      </c>
      <c r="G25" s="144">
        <v>80.97</v>
      </c>
      <c r="H25" s="139">
        <f t="shared" si="1"/>
        <v>70.849999999999994</v>
      </c>
      <c r="I25">
        <f t="shared" si="0"/>
        <v>151.82</v>
      </c>
    </row>
    <row r="26" spans="1:9" x14ac:dyDescent="0.3">
      <c r="A26" s="9">
        <v>37522</v>
      </c>
      <c r="B26" s="10">
        <v>47.08</v>
      </c>
      <c r="C26" s="10">
        <v>104.74</v>
      </c>
      <c r="F26" s="84">
        <v>44531</v>
      </c>
      <c r="G26" s="145">
        <v>84.4</v>
      </c>
      <c r="H26" s="139">
        <f t="shared" si="1"/>
        <v>67.419999999999987</v>
      </c>
      <c r="I26">
        <f t="shared" si="0"/>
        <v>151.82</v>
      </c>
    </row>
    <row r="27" spans="1:9" x14ac:dyDescent="0.3">
      <c r="A27" s="9">
        <v>37529</v>
      </c>
      <c r="B27" s="10">
        <v>47.15</v>
      </c>
      <c r="C27" s="10">
        <v>104.67</v>
      </c>
      <c r="F27" s="84">
        <v>44713</v>
      </c>
      <c r="G27" s="111">
        <v>82.15</v>
      </c>
      <c r="H27" s="139">
        <f t="shared" si="1"/>
        <v>69.669999999999987</v>
      </c>
      <c r="I27">
        <f t="shared" si="0"/>
        <v>151.82</v>
      </c>
    </row>
    <row r="28" spans="1:9" x14ac:dyDescent="0.3">
      <c r="A28" s="9">
        <v>37537</v>
      </c>
      <c r="B28" s="10">
        <v>47.77</v>
      </c>
      <c r="C28" s="10">
        <v>104.05</v>
      </c>
      <c r="F28" s="84">
        <v>44896</v>
      </c>
      <c r="G28" s="126">
        <v>83.01</v>
      </c>
      <c r="H28" s="139">
        <f t="shared" si="1"/>
        <v>68.809999999999988</v>
      </c>
      <c r="I28">
        <f t="shared" si="0"/>
        <v>151.82</v>
      </c>
    </row>
    <row r="29" spans="1:9" x14ac:dyDescent="0.3">
      <c r="A29" s="9">
        <v>37544</v>
      </c>
      <c r="B29" s="10">
        <v>47.79</v>
      </c>
      <c r="C29" s="10">
        <v>104.03</v>
      </c>
      <c r="F29" s="84">
        <v>45078</v>
      </c>
      <c r="G29" s="111">
        <v>83.24</v>
      </c>
      <c r="H29" s="139">
        <f t="shared" si="1"/>
        <v>68.58</v>
      </c>
      <c r="I29">
        <f t="shared" si="0"/>
        <v>151.82</v>
      </c>
    </row>
    <row r="30" spans="1:9" x14ac:dyDescent="0.3">
      <c r="A30" s="9">
        <v>37551</v>
      </c>
      <c r="B30" s="10">
        <v>47.95</v>
      </c>
      <c r="C30" s="10">
        <v>103.87</v>
      </c>
      <c r="F30" s="84">
        <v>45261</v>
      </c>
      <c r="G30" s="124">
        <v>84.1</v>
      </c>
      <c r="H30" s="139">
        <f t="shared" si="1"/>
        <v>67.72</v>
      </c>
      <c r="I30">
        <f t="shared" si="0"/>
        <v>151.82</v>
      </c>
    </row>
    <row r="31" spans="1:9" x14ac:dyDescent="0.3">
      <c r="A31" s="9">
        <v>37557</v>
      </c>
      <c r="B31" s="10">
        <v>47.97</v>
      </c>
      <c r="C31" s="10">
        <v>103.85</v>
      </c>
      <c r="F31" s="84">
        <v>45444</v>
      </c>
      <c r="G31" s="111">
        <v>83.91</v>
      </c>
      <c r="H31" s="139">
        <f t="shared" si="1"/>
        <v>67.91</v>
      </c>
      <c r="I31">
        <f t="shared" si="0"/>
        <v>151.82</v>
      </c>
    </row>
    <row r="32" spans="1:9" x14ac:dyDescent="0.3">
      <c r="A32" s="9">
        <v>37567</v>
      </c>
      <c r="B32" s="10">
        <v>48.03</v>
      </c>
      <c r="C32" s="10">
        <v>103.79</v>
      </c>
      <c r="F32" s="84">
        <v>45627</v>
      </c>
      <c r="G32" s="145">
        <v>84.4</v>
      </c>
      <c r="H32" s="139">
        <f t="shared" si="1"/>
        <v>67.419999999999987</v>
      </c>
      <c r="I32">
        <f t="shared" si="0"/>
        <v>151.82</v>
      </c>
    </row>
    <row r="33" spans="1:9" x14ac:dyDescent="0.3">
      <c r="A33" s="9">
        <v>37575</v>
      </c>
      <c r="B33" s="10">
        <v>47.28</v>
      </c>
      <c r="C33" s="10">
        <v>104.54</v>
      </c>
      <c r="F33" s="84">
        <v>45809</v>
      </c>
      <c r="G33" s="96">
        <v>84.49</v>
      </c>
      <c r="H33" s="139">
        <f t="shared" si="1"/>
        <v>67.33</v>
      </c>
      <c r="I33">
        <f>G33+H33</f>
        <v>151.82</v>
      </c>
    </row>
    <row r="34" spans="1:9" x14ac:dyDescent="0.3">
      <c r="A34" s="9">
        <v>37578</v>
      </c>
      <c r="B34" s="10">
        <v>47.94</v>
      </c>
      <c r="C34" s="10">
        <v>103.88</v>
      </c>
      <c r="F34" s="84">
        <v>45992</v>
      </c>
      <c r="G34" s="111">
        <v>85.25</v>
      </c>
      <c r="H34" s="139">
        <f t="shared" si="1"/>
        <v>66.569999999999993</v>
      </c>
      <c r="I34">
        <f>G34+H34</f>
        <v>151.82</v>
      </c>
    </row>
    <row r="35" spans="1:9" x14ac:dyDescent="0.3">
      <c r="A35" s="9">
        <v>37585</v>
      </c>
      <c r="B35" s="10">
        <v>47.9</v>
      </c>
      <c r="C35" s="10">
        <v>103.92</v>
      </c>
      <c r="F35"/>
      <c r="G35" s="81"/>
      <c r="H35"/>
    </row>
    <row r="36" spans="1:9" x14ac:dyDescent="0.3">
      <c r="A36" s="9">
        <v>37592</v>
      </c>
      <c r="B36" s="10">
        <v>47.61</v>
      </c>
      <c r="C36" s="10">
        <v>104.21</v>
      </c>
      <c r="F36"/>
      <c r="G36" s="81"/>
      <c r="H36"/>
    </row>
    <row r="37" spans="1:9" x14ac:dyDescent="0.3">
      <c r="A37" s="9">
        <v>37620</v>
      </c>
      <c r="B37" s="10">
        <v>47.18</v>
      </c>
      <c r="C37" s="10">
        <v>104.64</v>
      </c>
      <c r="F37"/>
      <c r="G37" s="81"/>
      <c r="H37"/>
    </row>
    <row r="38" spans="1:9" x14ac:dyDescent="0.3">
      <c r="A38" s="9">
        <v>37629</v>
      </c>
      <c r="B38" s="10">
        <v>47.36</v>
      </c>
      <c r="C38" s="10">
        <v>104.46</v>
      </c>
      <c r="F38" s="115"/>
      <c r="G38" s="81"/>
      <c r="H38"/>
    </row>
    <row r="39" spans="1:9" x14ac:dyDescent="0.3">
      <c r="A39" s="9">
        <v>37642</v>
      </c>
      <c r="B39" s="10">
        <v>47.67</v>
      </c>
      <c r="C39" s="10">
        <v>104.15</v>
      </c>
      <c r="F39" s="115"/>
      <c r="G39" s="81"/>
      <c r="H39"/>
    </row>
    <row r="40" spans="1:9" x14ac:dyDescent="0.3">
      <c r="A40" s="9">
        <v>37651</v>
      </c>
      <c r="B40" s="10">
        <v>47.54</v>
      </c>
      <c r="C40" s="10">
        <v>104.28</v>
      </c>
      <c r="F40" s="115"/>
      <c r="G40" s="81"/>
      <c r="H40"/>
    </row>
    <row r="41" spans="1:9" x14ac:dyDescent="0.3">
      <c r="A41" s="9">
        <v>37658</v>
      </c>
      <c r="B41" s="10">
        <v>47.9</v>
      </c>
      <c r="C41" s="10">
        <v>103.92</v>
      </c>
      <c r="F41"/>
      <c r="G41" s="81"/>
      <c r="H41"/>
    </row>
    <row r="42" spans="1:9" x14ac:dyDescent="0.3">
      <c r="A42" s="9">
        <v>37720</v>
      </c>
      <c r="B42" s="10">
        <v>48.03</v>
      </c>
      <c r="C42" s="10">
        <v>103.79</v>
      </c>
      <c r="F42"/>
      <c r="G42" s="81"/>
      <c r="H42"/>
    </row>
    <row r="43" spans="1:9" x14ac:dyDescent="0.3">
      <c r="A43" s="9">
        <v>37725</v>
      </c>
      <c r="B43" s="10">
        <v>48.2</v>
      </c>
      <c r="C43" s="10">
        <v>103.62</v>
      </c>
      <c r="F43"/>
      <c r="G43" s="81"/>
      <c r="H43"/>
    </row>
    <row r="44" spans="1:9" x14ac:dyDescent="0.3">
      <c r="A44" s="9">
        <v>37733</v>
      </c>
      <c r="B44" s="11">
        <v>48.6</v>
      </c>
      <c r="C44" s="10">
        <v>103.22</v>
      </c>
      <c r="F44"/>
      <c r="G44" s="81"/>
      <c r="H44"/>
    </row>
    <row r="45" spans="1:9" x14ac:dyDescent="0.3">
      <c r="A45" s="9">
        <v>37749</v>
      </c>
      <c r="B45" s="10">
        <v>48.15</v>
      </c>
      <c r="C45" s="10">
        <v>103.67</v>
      </c>
      <c r="F45"/>
      <c r="G45" s="81"/>
      <c r="H45"/>
    </row>
    <row r="46" spans="1:9" x14ac:dyDescent="0.3">
      <c r="A46" s="9">
        <v>37750</v>
      </c>
      <c r="B46" s="10">
        <v>48.17</v>
      </c>
      <c r="C46" s="10">
        <v>103.65</v>
      </c>
      <c r="F46"/>
      <c r="G46" s="81"/>
      <c r="H46"/>
    </row>
    <row r="47" spans="1:9" x14ac:dyDescent="0.3">
      <c r="A47" s="9">
        <v>37755</v>
      </c>
      <c r="B47" s="10">
        <v>48.54</v>
      </c>
      <c r="C47" s="10">
        <v>103.28</v>
      </c>
      <c r="F47"/>
      <c r="G47" s="81"/>
      <c r="H47"/>
    </row>
    <row r="48" spans="1:9" x14ac:dyDescent="0.3">
      <c r="A48" s="9">
        <v>37758</v>
      </c>
      <c r="B48" s="10">
        <v>48.21</v>
      </c>
      <c r="C48" s="10">
        <v>103.61</v>
      </c>
      <c r="F48"/>
      <c r="G48" s="81"/>
      <c r="H48"/>
    </row>
    <row r="49" spans="1:8" x14ac:dyDescent="0.3">
      <c r="A49" s="9">
        <v>37768</v>
      </c>
      <c r="B49" s="10">
        <v>47.53</v>
      </c>
      <c r="C49" s="10">
        <v>104.29</v>
      </c>
      <c r="F49"/>
      <c r="G49" s="81"/>
      <c r="H49"/>
    </row>
    <row r="50" spans="1:8" x14ac:dyDescent="0.3">
      <c r="A50" s="9">
        <v>37777</v>
      </c>
      <c r="B50" s="10">
        <v>48.91</v>
      </c>
      <c r="C50" s="10">
        <v>102.91</v>
      </c>
      <c r="F50"/>
      <c r="G50" s="81"/>
      <c r="H50"/>
    </row>
    <row r="51" spans="1:8" x14ac:dyDescent="0.3">
      <c r="A51" s="9">
        <v>37796</v>
      </c>
      <c r="B51" s="10">
        <v>49.09</v>
      </c>
      <c r="C51" s="10">
        <v>102.73</v>
      </c>
      <c r="F51"/>
      <c r="G51" s="81"/>
      <c r="H51"/>
    </row>
    <row r="52" spans="1:8" x14ac:dyDescent="0.3">
      <c r="A52" s="9">
        <v>37811</v>
      </c>
      <c r="B52" s="10">
        <v>48.37</v>
      </c>
      <c r="C52" s="10">
        <v>103.45</v>
      </c>
      <c r="F52"/>
      <c r="G52" s="81"/>
      <c r="H52"/>
    </row>
    <row r="53" spans="1:8" x14ac:dyDescent="0.3">
      <c r="A53" s="9">
        <v>37816</v>
      </c>
      <c r="B53" s="10">
        <v>47.95</v>
      </c>
      <c r="C53" s="10">
        <v>103.87</v>
      </c>
      <c r="F53"/>
      <c r="G53" s="81"/>
      <c r="H53"/>
    </row>
    <row r="54" spans="1:8" x14ac:dyDescent="0.3">
      <c r="A54" s="9">
        <v>37821</v>
      </c>
      <c r="B54" s="10">
        <v>48.03</v>
      </c>
      <c r="C54" s="10">
        <v>103.79</v>
      </c>
      <c r="F54"/>
      <c r="G54" s="81"/>
      <c r="H54"/>
    </row>
    <row r="55" spans="1:8" x14ac:dyDescent="0.3">
      <c r="A55" s="9">
        <v>37825</v>
      </c>
      <c r="B55" s="10">
        <v>48.12</v>
      </c>
      <c r="C55" s="10">
        <v>103.7</v>
      </c>
      <c r="F55"/>
      <c r="G55" s="81"/>
      <c r="H55"/>
    </row>
    <row r="56" spans="1:8" x14ac:dyDescent="0.3">
      <c r="A56" s="9">
        <v>37831</v>
      </c>
      <c r="B56" s="10">
        <v>48.27</v>
      </c>
      <c r="C56" s="10">
        <v>103.55</v>
      </c>
      <c r="F56"/>
      <c r="G56" s="81"/>
      <c r="H56"/>
    </row>
    <row r="57" spans="1:8" x14ac:dyDescent="0.3">
      <c r="A57" s="9">
        <v>37838</v>
      </c>
      <c r="B57" s="10">
        <v>48.26</v>
      </c>
      <c r="C57" s="10">
        <v>103.56</v>
      </c>
      <c r="F57"/>
      <c r="G57" s="81"/>
      <c r="H57"/>
    </row>
    <row r="58" spans="1:8" x14ac:dyDescent="0.3">
      <c r="A58" s="9">
        <v>37846</v>
      </c>
      <c r="B58" s="10">
        <v>48.28</v>
      </c>
      <c r="C58" s="10">
        <v>103.54</v>
      </c>
      <c r="F58"/>
      <c r="G58" s="81"/>
      <c r="H58"/>
    </row>
    <row r="59" spans="1:8" x14ac:dyDescent="0.3">
      <c r="A59" s="9">
        <v>37853</v>
      </c>
      <c r="B59" s="10">
        <v>48.73</v>
      </c>
      <c r="C59" s="10">
        <v>103.09</v>
      </c>
      <c r="F59"/>
      <c r="G59" s="81"/>
      <c r="H59"/>
    </row>
    <row r="60" spans="1:8" x14ac:dyDescent="0.3">
      <c r="A60" s="9">
        <v>37858</v>
      </c>
      <c r="B60" s="10">
        <v>48.71</v>
      </c>
      <c r="C60" s="10">
        <v>103.11</v>
      </c>
      <c r="F60"/>
      <c r="G60" s="81"/>
      <c r="H60"/>
    </row>
    <row r="61" spans="1:8" x14ac:dyDescent="0.3">
      <c r="A61" s="9">
        <v>37873</v>
      </c>
      <c r="B61" s="10">
        <v>48.76</v>
      </c>
      <c r="C61" s="10">
        <v>103.06</v>
      </c>
      <c r="F61"/>
      <c r="G61" s="81"/>
      <c r="H61"/>
    </row>
    <row r="62" spans="1:8" x14ac:dyDescent="0.3">
      <c r="A62" s="9">
        <v>37881</v>
      </c>
      <c r="B62" s="10">
        <v>48.96</v>
      </c>
      <c r="C62" s="10">
        <v>102.86</v>
      </c>
      <c r="F62"/>
      <c r="G62" s="81"/>
      <c r="H62"/>
    </row>
    <row r="63" spans="1:8" x14ac:dyDescent="0.3">
      <c r="A63" s="9">
        <v>37895</v>
      </c>
      <c r="B63" s="10">
        <v>48.85</v>
      </c>
      <c r="C63" s="10">
        <v>102.97</v>
      </c>
      <c r="F63"/>
      <c r="G63" s="81"/>
      <c r="H63"/>
    </row>
    <row r="64" spans="1:8" x14ac:dyDescent="0.3">
      <c r="A64" s="9">
        <v>37900</v>
      </c>
      <c r="B64" s="10">
        <v>48.95</v>
      </c>
      <c r="C64" s="10">
        <v>102.87</v>
      </c>
      <c r="F64"/>
      <c r="G64" s="81"/>
      <c r="H64"/>
    </row>
    <row r="65" spans="1:8" x14ac:dyDescent="0.3">
      <c r="A65" s="9">
        <v>37931</v>
      </c>
      <c r="B65" s="10">
        <v>48.97</v>
      </c>
      <c r="C65" s="10">
        <v>102.85</v>
      </c>
      <c r="F65"/>
      <c r="G65" s="81"/>
      <c r="H65"/>
    </row>
    <row r="66" spans="1:8" x14ac:dyDescent="0.3">
      <c r="A66" s="9">
        <v>37936</v>
      </c>
      <c r="B66" s="10">
        <v>49.01</v>
      </c>
      <c r="C66" s="10">
        <v>102.81</v>
      </c>
      <c r="F66"/>
      <c r="G66" s="81"/>
      <c r="H66"/>
    </row>
    <row r="67" spans="1:8" x14ac:dyDescent="0.3">
      <c r="A67" s="9">
        <v>37985</v>
      </c>
      <c r="B67" s="10">
        <v>49.17</v>
      </c>
      <c r="C67" s="10">
        <v>102.65</v>
      </c>
      <c r="F67"/>
      <c r="G67" s="81"/>
      <c r="H67"/>
    </row>
    <row r="68" spans="1:8" x14ac:dyDescent="0.3">
      <c r="A68" s="9">
        <v>37994</v>
      </c>
      <c r="B68" s="10">
        <v>48.86</v>
      </c>
      <c r="C68" s="10">
        <v>102.96</v>
      </c>
      <c r="F68"/>
      <c r="G68" s="81"/>
      <c r="H68"/>
    </row>
    <row r="69" spans="1:8" x14ac:dyDescent="0.3">
      <c r="A69" s="9">
        <v>38000</v>
      </c>
      <c r="B69" s="10">
        <v>49.11</v>
      </c>
      <c r="C69" s="10">
        <v>102.71</v>
      </c>
      <c r="F69"/>
      <c r="G69" s="81"/>
      <c r="H69"/>
    </row>
    <row r="70" spans="1:8" x14ac:dyDescent="0.3">
      <c r="A70" s="69">
        <v>38009</v>
      </c>
      <c r="B70" s="10">
        <v>49.22</v>
      </c>
      <c r="C70" s="10">
        <v>102.6</v>
      </c>
      <c r="F70"/>
      <c r="G70" s="81"/>
      <c r="H70"/>
    </row>
    <row r="71" spans="1:8" x14ac:dyDescent="0.3">
      <c r="A71" s="69">
        <v>38028</v>
      </c>
      <c r="B71" s="10">
        <v>49.37</v>
      </c>
      <c r="C71" s="10">
        <v>102.45</v>
      </c>
      <c r="F71"/>
      <c r="G71" s="81"/>
      <c r="H71"/>
    </row>
    <row r="72" spans="1:8" x14ac:dyDescent="0.3">
      <c r="A72" s="69">
        <v>38048</v>
      </c>
      <c r="B72" s="10">
        <v>49.32</v>
      </c>
      <c r="C72" s="10">
        <v>102.5</v>
      </c>
      <c r="F72"/>
      <c r="G72" s="81"/>
      <c r="H72"/>
    </row>
    <row r="73" spans="1:8" x14ac:dyDescent="0.3">
      <c r="A73" s="69">
        <v>38076</v>
      </c>
      <c r="B73" s="10">
        <v>49.27</v>
      </c>
      <c r="C73" s="10">
        <v>102.55</v>
      </c>
      <c r="F73"/>
      <c r="G73" s="81"/>
      <c r="H73"/>
    </row>
    <row r="74" spans="1:8" x14ac:dyDescent="0.3">
      <c r="A74" s="69">
        <v>38096</v>
      </c>
      <c r="B74" s="10">
        <v>49.3</v>
      </c>
      <c r="C74" s="10">
        <v>102.52</v>
      </c>
      <c r="F74"/>
      <c r="G74" s="81"/>
      <c r="H74"/>
    </row>
    <row r="75" spans="1:8" x14ac:dyDescent="0.3">
      <c r="A75" s="69">
        <v>38107</v>
      </c>
      <c r="B75" s="10">
        <v>49.2</v>
      </c>
      <c r="C75" s="10">
        <v>102.62</v>
      </c>
      <c r="F75"/>
      <c r="G75" s="81"/>
      <c r="H75"/>
    </row>
    <row r="76" spans="1:8" x14ac:dyDescent="0.3">
      <c r="A76" s="69">
        <v>38124</v>
      </c>
      <c r="B76" s="10">
        <v>49.26</v>
      </c>
      <c r="C76" s="10">
        <v>102.56</v>
      </c>
      <c r="F76"/>
      <c r="G76" s="81"/>
      <c r="H76"/>
    </row>
    <row r="77" spans="1:8" x14ac:dyDescent="0.3">
      <c r="A77" s="69">
        <v>38133</v>
      </c>
      <c r="B77" s="10">
        <v>49.5</v>
      </c>
      <c r="C77" s="10">
        <v>102.32</v>
      </c>
      <c r="F77"/>
      <c r="G77" s="81"/>
      <c r="H77"/>
    </row>
    <row r="78" spans="1:8" x14ac:dyDescent="0.3">
      <c r="A78" s="69">
        <v>38155</v>
      </c>
      <c r="B78" s="10">
        <v>48.96</v>
      </c>
      <c r="C78" s="10">
        <v>102.86</v>
      </c>
      <c r="F78"/>
      <c r="G78" s="81"/>
      <c r="H78"/>
    </row>
    <row r="79" spans="1:8" x14ac:dyDescent="0.3">
      <c r="A79" s="69">
        <v>38161</v>
      </c>
      <c r="B79" s="10">
        <v>48.69</v>
      </c>
      <c r="C79" s="10">
        <v>103.13</v>
      </c>
      <c r="F79"/>
      <c r="G79" s="81"/>
      <c r="H79"/>
    </row>
    <row r="80" spans="1:8" x14ac:dyDescent="0.3">
      <c r="A80" s="69">
        <v>38169</v>
      </c>
      <c r="B80" s="10">
        <v>48.79</v>
      </c>
      <c r="C80" s="10">
        <v>103.03</v>
      </c>
      <c r="F80"/>
      <c r="G80" s="81"/>
      <c r="H80"/>
    </row>
    <row r="81" spans="1:8" x14ac:dyDescent="0.3">
      <c r="A81" s="69">
        <v>38183</v>
      </c>
      <c r="B81" s="10">
        <v>48.85</v>
      </c>
      <c r="C81" s="10">
        <v>102.97</v>
      </c>
      <c r="F81"/>
      <c r="G81" s="81"/>
      <c r="H81"/>
    </row>
    <row r="82" spans="1:8" x14ac:dyDescent="0.3">
      <c r="A82" s="69">
        <v>38197</v>
      </c>
      <c r="B82" s="10">
        <v>48.7</v>
      </c>
      <c r="C82" s="10">
        <v>103.12</v>
      </c>
      <c r="F82"/>
      <c r="G82" s="81"/>
      <c r="H82"/>
    </row>
    <row r="83" spans="1:8" x14ac:dyDescent="0.3">
      <c r="A83" s="30">
        <v>38202</v>
      </c>
      <c r="B83" s="11">
        <v>48.78</v>
      </c>
      <c r="C83" s="10">
        <v>103.04</v>
      </c>
      <c r="F83"/>
      <c r="G83" s="81"/>
      <c r="H83"/>
    </row>
    <row r="84" spans="1:8" x14ac:dyDescent="0.3">
      <c r="A84" s="71">
        <v>38209</v>
      </c>
      <c r="B84" s="72">
        <v>48.56</v>
      </c>
      <c r="C84" s="73">
        <v>103.26</v>
      </c>
      <c r="F84"/>
      <c r="G84" s="81"/>
      <c r="H84"/>
    </row>
    <row r="85" spans="1:8" x14ac:dyDescent="0.3">
      <c r="A85" s="71">
        <v>38216</v>
      </c>
      <c r="B85" s="72">
        <v>48.75</v>
      </c>
      <c r="C85" s="73">
        <v>103.07</v>
      </c>
      <c r="F85"/>
      <c r="G85" s="81"/>
      <c r="H85"/>
    </row>
    <row r="86" spans="1:8" x14ac:dyDescent="0.3">
      <c r="A86" s="71">
        <v>38226</v>
      </c>
      <c r="B86" s="72">
        <v>48.47</v>
      </c>
      <c r="C86" s="73">
        <v>103.35</v>
      </c>
      <c r="F86"/>
      <c r="G86" s="81"/>
      <c r="H86"/>
    </row>
    <row r="87" spans="1:8" x14ac:dyDescent="0.3">
      <c r="A87" s="71">
        <v>38230</v>
      </c>
      <c r="B87" s="72">
        <v>48.62</v>
      </c>
      <c r="C87" s="73">
        <v>103.2</v>
      </c>
      <c r="F87"/>
      <c r="G87" s="81"/>
      <c r="H87"/>
    </row>
    <row r="88" spans="1:8" x14ac:dyDescent="0.3">
      <c r="A88" s="71">
        <v>38237</v>
      </c>
      <c r="B88" s="72">
        <v>48.68</v>
      </c>
      <c r="C88" s="73">
        <v>103.14</v>
      </c>
      <c r="F88"/>
      <c r="G88" s="81"/>
      <c r="H88"/>
    </row>
    <row r="89" spans="1:8" x14ac:dyDescent="0.3">
      <c r="A89" s="71">
        <v>38244</v>
      </c>
      <c r="B89" s="72">
        <v>48.48</v>
      </c>
      <c r="C89" s="73">
        <v>103.34</v>
      </c>
      <c r="F89"/>
      <c r="G89" s="81"/>
      <c r="H89"/>
    </row>
    <row r="90" spans="1:8" x14ac:dyDescent="0.3">
      <c r="A90" s="71">
        <v>38246</v>
      </c>
      <c r="B90" s="72">
        <v>48.48</v>
      </c>
      <c r="C90" s="73">
        <v>103.34</v>
      </c>
      <c r="F90"/>
      <c r="G90" s="81"/>
      <c r="H90"/>
    </row>
    <row r="91" spans="1:8" x14ac:dyDescent="0.3">
      <c r="A91" s="71">
        <v>38251</v>
      </c>
      <c r="B91" s="72">
        <v>48.46</v>
      </c>
      <c r="C91" s="73">
        <v>103.36</v>
      </c>
      <c r="F91"/>
      <c r="G91" s="81"/>
      <c r="H91"/>
    </row>
    <row r="92" spans="1:8" x14ac:dyDescent="0.3">
      <c r="A92" s="71">
        <v>38258</v>
      </c>
      <c r="B92" s="72">
        <v>48.49</v>
      </c>
      <c r="C92" s="73">
        <v>103.33</v>
      </c>
      <c r="F92"/>
      <c r="G92" s="81"/>
      <c r="H92"/>
    </row>
    <row r="93" spans="1:8" x14ac:dyDescent="0.3">
      <c r="A93" s="71">
        <v>38265</v>
      </c>
      <c r="B93" s="72">
        <v>48.46</v>
      </c>
      <c r="C93" s="73">
        <v>103.36</v>
      </c>
      <c r="F93"/>
      <c r="G93" s="81"/>
      <c r="H93"/>
    </row>
    <row r="94" spans="1:8" x14ac:dyDescent="0.3">
      <c r="A94" s="71">
        <v>38286</v>
      </c>
      <c r="B94" s="72">
        <v>48.48</v>
      </c>
      <c r="C94" s="73">
        <v>103.34</v>
      </c>
      <c r="F94"/>
      <c r="G94" s="81"/>
      <c r="H94"/>
    </row>
    <row r="95" spans="1:8" x14ac:dyDescent="0.3">
      <c r="A95" s="71">
        <v>38308</v>
      </c>
      <c r="B95" s="72">
        <v>49.66</v>
      </c>
      <c r="C95" s="73">
        <v>102.16</v>
      </c>
      <c r="F95"/>
      <c r="G95" s="81"/>
      <c r="H95"/>
    </row>
    <row r="96" spans="1:8" x14ac:dyDescent="0.3">
      <c r="A96" s="71">
        <v>38313</v>
      </c>
      <c r="B96" s="72">
        <v>49.19</v>
      </c>
      <c r="C96" s="73">
        <v>102.63</v>
      </c>
      <c r="F96"/>
      <c r="G96" s="81"/>
      <c r="H96"/>
    </row>
    <row r="97" spans="1:8" x14ac:dyDescent="0.3">
      <c r="A97" s="71">
        <v>38342</v>
      </c>
      <c r="B97" s="72">
        <v>49.83</v>
      </c>
      <c r="C97" s="73">
        <v>101.99</v>
      </c>
      <c r="F97"/>
      <c r="G97" s="81"/>
      <c r="H97"/>
    </row>
    <row r="98" spans="1:8" x14ac:dyDescent="0.3">
      <c r="A98" s="71">
        <v>38364</v>
      </c>
      <c r="B98" s="72">
        <v>49.85</v>
      </c>
      <c r="C98" s="73">
        <v>101.97</v>
      </c>
      <c r="F98"/>
      <c r="G98" s="81"/>
      <c r="H98"/>
    </row>
    <row r="99" spans="1:8" x14ac:dyDescent="0.3">
      <c r="A99" s="71">
        <v>38378</v>
      </c>
      <c r="B99" s="72">
        <v>50.21</v>
      </c>
      <c r="C99" s="73">
        <v>101.61</v>
      </c>
      <c r="F99"/>
      <c r="G99" s="81"/>
      <c r="H99"/>
    </row>
    <row r="100" spans="1:8" x14ac:dyDescent="0.3">
      <c r="A100" s="71">
        <v>38391</v>
      </c>
      <c r="B100" s="72">
        <v>50.22</v>
      </c>
      <c r="C100" s="73">
        <v>101.6</v>
      </c>
      <c r="F100"/>
      <c r="G100" s="81"/>
      <c r="H100"/>
    </row>
    <row r="101" spans="1:8" x14ac:dyDescent="0.3">
      <c r="A101" s="71">
        <v>38404</v>
      </c>
      <c r="B101" s="72">
        <v>50.02</v>
      </c>
      <c r="C101" s="73">
        <v>101.8</v>
      </c>
      <c r="F101"/>
      <c r="G101" s="81"/>
      <c r="H101"/>
    </row>
    <row r="102" spans="1:8" x14ac:dyDescent="0.3">
      <c r="A102" s="71">
        <v>38419</v>
      </c>
      <c r="B102" s="72">
        <v>50.47</v>
      </c>
      <c r="C102" s="73">
        <v>101.35</v>
      </c>
      <c r="F102"/>
      <c r="G102" s="81"/>
      <c r="H102"/>
    </row>
    <row r="103" spans="1:8" x14ac:dyDescent="0.3">
      <c r="A103" s="71">
        <v>38427</v>
      </c>
      <c r="B103" s="72">
        <v>50.54</v>
      </c>
      <c r="C103" s="73">
        <v>101.28</v>
      </c>
      <c r="F103"/>
      <c r="G103" s="81"/>
      <c r="H103"/>
    </row>
    <row r="104" spans="1:8" x14ac:dyDescent="0.3">
      <c r="A104" s="71">
        <v>38439</v>
      </c>
      <c r="B104" s="72">
        <v>51.2</v>
      </c>
      <c r="C104" s="73">
        <v>100.62</v>
      </c>
      <c r="F104"/>
      <c r="G104" s="81"/>
      <c r="H104"/>
    </row>
    <row r="105" spans="1:8" x14ac:dyDescent="0.3">
      <c r="A105" s="71">
        <v>38446</v>
      </c>
      <c r="B105" s="72">
        <v>51.15</v>
      </c>
      <c r="C105" s="73">
        <v>100.67</v>
      </c>
      <c r="F105"/>
      <c r="G105" s="81"/>
      <c r="H105"/>
    </row>
    <row r="106" spans="1:8" x14ac:dyDescent="0.3">
      <c r="A106" s="71">
        <v>38453</v>
      </c>
      <c r="B106" s="72">
        <v>50.93</v>
      </c>
      <c r="C106" s="73">
        <v>100.89</v>
      </c>
      <c r="F106"/>
      <c r="G106" s="81"/>
      <c r="H106"/>
    </row>
    <row r="107" spans="1:8" x14ac:dyDescent="0.3">
      <c r="A107" s="71">
        <v>38461</v>
      </c>
      <c r="B107" s="72">
        <v>50.98</v>
      </c>
      <c r="C107" s="73">
        <v>100.84</v>
      </c>
      <c r="F107"/>
      <c r="G107" s="81"/>
      <c r="H107"/>
    </row>
    <row r="108" spans="1:8" x14ac:dyDescent="0.3">
      <c r="A108" s="71">
        <v>38467</v>
      </c>
      <c r="B108" s="72">
        <v>51.1</v>
      </c>
      <c r="C108" s="73">
        <v>100.72</v>
      </c>
      <c r="F108"/>
      <c r="G108" s="81"/>
      <c r="H108"/>
    </row>
    <row r="109" spans="1:8" x14ac:dyDescent="0.3">
      <c r="A109" s="71">
        <v>38474</v>
      </c>
      <c r="B109" s="72">
        <v>51.6</v>
      </c>
      <c r="C109" s="73">
        <v>100.22</v>
      </c>
      <c r="F109"/>
      <c r="G109" s="81"/>
      <c r="H109"/>
    </row>
    <row r="110" spans="1:8" x14ac:dyDescent="0.3">
      <c r="A110" s="71">
        <v>38485</v>
      </c>
      <c r="B110" s="72">
        <v>51.29</v>
      </c>
      <c r="C110" s="73">
        <v>100.53</v>
      </c>
      <c r="F110"/>
      <c r="G110" s="81"/>
      <c r="H110"/>
    </row>
    <row r="111" spans="1:8" x14ac:dyDescent="0.3">
      <c r="A111" s="71">
        <v>38524</v>
      </c>
      <c r="B111" s="72">
        <v>51.62</v>
      </c>
      <c r="C111" s="73">
        <v>100.2</v>
      </c>
      <c r="F111"/>
      <c r="G111" s="81"/>
      <c r="H111"/>
    </row>
    <row r="112" spans="1:8" x14ac:dyDescent="0.3">
      <c r="A112" s="71">
        <v>38583</v>
      </c>
      <c r="B112" s="72">
        <v>52.43</v>
      </c>
      <c r="C112" s="73">
        <v>99.39</v>
      </c>
      <c r="F112"/>
      <c r="G112" s="81"/>
      <c r="H112"/>
    </row>
    <row r="113" spans="1:8" x14ac:dyDescent="0.3">
      <c r="A113" s="71">
        <v>38596</v>
      </c>
      <c r="B113" s="72">
        <v>52.41</v>
      </c>
      <c r="C113" s="73">
        <v>99.41</v>
      </c>
      <c r="F113"/>
      <c r="G113" s="81"/>
      <c r="H113"/>
    </row>
    <row r="114" spans="1:8" x14ac:dyDescent="0.3">
      <c r="A114" s="71">
        <v>38597</v>
      </c>
      <c r="B114" s="72">
        <v>52.47</v>
      </c>
      <c r="C114" s="73">
        <v>99.35</v>
      </c>
      <c r="F114"/>
      <c r="G114" s="81"/>
      <c r="H114"/>
    </row>
    <row r="115" spans="1:8" x14ac:dyDescent="0.3">
      <c r="A115" s="71">
        <v>38629</v>
      </c>
      <c r="B115" s="72">
        <v>52.98</v>
      </c>
      <c r="C115" s="73">
        <v>98.84</v>
      </c>
      <c r="F115"/>
      <c r="G115" s="81"/>
      <c r="H115"/>
    </row>
    <row r="116" spans="1:8" x14ac:dyDescent="0.3">
      <c r="A116" s="71">
        <v>38649</v>
      </c>
      <c r="B116" s="72">
        <v>53.08</v>
      </c>
      <c r="C116" s="73">
        <v>98.74</v>
      </c>
      <c r="F116"/>
      <c r="G116" s="81"/>
      <c r="H116"/>
    </row>
    <row r="117" spans="1:8" x14ac:dyDescent="0.3">
      <c r="A117" s="71">
        <v>38653</v>
      </c>
      <c r="B117" s="72">
        <v>52.85</v>
      </c>
      <c r="C117" s="73">
        <v>98.97</v>
      </c>
      <c r="F117"/>
      <c r="G117" s="81"/>
      <c r="H117"/>
    </row>
    <row r="118" spans="1:8" x14ac:dyDescent="0.3">
      <c r="A118" s="71">
        <v>38665</v>
      </c>
      <c r="B118" s="72">
        <v>53.02</v>
      </c>
      <c r="C118" s="73">
        <v>98.8</v>
      </c>
      <c r="F118"/>
      <c r="G118" s="81"/>
      <c r="H118"/>
    </row>
    <row r="119" spans="1:8" x14ac:dyDescent="0.3">
      <c r="A119" s="71">
        <v>38687</v>
      </c>
      <c r="B119" s="72">
        <v>53.45</v>
      </c>
      <c r="C119" s="73">
        <v>98.37</v>
      </c>
      <c r="F119"/>
      <c r="G119" s="81"/>
      <c r="H119"/>
    </row>
    <row r="120" spans="1:8" x14ac:dyDescent="0.3">
      <c r="A120" s="71">
        <v>38740</v>
      </c>
      <c r="B120" s="72">
        <v>53.92</v>
      </c>
      <c r="C120" s="73">
        <v>97.9</v>
      </c>
      <c r="F120"/>
      <c r="G120" s="81"/>
      <c r="H120"/>
    </row>
    <row r="121" spans="1:8" x14ac:dyDescent="0.3">
      <c r="A121" s="71">
        <v>38754</v>
      </c>
      <c r="B121" s="72">
        <v>53.85</v>
      </c>
      <c r="C121" s="73">
        <v>97.97</v>
      </c>
      <c r="F121"/>
      <c r="G121" s="81"/>
      <c r="H121"/>
    </row>
    <row r="122" spans="1:8" x14ac:dyDescent="0.3">
      <c r="A122" s="71">
        <v>38779</v>
      </c>
      <c r="B122" s="72">
        <v>53.7</v>
      </c>
      <c r="C122" s="73">
        <v>98.12</v>
      </c>
      <c r="F122"/>
      <c r="G122" s="81"/>
      <c r="H122"/>
    </row>
    <row r="123" spans="1:8" x14ac:dyDescent="0.3">
      <c r="A123" s="71">
        <v>38790</v>
      </c>
      <c r="B123" s="72">
        <v>53.76</v>
      </c>
      <c r="C123" s="73">
        <v>98.06</v>
      </c>
      <c r="F123"/>
      <c r="G123" s="81"/>
      <c r="H123"/>
    </row>
    <row r="124" spans="1:8" x14ac:dyDescent="0.3">
      <c r="A124" s="71">
        <v>38817</v>
      </c>
      <c r="B124" s="72">
        <v>54.37</v>
      </c>
      <c r="C124" s="73">
        <v>97.45</v>
      </c>
      <c r="F124"/>
      <c r="G124" s="81"/>
      <c r="H124"/>
    </row>
    <row r="125" spans="1:8" x14ac:dyDescent="0.3">
      <c r="A125" s="71">
        <v>38825</v>
      </c>
      <c r="B125" s="72">
        <v>54.36</v>
      </c>
      <c r="C125" s="73">
        <v>97.46</v>
      </c>
      <c r="F125"/>
      <c r="G125" s="81"/>
      <c r="H125"/>
    </row>
    <row r="126" spans="1:8" x14ac:dyDescent="0.3">
      <c r="A126" s="71">
        <v>38833</v>
      </c>
      <c r="B126" s="72">
        <v>54.21</v>
      </c>
      <c r="C126" s="73">
        <v>97.61</v>
      </c>
      <c r="F126"/>
      <c r="G126" s="81"/>
      <c r="H126"/>
    </row>
    <row r="127" spans="1:8" x14ac:dyDescent="0.3">
      <c r="A127" s="71">
        <v>38844</v>
      </c>
      <c r="B127" s="72">
        <v>54.49</v>
      </c>
      <c r="C127" s="73">
        <v>97.33</v>
      </c>
      <c r="F127"/>
      <c r="G127" s="81"/>
      <c r="H127"/>
    </row>
    <row r="128" spans="1:8" x14ac:dyDescent="0.3">
      <c r="A128" s="71">
        <v>38849</v>
      </c>
      <c r="B128" s="72">
        <v>54.52</v>
      </c>
      <c r="C128" s="73">
        <v>97.3</v>
      </c>
      <c r="F128"/>
      <c r="G128" s="81"/>
      <c r="H128"/>
    </row>
    <row r="129" spans="1:8" x14ac:dyDescent="0.3">
      <c r="A129" s="71">
        <v>38860</v>
      </c>
      <c r="B129" s="72">
        <v>54.46</v>
      </c>
      <c r="C129" s="73">
        <v>97.36</v>
      </c>
      <c r="F129"/>
      <c r="G129" s="81"/>
      <c r="H129"/>
    </row>
    <row r="130" spans="1:8" x14ac:dyDescent="0.3">
      <c r="A130" s="71">
        <v>38909</v>
      </c>
      <c r="B130" s="72">
        <v>54.5</v>
      </c>
      <c r="C130" s="73">
        <v>97.32</v>
      </c>
      <c r="F130"/>
      <c r="G130" s="81"/>
      <c r="H130"/>
    </row>
    <row r="131" spans="1:8" x14ac:dyDescent="0.3">
      <c r="A131" s="71">
        <v>38929</v>
      </c>
      <c r="B131" s="72">
        <v>54.65</v>
      </c>
      <c r="C131" s="73">
        <v>97.17</v>
      </c>
      <c r="F131"/>
      <c r="G131" s="81"/>
      <c r="H131"/>
    </row>
    <row r="132" spans="1:8" x14ac:dyDescent="0.3">
      <c r="A132" s="71">
        <v>38959</v>
      </c>
      <c r="B132" s="72">
        <v>56.97</v>
      </c>
      <c r="C132" s="73">
        <v>94.85</v>
      </c>
      <c r="F132"/>
      <c r="G132" s="81"/>
      <c r="H132"/>
    </row>
    <row r="133" spans="1:8" x14ac:dyDescent="0.3">
      <c r="A133" s="71">
        <v>38974</v>
      </c>
      <c r="B133" s="72">
        <v>55.08</v>
      </c>
      <c r="C133" s="73">
        <v>96.74</v>
      </c>
      <c r="F133"/>
      <c r="G133" s="81"/>
      <c r="H133"/>
    </row>
    <row r="134" spans="1:8" x14ac:dyDescent="0.3">
      <c r="A134" s="71">
        <v>38999</v>
      </c>
      <c r="B134" s="72">
        <v>55.35</v>
      </c>
      <c r="C134" s="73">
        <v>96.47</v>
      </c>
      <c r="F134"/>
      <c r="G134" s="81"/>
      <c r="H134"/>
    </row>
    <row r="135" spans="1:8" x14ac:dyDescent="0.3">
      <c r="A135" s="71">
        <v>39085</v>
      </c>
      <c r="B135" s="72">
        <v>56</v>
      </c>
      <c r="C135" s="73">
        <v>95.82</v>
      </c>
      <c r="F135"/>
      <c r="G135" s="81"/>
      <c r="H135"/>
    </row>
    <row r="136" spans="1:8" x14ac:dyDescent="0.3">
      <c r="A136" s="71">
        <v>39107</v>
      </c>
      <c r="B136" s="72">
        <v>56.08</v>
      </c>
      <c r="C136" s="73">
        <v>95.74</v>
      </c>
      <c r="F136"/>
      <c r="G136" s="81"/>
      <c r="H136"/>
    </row>
    <row r="137" spans="1:8" x14ac:dyDescent="0.3">
      <c r="A137" s="71">
        <v>39140</v>
      </c>
      <c r="B137" s="72">
        <v>55.96</v>
      </c>
      <c r="C137" s="73">
        <v>95.86</v>
      </c>
      <c r="F137"/>
      <c r="G137" s="81"/>
      <c r="H137"/>
    </row>
    <row r="138" spans="1:8" x14ac:dyDescent="0.3">
      <c r="A138" s="71">
        <v>39184</v>
      </c>
      <c r="B138" s="72">
        <v>56.26</v>
      </c>
      <c r="C138" s="73">
        <v>95.56</v>
      </c>
      <c r="F138"/>
      <c r="G138" s="81"/>
      <c r="H138"/>
    </row>
    <row r="139" spans="1:8" x14ac:dyDescent="0.3">
      <c r="A139" s="71">
        <v>39213</v>
      </c>
      <c r="B139" s="72">
        <v>56.22</v>
      </c>
      <c r="C139" s="73">
        <v>95.6</v>
      </c>
      <c r="F139"/>
      <c r="G139" s="81"/>
      <c r="H139"/>
    </row>
    <row r="140" spans="1:8" x14ac:dyDescent="0.3">
      <c r="A140" s="71">
        <v>39231</v>
      </c>
      <c r="B140" s="72">
        <v>56.18</v>
      </c>
      <c r="C140" s="73">
        <v>95.64</v>
      </c>
      <c r="F140"/>
      <c r="G140" s="81"/>
      <c r="H140"/>
    </row>
    <row r="141" spans="1:8" x14ac:dyDescent="0.3">
      <c r="A141" s="71">
        <v>39253</v>
      </c>
      <c r="B141" s="72">
        <v>56.24</v>
      </c>
      <c r="C141" s="73">
        <v>95.58</v>
      </c>
      <c r="F141"/>
      <c r="G141" s="81"/>
      <c r="H141"/>
    </row>
    <row r="142" spans="1:8" x14ac:dyDescent="0.3">
      <c r="A142" s="71">
        <v>39346</v>
      </c>
      <c r="B142" s="72">
        <v>56.34</v>
      </c>
      <c r="C142" s="73">
        <v>95.48</v>
      </c>
      <c r="F142"/>
      <c r="G142" s="81"/>
      <c r="H142"/>
    </row>
    <row r="143" spans="1:8" x14ac:dyDescent="0.3">
      <c r="A143" s="71">
        <v>39374</v>
      </c>
      <c r="B143" s="72">
        <v>56.67</v>
      </c>
      <c r="C143" s="73">
        <v>95.15</v>
      </c>
      <c r="F143"/>
      <c r="G143" s="81"/>
      <c r="H143"/>
    </row>
    <row r="144" spans="1:8" x14ac:dyDescent="0.3">
      <c r="A144" s="71">
        <v>39479</v>
      </c>
      <c r="B144" s="72">
        <v>57.49</v>
      </c>
      <c r="C144" s="73">
        <v>94.33</v>
      </c>
      <c r="F144"/>
      <c r="G144" s="81"/>
      <c r="H144"/>
    </row>
    <row r="145" spans="1:8" x14ac:dyDescent="0.3">
      <c r="A145" s="71">
        <v>39492</v>
      </c>
      <c r="B145" s="72">
        <v>57.64</v>
      </c>
      <c r="C145" s="73">
        <v>94.18</v>
      </c>
      <c r="F145"/>
      <c r="G145" s="81"/>
      <c r="H145"/>
    </row>
    <row r="146" spans="1:8" x14ac:dyDescent="0.3">
      <c r="A146" s="71">
        <v>39507</v>
      </c>
      <c r="B146" s="72">
        <v>57.56</v>
      </c>
      <c r="C146" s="73">
        <v>94.26</v>
      </c>
      <c r="F146"/>
      <c r="G146" s="81"/>
      <c r="H146"/>
    </row>
    <row r="147" spans="1:8" x14ac:dyDescent="0.3">
      <c r="A147" s="71">
        <v>39538</v>
      </c>
      <c r="B147" s="72">
        <v>57.6</v>
      </c>
      <c r="C147" s="73">
        <v>94.22</v>
      </c>
      <c r="F147"/>
      <c r="G147" s="81"/>
      <c r="H147"/>
    </row>
    <row r="148" spans="1:8" x14ac:dyDescent="0.3">
      <c r="A148" s="71">
        <v>39612</v>
      </c>
      <c r="B148" s="72">
        <v>58.28</v>
      </c>
      <c r="C148" s="73">
        <v>93.54</v>
      </c>
      <c r="F148"/>
      <c r="G148" s="81"/>
      <c r="H148"/>
    </row>
    <row r="149" spans="1:8" x14ac:dyDescent="0.3">
      <c r="A149" s="71">
        <v>39643</v>
      </c>
      <c r="B149" s="72">
        <v>58.49</v>
      </c>
      <c r="C149" s="73">
        <v>93.33</v>
      </c>
      <c r="F149"/>
      <c r="G149" s="81"/>
      <c r="H149"/>
    </row>
    <row r="150" spans="1:8" x14ac:dyDescent="0.3">
      <c r="A150" s="71">
        <v>39714</v>
      </c>
      <c r="B150" s="72">
        <v>58.83</v>
      </c>
      <c r="C150" s="73">
        <v>92.99</v>
      </c>
      <c r="F150"/>
      <c r="G150" s="81"/>
      <c r="H150"/>
    </row>
    <row r="151" spans="1:8" x14ac:dyDescent="0.3">
      <c r="A151" s="71">
        <v>39805</v>
      </c>
      <c r="B151" s="72">
        <v>59.45</v>
      </c>
      <c r="C151" s="73">
        <v>92.37</v>
      </c>
      <c r="F151"/>
      <c r="G151" s="81"/>
      <c r="H151"/>
    </row>
    <row r="152" spans="1:8" x14ac:dyDescent="0.3">
      <c r="A152" s="71">
        <v>39847</v>
      </c>
      <c r="B152" s="72">
        <v>59.83</v>
      </c>
      <c r="C152" s="73">
        <v>91.99</v>
      </c>
      <c r="F152"/>
      <c r="G152" s="81"/>
      <c r="H152"/>
    </row>
    <row r="153" spans="1:8" x14ac:dyDescent="0.3">
      <c r="A153" s="71">
        <v>39881</v>
      </c>
      <c r="B153" s="72">
        <v>60.17</v>
      </c>
      <c r="C153" s="73">
        <v>91.65</v>
      </c>
      <c r="F153"/>
      <c r="G153" s="81"/>
      <c r="H153"/>
    </row>
    <row r="154" spans="1:8" x14ac:dyDescent="0.3">
      <c r="A154" s="71">
        <v>39939</v>
      </c>
      <c r="B154" s="72">
        <v>59.32</v>
      </c>
      <c r="C154" s="73">
        <v>92.5</v>
      </c>
      <c r="F154"/>
      <c r="G154" s="81"/>
      <c r="H154"/>
    </row>
    <row r="155" spans="1:8" x14ac:dyDescent="0.3">
      <c r="A155" s="71">
        <v>39997</v>
      </c>
      <c r="B155" s="72">
        <v>59.92</v>
      </c>
      <c r="C155" s="73">
        <v>91.9</v>
      </c>
      <c r="F155"/>
      <c r="G155" s="81"/>
      <c r="H155"/>
    </row>
    <row r="156" spans="1:8" x14ac:dyDescent="0.3">
      <c r="A156" s="71">
        <v>40011</v>
      </c>
      <c r="B156" s="72">
        <v>59.75</v>
      </c>
      <c r="C156" s="73">
        <v>92.07</v>
      </c>
      <c r="F156"/>
      <c r="G156" s="81"/>
      <c r="H156"/>
    </row>
    <row r="157" spans="1:8" x14ac:dyDescent="0.3">
      <c r="A157" s="71">
        <v>40049</v>
      </c>
      <c r="B157" s="72">
        <v>59.53</v>
      </c>
      <c r="C157" s="73">
        <v>92.29</v>
      </c>
      <c r="F157"/>
      <c r="G157" s="81"/>
      <c r="H157"/>
    </row>
    <row r="158" spans="1:8" x14ac:dyDescent="0.3">
      <c r="A158" s="71">
        <v>40099</v>
      </c>
      <c r="B158" s="72">
        <v>61.59</v>
      </c>
      <c r="C158" s="73">
        <v>90.23</v>
      </c>
      <c r="F158"/>
      <c r="G158" s="81"/>
      <c r="H158"/>
    </row>
    <row r="159" spans="1:8" x14ac:dyDescent="0.3">
      <c r="A159" s="71">
        <v>40176</v>
      </c>
      <c r="B159" s="72">
        <v>59.6</v>
      </c>
      <c r="C159" s="73">
        <v>92.22</v>
      </c>
      <c r="F159"/>
      <c r="G159" s="81"/>
      <c r="H159"/>
    </row>
    <row r="160" spans="1:8" x14ac:dyDescent="0.3">
      <c r="A160" s="71">
        <v>40214</v>
      </c>
      <c r="B160" s="72">
        <v>61.48</v>
      </c>
      <c r="C160" s="73">
        <v>90.34</v>
      </c>
      <c r="F160"/>
      <c r="G160" s="81"/>
      <c r="H160"/>
    </row>
    <row r="161" spans="1:8" x14ac:dyDescent="0.3">
      <c r="A161" s="71">
        <v>40235</v>
      </c>
      <c r="B161" s="72">
        <v>62.56</v>
      </c>
      <c r="C161" s="73">
        <v>89.26</v>
      </c>
      <c r="F161"/>
      <c r="G161" s="81"/>
      <c r="H161"/>
    </row>
    <row r="162" spans="1:8" x14ac:dyDescent="0.3">
      <c r="A162" s="71">
        <v>40287</v>
      </c>
      <c r="B162" s="72">
        <v>62.5</v>
      </c>
      <c r="C162" s="73">
        <v>89.32</v>
      </c>
      <c r="F162"/>
      <c r="G162" s="81"/>
      <c r="H162"/>
    </row>
    <row r="163" spans="1:8" x14ac:dyDescent="0.3">
      <c r="A163" s="71">
        <v>40305</v>
      </c>
      <c r="B163" s="72">
        <v>62.34</v>
      </c>
      <c r="C163" s="73">
        <v>89.48</v>
      </c>
      <c r="F163"/>
      <c r="G163" s="81"/>
      <c r="H163"/>
    </row>
    <row r="164" spans="1:8" x14ac:dyDescent="0.3">
      <c r="A164" s="71">
        <v>40331</v>
      </c>
      <c r="B164" s="72">
        <v>62.6</v>
      </c>
      <c r="C164" s="73">
        <v>89.22</v>
      </c>
      <c r="F164"/>
      <c r="G164" s="81"/>
      <c r="H164"/>
    </row>
    <row r="165" spans="1:8" x14ac:dyDescent="0.3">
      <c r="A165" s="71">
        <v>40393</v>
      </c>
      <c r="B165" s="72">
        <v>63.08</v>
      </c>
      <c r="C165" s="73">
        <v>88.74</v>
      </c>
      <c r="F165"/>
      <c r="G165" s="81"/>
      <c r="H165"/>
    </row>
    <row r="166" spans="1:8" x14ac:dyDescent="0.3">
      <c r="A166" s="71">
        <v>40403</v>
      </c>
      <c r="B166" s="72">
        <v>63.1</v>
      </c>
      <c r="C166" s="73">
        <v>88.72</v>
      </c>
      <c r="F166"/>
      <c r="G166" s="81"/>
      <c r="H166"/>
    </row>
    <row r="167" spans="1:8" x14ac:dyDescent="0.3">
      <c r="A167" s="71">
        <v>40575</v>
      </c>
      <c r="B167" s="72">
        <v>62.92</v>
      </c>
      <c r="C167" s="73">
        <v>88.9</v>
      </c>
      <c r="F167"/>
      <c r="G167" s="81"/>
      <c r="H167"/>
    </row>
    <row r="168" spans="1:8" x14ac:dyDescent="0.3">
      <c r="A168" s="71">
        <v>40679</v>
      </c>
      <c r="B168" s="72">
        <v>62.9</v>
      </c>
      <c r="C168" s="73">
        <v>88.92</v>
      </c>
      <c r="F168"/>
      <c r="G168" s="81"/>
      <c r="H168"/>
    </row>
    <row r="169" spans="1:8" x14ac:dyDescent="0.3">
      <c r="A169" s="71">
        <v>40679</v>
      </c>
      <c r="B169" s="72">
        <v>62.9</v>
      </c>
      <c r="C169" s="73">
        <v>88.92</v>
      </c>
      <c r="F169"/>
      <c r="G169" s="81"/>
      <c r="H169"/>
    </row>
    <row r="170" spans="1:8" x14ac:dyDescent="0.3">
      <c r="A170" s="71">
        <v>40745</v>
      </c>
      <c r="B170" s="72">
        <v>63.09</v>
      </c>
      <c r="C170" s="73">
        <v>88.73</v>
      </c>
      <c r="F170"/>
      <c r="G170" s="81"/>
      <c r="H170"/>
    </row>
    <row r="171" spans="1:8" x14ac:dyDescent="0.3">
      <c r="A171" s="71">
        <v>40777</v>
      </c>
      <c r="B171" s="72">
        <v>63.45</v>
      </c>
      <c r="C171" s="73">
        <v>88.37</v>
      </c>
      <c r="F171"/>
      <c r="G171" s="81"/>
      <c r="H171"/>
    </row>
    <row r="172" spans="1:8" x14ac:dyDescent="0.3">
      <c r="A172" s="71">
        <v>40800</v>
      </c>
      <c r="B172" s="72">
        <v>63.46</v>
      </c>
      <c r="C172" s="73">
        <v>88.36</v>
      </c>
      <c r="F172"/>
      <c r="G172" s="81"/>
      <c r="H172"/>
    </row>
    <row r="173" spans="1:8" x14ac:dyDescent="0.3">
      <c r="A173" s="71">
        <v>40814</v>
      </c>
      <c r="B173" s="72">
        <v>63.65</v>
      </c>
      <c r="C173" s="73">
        <v>88.17</v>
      </c>
      <c r="F173"/>
      <c r="G173" s="81"/>
      <c r="H173"/>
    </row>
    <row r="174" spans="1:8" x14ac:dyDescent="0.3">
      <c r="A174" s="71">
        <v>40834</v>
      </c>
      <c r="B174" s="72">
        <v>63.49</v>
      </c>
      <c r="C174" s="73">
        <v>88.33</v>
      </c>
      <c r="F174"/>
      <c r="G174" s="81"/>
      <c r="H174"/>
    </row>
    <row r="175" spans="1:8" x14ac:dyDescent="0.3">
      <c r="A175" s="71">
        <v>40864</v>
      </c>
      <c r="B175" s="72">
        <v>63.8</v>
      </c>
      <c r="C175" s="73">
        <v>88.02</v>
      </c>
      <c r="F175"/>
      <c r="G175" s="81"/>
      <c r="H175"/>
    </row>
    <row r="176" spans="1:8" x14ac:dyDescent="0.3">
      <c r="A176" s="71">
        <v>40911</v>
      </c>
      <c r="B176" s="72">
        <v>64</v>
      </c>
      <c r="C176" s="73">
        <v>87.82</v>
      </c>
      <c r="F176"/>
      <c r="G176" s="81"/>
      <c r="H176"/>
    </row>
    <row r="177" spans="1:8" x14ac:dyDescent="0.3">
      <c r="A177" s="71">
        <v>40934</v>
      </c>
      <c r="B177" s="72">
        <v>63.95</v>
      </c>
      <c r="C177" s="73">
        <v>87.87</v>
      </c>
      <c r="F177"/>
      <c r="G177" s="81"/>
      <c r="H177"/>
    </row>
    <row r="178" spans="1:8" x14ac:dyDescent="0.3">
      <c r="A178" s="71">
        <v>40967</v>
      </c>
      <c r="B178" s="72">
        <v>64.099999999999994</v>
      </c>
      <c r="C178" s="73">
        <v>87.72</v>
      </c>
      <c r="F178"/>
      <c r="G178" s="81"/>
      <c r="H178"/>
    </row>
    <row r="179" spans="1:8" x14ac:dyDescent="0.3">
      <c r="A179" s="71">
        <v>41022</v>
      </c>
      <c r="B179" s="72">
        <v>64.11</v>
      </c>
      <c r="C179" s="73">
        <v>87.71</v>
      </c>
      <c r="F179"/>
      <c r="G179" s="81"/>
      <c r="H179"/>
    </row>
    <row r="180" spans="1:8" x14ac:dyDescent="0.3">
      <c r="A180" s="71">
        <v>41059</v>
      </c>
      <c r="B180" s="72">
        <v>64.16</v>
      </c>
      <c r="C180" s="73">
        <v>87.66</v>
      </c>
      <c r="F180"/>
      <c r="G180" s="81"/>
      <c r="H180"/>
    </row>
    <row r="181" spans="1:8" x14ac:dyDescent="0.3">
      <c r="A181" s="71">
        <v>41072</v>
      </c>
      <c r="B181" s="72">
        <v>63.24</v>
      </c>
      <c r="C181" s="73">
        <v>88.58</v>
      </c>
      <c r="F181"/>
      <c r="G181" s="81"/>
      <c r="H181"/>
    </row>
    <row r="182" spans="1:8" x14ac:dyDescent="0.3">
      <c r="A182" s="71">
        <v>41098</v>
      </c>
      <c r="B182" s="72">
        <v>64.349999999999994</v>
      </c>
      <c r="C182" s="73">
        <v>87.47</v>
      </c>
      <c r="F182"/>
      <c r="G182" s="81"/>
      <c r="H182"/>
    </row>
    <row r="183" spans="1:8" x14ac:dyDescent="0.3">
      <c r="A183" s="71">
        <v>41171</v>
      </c>
      <c r="B183" s="72">
        <v>64.459999999999994</v>
      </c>
      <c r="C183" s="73">
        <v>87.36</v>
      </c>
      <c r="F183"/>
      <c r="G183" s="81"/>
      <c r="H183"/>
    </row>
    <row r="184" spans="1:8" x14ac:dyDescent="0.3">
      <c r="A184" s="71">
        <v>41191</v>
      </c>
      <c r="B184" s="72">
        <v>64.56</v>
      </c>
      <c r="C184" s="73">
        <v>87.26</v>
      </c>
      <c r="F184"/>
      <c r="G184" s="81"/>
      <c r="H184"/>
    </row>
    <row r="185" spans="1:8" x14ac:dyDescent="0.3">
      <c r="A185" s="71">
        <v>41235</v>
      </c>
      <c r="B185" s="72">
        <v>64.75</v>
      </c>
      <c r="C185" s="73">
        <v>87.07</v>
      </c>
      <c r="F185"/>
      <c r="G185" s="81"/>
      <c r="H185"/>
    </row>
    <row r="186" spans="1:8" x14ac:dyDescent="0.3">
      <c r="A186" s="71">
        <v>41278</v>
      </c>
      <c r="B186" s="72">
        <v>65</v>
      </c>
      <c r="C186" s="73">
        <v>86.82</v>
      </c>
      <c r="F186"/>
      <c r="G186" s="81"/>
      <c r="H186"/>
    </row>
    <row r="187" spans="1:8" x14ac:dyDescent="0.3">
      <c r="A187" s="71">
        <v>41368</v>
      </c>
      <c r="B187" s="72">
        <v>65.23</v>
      </c>
      <c r="C187" s="73">
        <v>86.59</v>
      </c>
      <c r="F187"/>
      <c r="G187" s="81"/>
      <c r="H187"/>
    </row>
    <row r="188" spans="1:8" x14ac:dyDescent="0.3">
      <c r="A188" s="71">
        <v>41401</v>
      </c>
      <c r="B188" s="72">
        <v>65.400000000000006</v>
      </c>
      <c r="C188" s="73">
        <v>86.42</v>
      </c>
      <c r="F188"/>
      <c r="G188" s="81"/>
      <c r="H188"/>
    </row>
    <row r="189" spans="1:8" x14ac:dyDescent="0.3">
      <c r="A189" s="71">
        <v>41437</v>
      </c>
      <c r="B189" s="72">
        <v>65.7</v>
      </c>
      <c r="C189" s="73">
        <v>86.12</v>
      </c>
      <c r="F189"/>
      <c r="G189" s="81"/>
      <c r="H189"/>
    </row>
    <row r="190" spans="1:8" x14ac:dyDescent="0.3">
      <c r="A190" s="74">
        <v>41471</v>
      </c>
      <c r="B190" s="72">
        <v>65.430000000000007</v>
      </c>
      <c r="C190" s="73">
        <v>86.39</v>
      </c>
      <c r="F190"/>
      <c r="G190" s="81"/>
      <c r="H190"/>
    </row>
    <row r="191" spans="1:8" x14ac:dyDescent="0.3">
      <c r="A191" s="74">
        <v>41506</v>
      </c>
      <c r="B191" s="72">
        <v>65.42</v>
      </c>
      <c r="C191" s="73">
        <v>86.4</v>
      </c>
      <c r="F191"/>
      <c r="G191" s="81"/>
      <c r="H191"/>
    </row>
    <row r="192" spans="1:8" x14ac:dyDescent="0.3">
      <c r="A192" s="71">
        <v>41555</v>
      </c>
      <c r="B192" s="72">
        <v>65.459999999999994</v>
      </c>
      <c r="C192" s="73">
        <v>86.36</v>
      </c>
      <c r="F192"/>
      <c r="G192" s="81"/>
      <c r="H192"/>
    </row>
    <row r="193" spans="1:8" x14ac:dyDescent="0.3">
      <c r="A193" s="71">
        <v>41556</v>
      </c>
      <c r="B193" s="72">
        <v>65.58</v>
      </c>
      <c r="C193" s="73">
        <v>86.24</v>
      </c>
      <c r="F193"/>
      <c r="G193" s="81"/>
      <c r="H193"/>
    </row>
    <row r="194" spans="1:8" x14ac:dyDescent="0.3">
      <c r="A194" s="71">
        <v>41617</v>
      </c>
      <c r="B194" s="72">
        <v>66.349999999999994</v>
      </c>
      <c r="C194" s="73">
        <v>85.47</v>
      </c>
      <c r="F194"/>
      <c r="G194" s="81"/>
      <c r="H194"/>
    </row>
    <row r="195" spans="1:8" x14ac:dyDescent="0.3">
      <c r="A195" s="74">
        <v>41647</v>
      </c>
      <c r="B195" s="72">
        <v>66.52</v>
      </c>
      <c r="C195" s="73">
        <v>85.3</v>
      </c>
      <c r="F195"/>
      <c r="G195" s="81"/>
      <c r="H195"/>
    </row>
    <row r="196" spans="1:8" x14ac:dyDescent="0.3">
      <c r="A196" s="71">
        <v>41683</v>
      </c>
      <c r="B196" s="72">
        <v>66.75</v>
      </c>
      <c r="C196" s="73">
        <v>85.07</v>
      </c>
      <c r="F196"/>
      <c r="G196" s="81"/>
      <c r="H196"/>
    </row>
    <row r="197" spans="1:8" x14ac:dyDescent="0.3">
      <c r="A197" s="74">
        <v>41731</v>
      </c>
      <c r="B197" s="72">
        <v>66.87</v>
      </c>
      <c r="C197" s="73">
        <v>84.95</v>
      </c>
      <c r="F197"/>
      <c r="G197" s="81"/>
      <c r="H197"/>
    </row>
    <row r="198" spans="1:8" x14ac:dyDescent="0.3">
      <c r="A198" s="74">
        <v>41764</v>
      </c>
      <c r="B198" s="72">
        <v>67.13</v>
      </c>
      <c r="C198" s="73">
        <v>84.69</v>
      </c>
      <c r="F198"/>
      <c r="G198" s="81"/>
      <c r="H198"/>
    </row>
    <row r="199" spans="1:8" x14ac:dyDescent="0.3">
      <c r="A199" s="71">
        <v>41793</v>
      </c>
      <c r="B199" s="72">
        <v>67.319999999999993</v>
      </c>
      <c r="C199" s="73">
        <v>84.5</v>
      </c>
      <c r="F199"/>
      <c r="G199" s="81"/>
      <c r="H199"/>
    </row>
    <row r="200" spans="1:8" x14ac:dyDescent="0.3">
      <c r="A200" s="74">
        <v>41830</v>
      </c>
      <c r="B200" s="72">
        <v>67.47</v>
      </c>
      <c r="C200" s="73">
        <v>84.35</v>
      </c>
      <c r="F200"/>
      <c r="G200" s="81"/>
      <c r="H200"/>
    </row>
    <row r="201" spans="1:8" x14ac:dyDescent="0.3">
      <c r="A201" s="74">
        <v>41877</v>
      </c>
      <c r="B201" s="72">
        <v>67.69</v>
      </c>
      <c r="C201" s="73">
        <v>84.13</v>
      </c>
      <c r="F201"/>
      <c r="G201" s="81"/>
      <c r="H201"/>
    </row>
    <row r="202" spans="1:8" x14ac:dyDescent="0.3">
      <c r="A202" s="71">
        <v>41906</v>
      </c>
      <c r="B202" s="72">
        <v>67.900000000000006</v>
      </c>
      <c r="C202" s="73">
        <v>83.92</v>
      </c>
      <c r="F202"/>
      <c r="G202" s="81"/>
      <c r="H202"/>
    </row>
    <row r="203" spans="1:8" x14ac:dyDescent="0.3">
      <c r="A203" s="75">
        <v>41936</v>
      </c>
      <c r="B203" s="76">
        <v>67.709999999999994</v>
      </c>
      <c r="C203" s="72">
        <v>84.11</v>
      </c>
      <c r="F203"/>
      <c r="G203" s="81"/>
      <c r="H203"/>
    </row>
    <row r="204" spans="1:8" x14ac:dyDescent="0.3">
      <c r="A204" s="75">
        <v>41976</v>
      </c>
      <c r="B204" s="76">
        <v>68.06</v>
      </c>
      <c r="C204" s="72">
        <v>83.76</v>
      </c>
      <c r="F204"/>
      <c r="G204" s="81"/>
      <c r="H204"/>
    </row>
    <row r="205" spans="1:8" x14ac:dyDescent="0.3">
      <c r="A205" s="75">
        <v>42009</v>
      </c>
      <c r="B205" s="76">
        <v>67.989999999999995</v>
      </c>
      <c r="C205" s="72">
        <v>83.83</v>
      </c>
      <c r="F205"/>
      <c r="G205" s="81"/>
      <c r="H205"/>
    </row>
    <row r="206" spans="1:8" x14ac:dyDescent="0.3">
      <c r="A206" s="75">
        <v>42157</v>
      </c>
      <c r="B206" s="76">
        <v>68.64</v>
      </c>
      <c r="C206" s="72">
        <v>83.18</v>
      </c>
      <c r="F206"/>
      <c r="G206" s="81"/>
      <c r="H206"/>
    </row>
    <row r="207" spans="1:8" x14ac:dyDescent="0.3">
      <c r="A207" s="75">
        <v>42220</v>
      </c>
      <c r="B207" s="76">
        <v>68.91</v>
      </c>
      <c r="C207" s="72">
        <v>82.91</v>
      </c>
      <c r="F207"/>
      <c r="G207" s="81"/>
      <c r="H207"/>
    </row>
    <row r="208" spans="1:8" x14ac:dyDescent="0.3">
      <c r="A208" s="75">
        <v>42292</v>
      </c>
      <c r="B208" s="76">
        <v>69.08</v>
      </c>
      <c r="C208" s="72">
        <v>82.74</v>
      </c>
      <c r="F208"/>
      <c r="G208" s="81"/>
      <c r="H208"/>
    </row>
    <row r="209" spans="1:8" x14ac:dyDescent="0.3">
      <c r="A209" s="75">
        <v>42353</v>
      </c>
      <c r="B209" s="77">
        <v>69.430000000000007</v>
      </c>
      <c r="C209" s="72">
        <v>82.39</v>
      </c>
      <c r="F209"/>
      <c r="G209" s="81"/>
      <c r="H209"/>
    </row>
    <row r="210" spans="1:8" x14ac:dyDescent="0.3">
      <c r="A210" s="75">
        <v>42387</v>
      </c>
      <c r="B210" s="76">
        <v>70.59</v>
      </c>
      <c r="C210" s="72">
        <v>81.23</v>
      </c>
      <c r="F210"/>
      <c r="G210" s="81"/>
      <c r="H210"/>
    </row>
    <row r="211" spans="1:8" x14ac:dyDescent="0.3">
      <c r="A211" s="75">
        <v>42429</v>
      </c>
      <c r="B211" s="76">
        <v>69.819999999999993</v>
      </c>
      <c r="C211" s="72">
        <v>82</v>
      </c>
      <c r="F211"/>
      <c r="G211" s="81"/>
      <c r="H211"/>
    </row>
    <row r="212" spans="1:8" x14ac:dyDescent="0.3">
      <c r="A212" s="75">
        <v>42471</v>
      </c>
      <c r="B212" s="76">
        <v>69.930000000000007</v>
      </c>
      <c r="C212" s="72">
        <v>81.89</v>
      </c>
      <c r="F212"/>
      <c r="G212" s="81"/>
      <c r="H212"/>
    </row>
    <row r="213" spans="1:8" x14ac:dyDescent="0.3">
      <c r="A213" s="75">
        <v>42557</v>
      </c>
      <c r="B213" s="76">
        <v>70.88</v>
      </c>
      <c r="C213" s="72">
        <v>80.94</v>
      </c>
      <c r="F213"/>
      <c r="G213" s="81"/>
      <c r="H213"/>
    </row>
    <row r="214" spans="1:8" x14ac:dyDescent="0.3">
      <c r="A214" s="75">
        <v>42591</v>
      </c>
      <c r="B214" s="76">
        <v>70.510000000000005</v>
      </c>
      <c r="C214" s="72">
        <v>81.31</v>
      </c>
      <c r="F214"/>
      <c r="G214" s="81"/>
      <c r="H214"/>
    </row>
    <row r="215" spans="1:8" x14ac:dyDescent="0.3">
      <c r="A215" s="75">
        <v>42663</v>
      </c>
      <c r="B215" s="76">
        <v>70.73</v>
      </c>
      <c r="C215" s="72">
        <v>81.09</v>
      </c>
      <c r="F215"/>
      <c r="G215" s="81"/>
      <c r="H215"/>
    </row>
    <row r="216" spans="1:8" x14ac:dyDescent="0.3">
      <c r="A216" s="78">
        <v>42774</v>
      </c>
      <c r="B216" s="76">
        <v>71.53</v>
      </c>
      <c r="C216" s="72">
        <v>80.290000000000006</v>
      </c>
      <c r="F216"/>
      <c r="G216" s="81"/>
      <c r="H216"/>
    </row>
    <row r="217" spans="1:8" x14ac:dyDescent="0.3">
      <c r="A217" s="75">
        <v>42852</v>
      </c>
      <c r="B217" s="76">
        <v>72.5</v>
      </c>
      <c r="C217" s="72">
        <v>79.319999999999993</v>
      </c>
      <c r="F217"/>
      <c r="G217" s="81"/>
      <c r="H217"/>
    </row>
    <row r="218" spans="1:8" x14ac:dyDescent="0.3">
      <c r="A218" s="75">
        <v>42865</v>
      </c>
      <c r="B218" s="76">
        <v>72.209999999999994</v>
      </c>
      <c r="C218" s="72">
        <v>79.61</v>
      </c>
      <c r="F218"/>
      <c r="G218" s="81"/>
      <c r="H218"/>
    </row>
    <row r="219" spans="1:8" x14ac:dyDescent="0.3">
      <c r="A219" s="75">
        <v>42887</v>
      </c>
      <c r="B219" s="76">
        <v>72.319999999999993</v>
      </c>
      <c r="C219" s="72">
        <v>79.5</v>
      </c>
      <c r="F219"/>
      <c r="G219" s="81"/>
      <c r="H219"/>
    </row>
    <row r="220" spans="1:8" x14ac:dyDescent="0.3">
      <c r="A220" s="75">
        <v>42955</v>
      </c>
      <c r="B220" s="76">
        <v>72.7</v>
      </c>
      <c r="C220" s="72">
        <v>79.12</v>
      </c>
      <c r="F220"/>
      <c r="G220" s="81"/>
      <c r="H220"/>
    </row>
    <row r="221" spans="1:8" x14ac:dyDescent="0.3">
      <c r="A221" s="75">
        <v>43048</v>
      </c>
      <c r="B221" s="76">
        <v>73.37</v>
      </c>
      <c r="C221" s="72">
        <v>78.45</v>
      </c>
      <c r="F221"/>
      <c r="G221" s="81"/>
      <c r="H221"/>
    </row>
    <row r="222" spans="1:8" x14ac:dyDescent="0.3">
      <c r="A222" s="75">
        <v>43123</v>
      </c>
      <c r="B222" s="76">
        <v>73.819999999999993</v>
      </c>
      <c r="C222" s="72">
        <v>78</v>
      </c>
      <c r="F222"/>
      <c r="G222" s="81"/>
      <c r="H222"/>
    </row>
    <row r="223" spans="1:8" x14ac:dyDescent="0.3">
      <c r="A223" s="75">
        <v>43263</v>
      </c>
      <c r="B223" s="76">
        <v>74.75</v>
      </c>
      <c r="C223" s="72">
        <v>77.069999999999993</v>
      </c>
      <c r="F223"/>
      <c r="G223" s="81"/>
      <c r="H223"/>
    </row>
    <row r="224" spans="1:8" x14ac:dyDescent="0.3">
      <c r="A224" s="71">
        <v>43348</v>
      </c>
      <c r="B224" s="76">
        <v>75.08</v>
      </c>
      <c r="C224" s="72">
        <v>76.739999999999995</v>
      </c>
      <c r="F224"/>
      <c r="G224" s="81"/>
      <c r="H224"/>
    </row>
    <row r="225" spans="1:8" x14ac:dyDescent="0.3">
      <c r="A225" s="71">
        <v>43263</v>
      </c>
      <c r="B225" s="76">
        <v>74.75</v>
      </c>
      <c r="C225" s="72">
        <v>77.069999999999993</v>
      </c>
      <c r="F225"/>
      <c r="G225" s="81"/>
      <c r="H225"/>
    </row>
    <row r="226" spans="1:8" x14ac:dyDescent="0.3">
      <c r="A226" s="78">
        <v>43348</v>
      </c>
      <c r="B226" s="76">
        <v>75.08</v>
      </c>
      <c r="C226" s="72">
        <v>76.739999999999995</v>
      </c>
      <c r="F226"/>
      <c r="G226" s="81"/>
      <c r="H226"/>
    </row>
    <row r="227" spans="1:8" x14ac:dyDescent="0.3">
      <c r="A227" s="71">
        <v>43559</v>
      </c>
      <c r="B227" s="72">
        <v>76.040000000000006</v>
      </c>
      <c r="C227" s="72">
        <v>75.78</v>
      </c>
      <c r="F227"/>
      <c r="G227" s="81"/>
      <c r="H227"/>
    </row>
    <row r="228" spans="1:8" x14ac:dyDescent="0.3">
      <c r="A228" s="71">
        <v>43697</v>
      </c>
      <c r="B228" s="76">
        <v>76.95</v>
      </c>
      <c r="C228" s="72">
        <v>74.87</v>
      </c>
      <c r="F228"/>
      <c r="G228" s="81"/>
      <c r="H228"/>
    </row>
    <row r="229" spans="1:8" x14ac:dyDescent="0.3">
      <c r="A229" s="78">
        <v>44440</v>
      </c>
      <c r="B229" s="76">
        <v>80.97</v>
      </c>
      <c r="C229" s="72">
        <v>70.849999999999994</v>
      </c>
      <c r="F229"/>
      <c r="G229" s="81"/>
      <c r="H229"/>
    </row>
    <row r="230" spans="1:8" x14ac:dyDescent="0.3">
      <c r="A230" s="88">
        <v>45575</v>
      </c>
      <c r="B230" s="93">
        <v>84.4</v>
      </c>
      <c r="F230"/>
      <c r="G230" s="81"/>
      <c r="H230"/>
    </row>
    <row r="231" spans="1:8" x14ac:dyDescent="0.3">
      <c r="F231"/>
      <c r="G231" s="81"/>
      <c r="H231"/>
    </row>
    <row r="232" spans="1:8" x14ac:dyDescent="0.3">
      <c r="F232"/>
      <c r="G232" s="81"/>
      <c r="H232"/>
    </row>
    <row r="233" spans="1:8" x14ac:dyDescent="0.3">
      <c r="F233"/>
      <c r="G233" s="81"/>
      <c r="H233"/>
    </row>
    <row r="234" spans="1:8" x14ac:dyDescent="0.3">
      <c r="F234"/>
      <c r="G234" s="81"/>
      <c r="H234"/>
    </row>
    <row r="235" spans="1:8" x14ac:dyDescent="0.3">
      <c r="F235"/>
      <c r="G235" s="81"/>
      <c r="H235"/>
    </row>
    <row r="236" spans="1:8" x14ac:dyDescent="0.3">
      <c r="F236"/>
      <c r="G236" s="81"/>
      <c r="H236"/>
    </row>
    <row r="237" spans="1:8" x14ac:dyDescent="0.3">
      <c r="F237"/>
      <c r="G237" s="81"/>
      <c r="H237"/>
    </row>
    <row r="238" spans="1:8" x14ac:dyDescent="0.3">
      <c r="F238"/>
      <c r="G238" s="81"/>
      <c r="H238"/>
    </row>
    <row r="239" spans="1:8" x14ac:dyDescent="0.3">
      <c r="F239"/>
      <c r="G239" s="81"/>
      <c r="H239"/>
    </row>
    <row r="240" spans="1:8" x14ac:dyDescent="0.3">
      <c r="F240"/>
      <c r="G240" s="81"/>
      <c r="H240"/>
    </row>
    <row r="241" spans="6:8" x14ac:dyDescent="0.3">
      <c r="F241"/>
      <c r="G241" s="81"/>
      <c r="H241"/>
    </row>
    <row r="242" spans="6:8" x14ac:dyDescent="0.3">
      <c r="F242"/>
      <c r="G242" s="81"/>
      <c r="H242"/>
    </row>
    <row r="243" spans="6:8" x14ac:dyDescent="0.3">
      <c r="F243"/>
      <c r="G243" s="81"/>
      <c r="H243"/>
    </row>
    <row r="244" spans="6:8" x14ac:dyDescent="0.3">
      <c r="F244"/>
      <c r="G244" s="81"/>
      <c r="H244"/>
    </row>
    <row r="245" spans="6:8" x14ac:dyDescent="0.3">
      <c r="F245"/>
      <c r="G245" s="81"/>
      <c r="H245"/>
    </row>
    <row r="246" spans="6:8" x14ac:dyDescent="0.3">
      <c r="F246"/>
      <c r="G246" s="81"/>
      <c r="H246"/>
    </row>
    <row r="247" spans="6:8" x14ac:dyDescent="0.3">
      <c r="F247"/>
      <c r="G247" s="81"/>
      <c r="H247"/>
    </row>
    <row r="248" spans="6:8" x14ac:dyDescent="0.3">
      <c r="F248"/>
      <c r="G248" s="81"/>
      <c r="H248"/>
    </row>
    <row r="249" spans="6:8" x14ac:dyDescent="0.3">
      <c r="F249"/>
      <c r="G249" s="81"/>
      <c r="H249"/>
    </row>
    <row r="250" spans="6:8" x14ac:dyDescent="0.3">
      <c r="F250"/>
      <c r="G250" s="81"/>
      <c r="H250"/>
    </row>
    <row r="251" spans="6:8" x14ac:dyDescent="0.3">
      <c r="F251"/>
      <c r="G251" s="81"/>
      <c r="H251"/>
    </row>
    <row r="252" spans="6:8" x14ac:dyDescent="0.3">
      <c r="F252"/>
      <c r="G252" s="81"/>
      <c r="H252"/>
    </row>
    <row r="253" spans="6:8" x14ac:dyDescent="0.3">
      <c r="F253"/>
      <c r="G253" s="81"/>
      <c r="H253"/>
    </row>
    <row r="254" spans="6:8" x14ac:dyDescent="0.3">
      <c r="F254"/>
      <c r="G254" s="81"/>
      <c r="H254"/>
    </row>
    <row r="255" spans="6:8" x14ac:dyDescent="0.3">
      <c r="F255"/>
      <c r="G255" s="81"/>
      <c r="H255"/>
    </row>
    <row r="256" spans="6:8" x14ac:dyDescent="0.3">
      <c r="F256"/>
      <c r="G256" s="81"/>
      <c r="H256"/>
    </row>
    <row r="257" spans="6:8" x14ac:dyDescent="0.3">
      <c r="F257"/>
      <c r="G257" s="81"/>
      <c r="H257"/>
    </row>
    <row r="258" spans="6:8" x14ac:dyDescent="0.3">
      <c r="F258"/>
      <c r="G258" s="81"/>
      <c r="H258"/>
    </row>
    <row r="259" spans="6:8" x14ac:dyDescent="0.3">
      <c r="F259"/>
      <c r="G259" s="81"/>
      <c r="H259"/>
    </row>
    <row r="260" spans="6:8" x14ac:dyDescent="0.3">
      <c r="F260"/>
      <c r="G260" s="81"/>
      <c r="H260"/>
    </row>
    <row r="261" spans="6:8" x14ac:dyDescent="0.3">
      <c r="F261"/>
      <c r="G261" s="81"/>
      <c r="H261"/>
    </row>
    <row r="262" spans="6:8" x14ac:dyDescent="0.3">
      <c r="F262"/>
      <c r="G262" s="81"/>
      <c r="H262"/>
    </row>
    <row r="263" spans="6:8" x14ac:dyDescent="0.3">
      <c r="F263"/>
      <c r="G263" s="81"/>
      <c r="H263"/>
    </row>
    <row r="264" spans="6:8" x14ac:dyDescent="0.3">
      <c r="F264"/>
      <c r="G264" s="81"/>
      <c r="H264"/>
    </row>
    <row r="265" spans="6:8" x14ac:dyDescent="0.3">
      <c r="F265"/>
      <c r="G265" s="81"/>
      <c r="H265"/>
    </row>
    <row r="266" spans="6:8" x14ac:dyDescent="0.3">
      <c r="F266"/>
      <c r="G266" s="81"/>
      <c r="H266"/>
    </row>
    <row r="267" spans="6:8" x14ac:dyDescent="0.3">
      <c r="F267"/>
      <c r="G267" s="81"/>
      <c r="H267"/>
    </row>
    <row r="268" spans="6:8" x14ac:dyDescent="0.3">
      <c r="F268"/>
      <c r="G268" s="81"/>
      <c r="H268"/>
    </row>
    <row r="269" spans="6:8" x14ac:dyDescent="0.3">
      <c r="F269"/>
      <c r="G269" s="81"/>
      <c r="H269"/>
    </row>
    <row r="270" spans="6:8" x14ac:dyDescent="0.3">
      <c r="F270"/>
      <c r="G270" s="81"/>
      <c r="H270"/>
    </row>
    <row r="271" spans="6:8" x14ac:dyDescent="0.3">
      <c r="F271"/>
      <c r="G271" s="81"/>
      <c r="H271"/>
    </row>
    <row r="272" spans="6:8" x14ac:dyDescent="0.3">
      <c r="F272"/>
      <c r="G272" s="81"/>
      <c r="H272"/>
    </row>
    <row r="273" spans="6:8" x14ac:dyDescent="0.3">
      <c r="F273"/>
      <c r="G273" s="81"/>
      <c r="H273"/>
    </row>
    <row r="274" spans="6:8" x14ac:dyDescent="0.3">
      <c r="F274"/>
      <c r="G274" s="81"/>
      <c r="H274"/>
    </row>
    <row r="275" spans="6:8" x14ac:dyDescent="0.3">
      <c r="F275"/>
      <c r="G275" s="81"/>
      <c r="H275"/>
    </row>
    <row r="276" spans="6:8" x14ac:dyDescent="0.3">
      <c r="F276"/>
      <c r="G276" s="81"/>
      <c r="H276"/>
    </row>
    <row r="277" spans="6:8" x14ac:dyDescent="0.3">
      <c r="F277"/>
      <c r="G277" s="81"/>
      <c r="H277"/>
    </row>
    <row r="278" spans="6:8" x14ac:dyDescent="0.3">
      <c r="F278"/>
      <c r="G278" s="81"/>
      <c r="H278"/>
    </row>
    <row r="279" spans="6:8" x14ac:dyDescent="0.3">
      <c r="F279"/>
      <c r="G279" s="81"/>
      <c r="H279"/>
    </row>
    <row r="280" spans="6:8" x14ac:dyDescent="0.3">
      <c r="F280"/>
      <c r="G280" s="81"/>
      <c r="H280"/>
    </row>
    <row r="281" spans="6:8" x14ac:dyDescent="0.3">
      <c r="F281"/>
      <c r="G281" s="81"/>
      <c r="H281"/>
    </row>
    <row r="282" spans="6:8" x14ac:dyDescent="0.3">
      <c r="F282"/>
      <c r="G282" s="81"/>
      <c r="H282"/>
    </row>
    <row r="283" spans="6:8" x14ac:dyDescent="0.3">
      <c r="F283"/>
      <c r="G283" s="81"/>
      <c r="H283"/>
    </row>
    <row r="284" spans="6:8" x14ac:dyDescent="0.3">
      <c r="F284"/>
      <c r="G284" s="81"/>
      <c r="H284"/>
    </row>
    <row r="285" spans="6:8" x14ac:dyDescent="0.3">
      <c r="F285"/>
      <c r="G285" s="81"/>
      <c r="H285"/>
    </row>
    <row r="286" spans="6:8" x14ac:dyDescent="0.3">
      <c r="F286"/>
      <c r="G286" s="81"/>
      <c r="H286"/>
    </row>
    <row r="287" spans="6:8" x14ac:dyDescent="0.3">
      <c r="F287"/>
      <c r="G287" s="81"/>
      <c r="H287"/>
    </row>
    <row r="288" spans="6:8" x14ac:dyDescent="0.3">
      <c r="F288"/>
      <c r="G288" s="81"/>
      <c r="H288"/>
    </row>
    <row r="289" spans="6:8" x14ac:dyDescent="0.3">
      <c r="F289"/>
      <c r="G289" s="81"/>
      <c r="H289"/>
    </row>
    <row r="290" spans="6:8" x14ac:dyDescent="0.3">
      <c r="F290"/>
      <c r="G290" s="81"/>
      <c r="H290"/>
    </row>
    <row r="291" spans="6:8" x14ac:dyDescent="0.3">
      <c r="F291"/>
      <c r="G291" s="81"/>
      <c r="H291"/>
    </row>
    <row r="292" spans="6:8" x14ac:dyDescent="0.3">
      <c r="F292"/>
      <c r="G292" s="81"/>
      <c r="H292"/>
    </row>
    <row r="293" spans="6:8" x14ac:dyDescent="0.3">
      <c r="F293"/>
      <c r="G293" s="81"/>
      <c r="H293"/>
    </row>
    <row r="294" spans="6:8" x14ac:dyDescent="0.3">
      <c r="F294"/>
      <c r="G294" s="81"/>
      <c r="H294"/>
    </row>
    <row r="295" spans="6:8" x14ac:dyDescent="0.3">
      <c r="F295"/>
      <c r="G295" s="81"/>
      <c r="H295"/>
    </row>
    <row r="296" spans="6:8" x14ac:dyDescent="0.3">
      <c r="F296"/>
      <c r="G296" s="81"/>
      <c r="H296"/>
    </row>
    <row r="297" spans="6:8" x14ac:dyDescent="0.3">
      <c r="F297"/>
      <c r="G297" s="81"/>
      <c r="H297"/>
    </row>
    <row r="298" spans="6:8" x14ac:dyDescent="0.3">
      <c r="F298"/>
      <c r="G298" s="81"/>
      <c r="H298"/>
    </row>
    <row r="299" spans="6:8" x14ac:dyDescent="0.3">
      <c r="F299"/>
      <c r="G299" s="81"/>
      <c r="H299"/>
    </row>
    <row r="300" spans="6:8" x14ac:dyDescent="0.3">
      <c r="F300"/>
      <c r="G300" s="81"/>
      <c r="H300"/>
    </row>
    <row r="301" spans="6:8" x14ac:dyDescent="0.3">
      <c r="F301"/>
      <c r="G301" s="81"/>
      <c r="H301"/>
    </row>
    <row r="302" spans="6:8" x14ac:dyDescent="0.3">
      <c r="F302"/>
      <c r="G302" s="81"/>
      <c r="H302"/>
    </row>
    <row r="303" spans="6:8" x14ac:dyDescent="0.3">
      <c r="F303"/>
      <c r="G303" s="81"/>
      <c r="H303"/>
    </row>
    <row r="304" spans="6:8" x14ac:dyDescent="0.3">
      <c r="F304"/>
      <c r="G304" s="81"/>
      <c r="H304"/>
    </row>
    <row r="305" spans="6:8" x14ac:dyDescent="0.3">
      <c r="F305"/>
      <c r="G305" s="81"/>
      <c r="H305"/>
    </row>
    <row r="306" spans="6:8" x14ac:dyDescent="0.3">
      <c r="F306"/>
      <c r="G306" s="81"/>
      <c r="H306"/>
    </row>
    <row r="307" spans="6:8" x14ac:dyDescent="0.3">
      <c r="F307"/>
      <c r="G307" s="81"/>
      <c r="H307"/>
    </row>
    <row r="308" spans="6:8" x14ac:dyDescent="0.3">
      <c r="F308"/>
      <c r="G308" s="81"/>
      <c r="H308"/>
    </row>
    <row r="309" spans="6:8" x14ac:dyDescent="0.3">
      <c r="F309"/>
      <c r="G309" s="81"/>
      <c r="H309"/>
    </row>
    <row r="310" spans="6:8" x14ac:dyDescent="0.3">
      <c r="F310"/>
      <c r="G310" s="81"/>
      <c r="H310"/>
    </row>
    <row r="311" spans="6:8" x14ac:dyDescent="0.3">
      <c r="F311"/>
      <c r="G311" s="81"/>
      <c r="H311"/>
    </row>
    <row r="312" spans="6:8" x14ac:dyDescent="0.3">
      <c r="F312"/>
      <c r="G312" s="81"/>
      <c r="H312"/>
    </row>
    <row r="313" spans="6:8" x14ac:dyDescent="0.3">
      <c r="F313"/>
      <c r="G313" s="81"/>
      <c r="H313"/>
    </row>
    <row r="314" spans="6:8" x14ac:dyDescent="0.3">
      <c r="F314"/>
      <c r="G314" s="81"/>
      <c r="H314"/>
    </row>
    <row r="315" spans="6:8" x14ac:dyDescent="0.3">
      <c r="F315"/>
      <c r="G315" s="81"/>
      <c r="H315"/>
    </row>
    <row r="316" spans="6:8" x14ac:dyDescent="0.3">
      <c r="F316"/>
      <c r="G316" s="81"/>
      <c r="H316"/>
    </row>
    <row r="317" spans="6:8" x14ac:dyDescent="0.3">
      <c r="F317"/>
      <c r="G317" s="81"/>
      <c r="H317"/>
    </row>
    <row r="318" spans="6:8" x14ac:dyDescent="0.3">
      <c r="F318"/>
      <c r="G318" s="81"/>
      <c r="H318"/>
    </row>
    <row r="319" spans="6:8" x14ac:dyDescent="0.3">
      <c r="F319"/>
      <c r="G319" s="81"/>
      <c r="H319"/>
    </row>
    <row r="320" spans="6:8" x14ac:dyDescent="0.3">
      <c r="F320"/>
      <c r="G320" s="81"/>
      <c r="H320"/>
    </row>
    <row r="321" spans="6:8" x14ac:dyDescent="0.3">
      <c r="F321"/>
      <c r="G321" s="81"/>
      <c r="H321"/>
    </row>
    <row r="322" spans="6:8" x14ac:dyDescent="0.3">
      <c r="F322"/>
      <c r="G322" s="81"/>
      <c r="H322"/>
    </row>
    <row r="323" spans="6:8" x14ac:dyDescent="0.3">
      <c r="F323"/>
      <c r="G323" s="81"/>
      <c r="H323"/>
    </row>
    <row r="324" spans="6:8" x14ac:dyDescent="0.3">
      <c r="F324"/>
      <c r="G324" s="81"/>
      <c r="H324"/>
    </row>
    <row r="325" spans="6:8" x14ac:dyDescent="0.3">
      <c r="F325"/>
      <c r="G325" s="81"/>
      <c r="H325"/>
    </row>
    <row r="326" spans="6:8" x14ac:dyDescent="0.3">
      <c r="F326"/>
      <c r="G326" s="81"/>
      <c r="H326"/>
    </row>
    <row r="327" spans="6:8" x14ac:dyDescent="0.3">
      <c r="F327"/>
      <c r="G327" s="81"/>
      <c r="H327"/>
    </row>
    <row r="328" spans="6:8" x14ac:dyDescent="0.3">
      <c r="F328"/>
      <c r="G328" s="81"/>
      <c r="H328"/>
    </row>
    <row r="329" spans="6:8" x14ac:dyDescent="0.3">
      <c r="F329"/>
      <c r="G329" s="81"/>
      <c r="H329"/>
    </row>
    <row r="330" spans="6:8" x14ac:dyDescent="0.3">
      <c r="F330"/>
      <c r="G330" s="81"/>
      <c r="H330"/>
    </row>
    <row r="331" spans="6:8" x14ac:dyDescent="0.3">
      <c r="F331"/>
      <c r="G331" s="81"/>
      <c r="H331"/>
    </row>
    <row r="332" spans="6:8" x14ac:dyDescent="0.3">
      <c r="F332"/>
      <c r="G332" s="81"/>
      <c r="H332"/>
    </row>
    <row r="333" spans="6:8" x14ac:dyDescent="0.3">
      <c r="F333"/>
      <c r="G333" s="81"/>
      <c r="H333"/>
    </row>
    <row r="334" spans="6:8" x14ac:dyDescent="0.3">
      <c r="F334"/>
      <c r="G334" s="81"/>
      <c r="H334"/>
    </row>
    <row r="335" spans="6:8" x14ac:dyDescent="0.3">
      <c r="F335"/>
      <c r="G335" s="81"/>
      <c r="H335"/>
    </row>
    <row r="336" spans="6:8" x14ac:dyDescent="0.3">
      <c r="F336"/>
      <c r="G336" s="81"/>
      <c r="H336"/>
    </row>
    <row r="337" spans="6:8" x14ac:dyDescent="0.3">
      <c r="F337"/>
      <c r="G337" s="81"/>
      <c r="H337"/>
    </row>
    <row r="338" spans="6:8" x14ac:dyDescent="0.3">
      <c r="F338"/>
      <c r="G338" s="81"/>
      <c r="H338"/>
    </row>
    <row r="339" spans="6:8" x14ac:dyDescent="0.3">
      <c r="F339"/>
      <c r="G339" s="81"/>
      <c r="H339"/>
    </row>
    <row r="340" spans="6:8" x14ac:dyDescent="0.3">
      <c r="F340"/>
      <c r="G340" s="81"/>
      <c r="H340"/>
    </row>
    <row r="341" spans="6:8" x14ac:dyDescent="0.3">
      <c r="F341"/>
      <c r="G341" s="81"/>
      <c r="H341"/>
    </row>
    <row r="342" spans="6:8" x14ac:dyDescent="0.3">
      <c r="F342"/>
      <c r="G342" s="81"/>
      <c r="H342"/>
    </row>
    <row r="343" spans="6:8" x14ac:dyDescent="0.3">
      <c r="F343"/>
      <c r="G343" s="81"/>
      <c r="H343"/>
    </row>
    <row r="344" spans="6:8" x14ac:dyDescent="0.3">
      <c r="F344"/>
      <c r="G344" s="81"/>
      <c r="H344"/>
    </row>
    <row r="345" spans="6:8" x14ac:dyDescent="0.3">
      <c r="F345"/>
      <c r="G345" s="81"/>
      <c r="H345"/>
    </row>
    <row r="346" spans="6:8" x14ac:dyDescent="0.3">
      <c r="F346"/>
      <c r="G346" s="81"/>
      <c r="H346"/>
    </row>
    <row r="347" spans="6:8" x14ac:dyDescent="0.3">
      <c r="F347"/>
      <c r="G347" s="81"/>
      <c r="H347"/>
    </row>
    <row r="348" spans="6:8" x14ac:dyDescent="0.3">
      <c r="F348"/>
      <c r="G348" s="81"/>
      <c r="H348"/>
    </row>
    <row r="349" spans="6:8" x14ac:dyDescent="0.3">
      <c r="F349"/>
      <c r="G349" s="81"/>
      <c r="H349"/>
    </row>
    <row r="350" spans="6:8" x14ac:dyDescent="0.3">
      <c r="F350"/>
      <c r="G350" s="81"/>
      <c r="H350"/>
    </row>
    <row r="351" spans="6:8" x14ac:dyDescent="0.3">
      <c r="F351"/>
      <c r="G351" s="81"/>
      <c r="H351"/>
    </row>
    <row r="352" spans="6:8" x14ac:dyDescent="0.3">
      <c r="F352"/>
      <c r="G352" s="81"/>
      <c r="H352"/>
    </row>
    <row r="353" spans="6:8" x14ac:dyDescent="0.3">
      <c r="F353"/>
      <c r="G353" s="81"/>
      <c r="H353"/>
    </row>
    <row r="354" spans="6:8" x14ac:dyDescent="0.3">
      <c r="F354"/>
      <c r="G354" s="81"/>
      <c r="H354"/>
    </row>
    <row r="355" spans="6:8" x14ac:dyDescent="0.3">
      <c r="F355"/>
      <c r="G355" s="81"/>
      <c r="H355"/>
    </row>
    <row r="356" spans="6:8" x14ac:dyDescent="0.3">
      <c r="F356"/>
      <c r="G356" s="81"/>
      <c r="H356"/>
    </row>
    <row r="357" spans="6:8" x14ac:dyDescent="0.3">
      <c r="F357"/>
      <c r="G357" s="81"/>
      <c r="H357"/>
    </row>
    <row r="358" spans="6:8" x14ac:dyDescent="0.3">
      <c r="F358"/>
      <c r="G358" s="81"/>
      <c r="H358"/>
    </row>
    <row r="359" spans="6:8" x14ac:dyDescent="0.3">
      <c r="F359"/>
      <c r="G359" s="81"/>
      <c r="H359"/>
    </row>
    <row r="360" spans="6:8" x14ac:dyDescent="0.3">
      <c r="F360"/>
      <c r="G360" s="81"/>
      <c r="H360"/>
    </row>
    <row r="361" spans="6:8" x14ac:dyDescent="0.3">
      <c r="F361"/>
      <c r="G361" s="81"/>
      <c r="H361"/>
    </row>
    <row r="362" spans="6:8" x14ac:dyDescent="0.3">
      <c r="F362"/>
      <c r="G362" s="81"/>
      <c r="H362"/>
    </row>
    <row r="363" spans="6:8" x14ac:dyDescent="0.3">
      <c r="F363"/>
      <c r="G363" s="81"/>
      <c r="H363"/>
    </row>
    <row r="364" spans="6:8" x14ac:dyDescent="0.3">
      <c r="F364"/>
      <c r="G364" s="81"/>
      <c r="H364"/>
    </row>
    <row r="365" spans="6:8" x14ac:dyDescent="0.3">
      <c r="F365"/>
      <c r="G365" s="81"/>
      <c r="H365"/>
    </row>
    <row r="366" spans="6:8" x14ac:dyDescent="0.3">
      <c r="F366"/>
      <c r="G366" s="81"/>
      <c r="H366"/>
    </row>
    <row r="367" spans="6:8" x14ac:dyDescent="0.3">
      <c r="F367"/>
      <c r="G367" s="81"/>
      <c r="H367"/>
    </row>
    <row r="368" spans="6:8" x14ac:dyDescent="0.3">
      <c r="F368"/>
      <c r="G368" s="81"/>
      <c r="H368"/>
    </row>
    <row r="369" spans="6:8" x14ac:dyDescent="0.3">
      <c r="F369"/>
      <c r="G369" s="81"/>
      <c r="H369"/>
    </row>
    <row r="370" spans="6:8" x14ac:dyDescent="0.3">
      <c r="F370"/>
      <c r="G370" s="81"/>
      <c r="H370"/>
    </row>
    <row r="371" spans="6:8" x14ac:dyDescent="0.3">
      <c r="F371"/>
      <c r="G371" s="81"/>
      <c r="H371"/>
    </row>
    <row r="372" spans="6:8" x14ac:dyDescent="0.3">
      <c r="F372"/>
      <c r="G372" s="81"/>
      <c r="H372"/>
    </row>
    <row r="373" spans="6:8" x14ac:dyDescent="0.3">
      <c r="F373"/>
      <c r="G373" s="81"/>
      <c r="H373"/>
    </row>
    <row r="374" spans="6:8" x14ac:dyDescent="0.3">
      <c r="F374"/>
      <c r="G374" s="81"/>
      <c r="H374"/>
    </row>
    <row r="375" spans="6:8" x14ac:dyDescent="0.3">
      <c r="F375"/>
      <c r="G375" s="81"/>
      <c r="H375"/>
    </row>
    <row r="376" spans="6:8" x14ac:dyDescent="0.3">
      <c r="F376"/>
      <c r="G376" s="81"/>
      <c r="H376"/>
    </row>
    <row r="377" spans="6:8" x14ac:dyDescent="0.3">
      <c r="F377"/>
      <c r="G377" s="81"/>
      <c r="H377"/>
    </row>
    <row r="378" spans="6:8" x14ac:dyDescent="0.3">
      <c r="F378"/>
      <c r="G378" s="81"/>
      <c r="H378"/>
    </row>
    <row r="379" spans="6:8" x14ac:dyDescent="0.3">
      <c r="F379"/>
      <c r="G379" s="81"/>
      <c r="H379"/>
    </row>
    <row r="380" spans="6:8" x14ac:dyDescent="0.3">
      <c r="F380"/>
      <c r="G380" s="81"/>
      <c r="H380"/>
    </row>
    <row r="381" spans="6:8" x14ac:dyDescent="0.3">
      <c r="F381"/>
      <c r="G381" s="81"/>
      <c r="H381"/>
    </row>
    <row r="382" spans="6:8" x14ac:dyDescent="0.3">
      <c r="F382"/>
      <c r="G382" s="81"/>
      <c r="H382"/>
    </row>
    <row r="383" spans="6:8" x14ac:dyDescent="0.3">
      <c r="F383"/>
      <c r="G383" s="81"/>
      <c r="H383"/>
    </row>
    <row r="384" spans="6:8" x14ac:dyDescent="0.3">
      <c r="F384"/>
      <c r="G384" s="81"/>
      <c r="H384"/>
    </row>
    <row r="385" spans="6:8" x14ac:dyDescent="0.3">
      <c r="F385"/>
      <c r="G385" s="81"/>
      <c r="H385"/>
    </row>
    <row r="386" spans="6:8" x14ac:dyDescent="0.3">
      <c r="F386"/>
      <c r="G386" s="81"/>
      <c r="H386"/>
    </row>
    <row r="387" spans="6:8" x14ac:dyDescent="0.3">
      <c r="F387"/>
      <c r="G387" s="81"/>
      <c r="H387"/>
    </row>
    <row r="388" spans="6:8" x14ac:dyDescent="0.3">
      <c r="F388"/>
      <c r="G388" s="81"/>
      <c r="H388"/>
    </row>
    <row r="389" spans="6:8" x14ac:dyDescent="0.3">
      <c r="F389"/>
      <c r="G389" s="81"/>
      <c r="H389"/>
    </row>
    <row r="390" spans="6:8" x14ac:dyDescent="0.3">
      <c r="F390"/>
      <c r="G390" s="81"/>
      <c r="H390"/>
    </row>
    <row r="391" spans="6:8" x14ac:dyDescent="0.3">
      <c r="F391"/>
      <c r="G391" s="81"/>
      <c r="H391"/>
    </row>
    <row r="392" spans="6:8" x14ac:dyDescent="0.3">
      <c r="F392"/>
      <c r="G392" s="81"/>
      <c r="H392"/>
    </row>
    <row r="393" spans="6:8" x14ac:dyDescent="0.3">
      <c r="F393"/>
      <c r="G393" s="81"/>
      <c r="H393"/>
    </row>
    <row r="394" spans="6:8" x14ac:dyDescent="0.3">
      <c r="F394"/>
      <c r="G394" s="81"/>
      <c r="H394"/>
    </row>
    <row r="395" spans="6:8" x14ac:dyDescent="0.3">
      <c r="F395"/>
      <c r="G395" s="81"/>
      <c r="H395"/>
    </row>
    <row r="396" spans="6:8" x14ac:dyDescent="0.3">
      <c r="F396"/>
      <c r="G396" s="81"/>
      <c r="H396"/>
    </row>
    <row r="397" spans="6:8" x14ac:dyDescent="0.3">
      <c r="F397"/>
      <c r="G397" s="81"/>
      <c r="H397"/>
    </row>
    <row r="398" spans="6:8" x14ac:dyDescent="0.3">
      <c r="F398"/>
      <c r="G398" s="81"/>
      <c r="H398"/>
    </row>
    <row r="399" spans="6:8" x14ac:dyDescent="0.3">
      <c r="F399"/>
      <c r="G399" s="81"/>
      <c r="H399"/>
    </row>
    <row r="400" spans="6:8" x14ac:dyDescent="0.3">
      <c r="F400"/>
      <c r="G400" s="81"/>
      <c r="H400"/>
    </row>
    <row r="401" spans="6:8" x14ac:dyDescent="0.3">
      <c r="F401"/>
      <c r="G401" s="81"/>
      <c r="H401"/>
    </row>
    <row r="402" spans="6:8" x14ac:dyDescent="0.3">
      <c r="F402"/>
      <c r="G402" s="81"/>
      <c r="H402"/>
    </row>
    <row r="403" spans="6:8" x14ac:dyDescent="0.3">
      <c r="F403"/>
      <c r="G403" s="81"/>
      <c r="H403"/>
    </row>
    <row r="404" spans="6:8" x14ac:dyDescent="0.3">
      <c r="F404"/>
      <c r="G404" s="81"/>
      <c r="H404"/>
    </row>
    <row r="405" spans="6:8" x14ac:dyDescent="0.3">
      <c r="F405"/>
      <c r="G405" s="81"/>
      <c r="H405"/>
    </row>
    <row r="406" spans="6:8" x14ac:dyDescent="0.3">
      <c r="F406"/>
      <c r="G406" s="81"/>
      <c r="H406"/>
    </row>
    <row r="407" spans="6:8" x14ac:dyDescent="0.3">
      <c r="F407"/>
      <c r="G407" s="81"/>
      <c r="H407"/>
    </row>
    <row r="408" spans="6:8" x14ac:dyDescent="0.3">
      <c r="F408"/>
      <c r="G408" s="81"/>
      <c r="H408"/>
    </row>
    <row r="409" spans="6:8" x14ac:dyDescent="0.3">
      <c r="F409"/>
      <c r="G409" s="81"/>
      <c r="H409"/>
    </row>
    <row r="410" spans="6:8" x14ac:dyDescent="0.3">
      <c r="F410"/>
      <c r="G410" s="81"/>
      <c r="H410"/>
    </row>
    <row r="411" spans="6:8" x14ac:dyDescent="0.3">
      <c r="F411"/>
      <c r="G411" s="81"/>
      <c r="H411"/>
    </row>
    <row r="412" spans="6:8" x14ac:dyDescent="0.3">
      <c r="F412"/>
      <c r="G412" s="81"/>
      <c r="H412"/>
    </row>
    <row r="413" spans="6:8" x14ac:dyDescent="0.3">
      <c r="F413"/>
      <c r="G413" s="81"/>
      <c r="H413"/>
    </row>
    <row r="414" spans="6:8" x14ac:dyDescent="0.3">
      <c r="F414"/>
      <c r="G414" s="81"/>
      <c r="H414"/>
    </row>
    <row r="415" spans="6:8" x14ac:dyDescent="0.3">
      <c r="F415"/>
      <c r="G415" s="81"/>
      <c r="H415"/>
    </row>
    <row r="416" spans="6:8" x14ac:dyDescent="0.3">
      <c r="F416"/>
      <c r="G416" s="81"/>
      <c r="H416"/>
    </row>
    <row r="417" spans="6:8" x14ac:dyDescent="0.3">
      <c r="F417"/>
      <c r="G417" s="81"/>
      <c r="H417"/>
    </row>
    <row r="418" spans="6:8" x14ac:dyDescent="0.3">
      <c r="F418"/>
      <c r="G418" s="81"/>
      <c r="H418"/>
    </row>
    <row r="419" spans="6:8" x14ac:dyDescent="0.3">
      <c r="F419"/>
      <c r="G419" s="81"/>
      <c r="H419"/>
    </row>
    <row r="420" spans="6:8" x14ac:dyDescent="0.3">
      <c r="F420"/>
      <c r="G420" s="81"/>
      <c r="H420"/>
    </row>
    <row r="421" spans="6:8" x14ac:dyDescent="0.3">
      <c r="F421"/>
      <c r="G421" s="81"/>
      <c r="H421"/>
    </row>
    <row r="422" spans="6:8" x14ac:dyDescent="0.3">
      <c r="F422"/>
      <c r="G422" s="81"/>
      <c r="H422"/>
    </row>
    <row r="423" spans="6:8" x14ac:dyDescent="0.3">
      <c r="F423"/>
      <c r="G423" s="81"/>
      <c r="H423"/>
    </row>
    <row r="424" spans="6:8" x14ac:dyDescent="0.3">
      <c r="F424"/>
      <c r="G424" s="81"/>
      <c r="H424"/>
    </row>
    <row r="425" spans="6:8" x14ac:dyDescent="0.3">
      <c r="F425"/>
      <c r="G425" s="81"/>
      <c r="H425"/>
    </row>
    <row r="426" spans="6:8" x14ac:dyDescent="0.3">
      <c r="F426"/>
      <c r="G426" s="81"/>
      <c r="H426"/>
    </row>
    <row r="427" spans="6:8" x14ac:dyDescent="0.3">
      <c r="F427"/>
      <c r="G427" s="81"/>
      <c r="H427"/>
    </row>
    <row r="428" spans="6:8" x14ac:dyDescent="0.3">
      <c r="F428"/>
      <c r="G428" s="81"/>
      <c r="H428"/>
    </row>
    <row r="429" spans="6:8" x14ac:dyDescent="0.3">
      <c r="F429"/>
      <c r="G429" s="81"/>
      <c r="H429"/>
    </row>
    <row r="430" spans="6:8" x14ac:dyDescent="0.3">
      <c r="F430"/>
      <c r="G430" s="81"/>
      <c r="H430"/>
    </row>
    <row r="431" spans="6:8" x14ac:dyDescent="0.3">
      <c r="F431"/>
      <c r="G431" s="81"/>
      <c r="H431"/>
    </row>
    <row r="432" spans="6:8" x14ac:dyDescent="0.3">
      <c r="F432"/>
      <c r="G432" s="81"/>
      <c r="H432"/>
    </row>
    <row r="433" spans="6:8" x14ac:dyDescent="0.3">
      <c r="F433"/>
      <c r="G433" s="81"/>
      <c r="H433"/>
    </row>
    <row r="434" spans="6:8" x14ac:dyDescent="0.3">
      <c r="F434"/>
      <c r="G434" s="81"/>
      <c r="H434"/>
    </row>
    <row r="435" spans="6:8" x14ac:dyDescent="0.3">
      <c r="F435"/>
      <c r="G435" s="81"/>
      <c r="H435"/>
    </row>
    <row r="436" spans="6:8" x14ac:dyDescent="0.3">
      <c r="F436"/>
      <c r="G436" s="81"/>
      <c r="H436"/>
    </row>
    <row r="437" spans="6:8" x14ac:dyDescent="0.3">
      <c r="F437"/>
      <c r="G437" s="81"/>
      <c r="H437"/>
    </row>
    <row r="438" spans="6:8" x14ac:dyDescent="0.3">
      <c r="F438"/>
      <c r="G438" s="81"/>
      <c r="H438"/>
    </row>
    <row r="439" spans="6:8" x14ac:dyDescent="0.3">
      <c r="F439"/>
      <c r="G439" s="81"/>
      <c r="H439"/>
    </row>
    <row r="440" spans="6:8" x14ac:dyDescent="0.3">
      <c r="F440"/>
      <c r="G440" s="81"/>
      <c r="H440"/>
    </row>
    <row r="441" spans="6:8" x14ac:dyDescent="0.3">
      <c r="F441"/>
      <c r="G441" s="81"/>
      <c r="H441"/>
    </row>
    <row r="442" spans="6:8" x14ac:dyDescent="0.3">
      <c r="F442"/>
      <c r="G442" s="81"/>
      <c r="H442"/>
    </row>
    <row r="443" spans="6:8" x14ac:dyDescent="0.3">
      <c r="F443"/>
      <c r="G443" s="81"/>
      <c r="H443"/>
    </row>
    <row r="444" spans="6:8" x14ac:dyDescent="0.3">
      <c r="F444"/>
      <c r="G444" s="81"/>
      <c r="H444"/>
    </row>
    <row r="445" spans="6:8" x14ac:dyDescent="0.3">
      <c r="F445"/>
      <c r="G445" s="81"/>
      <c r="H445"/>
    </row>
    <row r="446" spans="6:8" x14ac:dyDescent="0.3">
      <c r="F446"/>
      <c r="G446" s="81"/>
      <c r="H446"/>
    </row>
    <row r="447" spans="6:8" x14ac:dyDescent="0.3">
      <c r="F447"/>
      <c r="G447" s="81"/>
      <c r="H447"/>
    </row>
    <row r="448" spans="6:8" x14ac:dyDescent="0.3">
      <c r="F448"/>
      <c r="G448" s="81"/>
      <c r="H448"/>
    </row>
    <row r="449" spans="6:8" x14ac:dyDescent="0.3">
      <c r="F449"/>
      <c r="G449" s="81"/>
      <c r="H449"/>
    </row>
    <row r="450" spans="6:8" x14ac:dyDescent="0.3">
      <c r="F450"/>
      <c r="G450" s="81"/>
      <c r="H450"/>
    </row>
    <row r="451" spans="6:8" x14ac:dyDescent="0.3">
      <c r="F451"/>
      <c r="G451" s="81"/>
      <c r="H451"/>
    </row>
    <row r="452" spans="6:8" x14ac:dyDescent="0.3">
      <c r="F452"/>
      <c r="G452" s="81"/>
      <c r="H452"/>
    </row>
    <row r="453" spans="6:8" x14ac:dyDescent="0.3">
      <c r="F453"/>
      <c r="G453" s="81"/>
      <c r="H453"/>
    </row>
    <row r="454" spans="6:8" x14ac:dyDescent="0.3">
      <c r="F454"/>
      <c r="G454" s="81"/>
      <c r="H454"/>
    </row>
    <row r="455" spans="6:8" x14ac:dyDescent="0.3">
      <c r="F455"/>
      <c r="G455" s="81"/>
      <c r="H455"/>
    </row>
    <row r="456" spans="6:8" x14ac:dyDescent="0.3">
      <c r="F456"/>
      <c r="G456" s="81"/>
      <c r="H456"/>
    </row>
    <row r="457" spans="6:8" x14ac:dyDescent="0.3">
      <c r="F457"/>
      <c r="G457" s="81"/>
      <c r="H457"/>
    </row>
    <row r="458" spans="6:8" x14ac:dyDescent="0.3">
      <c r="F458"/>
      <c r="G458" s="81"/>
      <c r="H458"/>
    </row>
    <row r="459" spans="6:8" x14ac:dyDescent="0.3">
      <c r="F459"/>
      <c r="G459" s="81"/>
      <c r="H459"/>
    </row>
    <row r="460" spans="6:8" x14ac:dyDescent="0.3">
      <c r="F460"/>
      <c r="G460" s="81"/>
      <c r="H460"/>
    </row>
    <row r="461" spans="6:8" x14ac:dyDescent="0.3">
      <c r="F461"/>
      <c r="G461" s="81"/>
      <c r="H461"/>
    </row>
    <row r="462" spans="6:8" x14ac:dyDescent="0.3">
      <c r="F462"/>
      <c r="G462" s="81"/>
      <c r="H462"/>
    </row>
    <row r="463" spans="6:8" x14ac:dyDescent="0.3">
      <c r="F463"/>
      <c r="G463" s="81"/>
      <c r="H463"/>
    </row>
    <row r="464" spans="6:8" x14ac:dyDescent="0.3">
      <c r="F464"/>
      <c r="G464" s="81"/>
      <c r="H464"/>
    </row>
    <row r="465" spans="6:8" x14ac:dyDescent="0.3">
      <c r="F465"/>
      <c r="G465" s="81"/>
      <c r="H465"/>
    </row>
    <row r="466" spans="6:8" x14ac:dyDescent="0.3">
      <c r="F466"/>
      <c r="G466" s="81"/>
      <c r="H466"/>
    </row>
    <row r="467" spans="6:8" x14ac:dyDescent="0.3">
      <c r="F467"/>
      <c r="G467" s="81"/>
      <c r="H467"/>
    </row>
    <row r="468" spans="6:8" x14ac:dyDescent="0.3">
      <c r="F468"/>
      <c r="G468" s="81"/>
      <c r="H468"/>
    </row>
    <row r="469" spans="6:8" x14ac:dyDescent="0.3">
      <c r="F469"/>
      <c r="G469" s="81"/>
      <c r="H469"/>
    </row>
    <row r="470" spans="6:8" x14ac:dyDescent="0.3">
      <c r="F470"/>
      <c r="G470" s="81"/>
      <c r="H470"/>
    </row>
    <row r="471" spans="6:8" x14ac:dyDescent="0.3">
      <c r="F471"/>
      <c r="G471" s="81"/>
      <c r="H471"/>
    </row>
    <row r="472" spans="6:8" x14ac:dyDescent="0.3">
      <c r="F472"/>
      <c r="G472" s="81"/>
      <c r="H472"/>
    </row>
    <row r="473" spans="6:8" x14ac:dyDescent="0.3">
      <c r="F473"/>
      <c r="G473" s="81"/>
      <c r="H473"/>
    </row>
    <row r="474" spans="6:8" x14ac:dyDescent="0.3">
      <c r="F474"/>
      <c r="G474" s="81"/>
      <c r="H474"/>
    </row>
    <row r="475" spans="6:8" x14ac:dyDescent="0.3">
      <c r="F475"/>
      <c r="G475" s="81"/>
      <c r="H475"/>
    </row>
    <row r="476" spans="6:8" x14ac:dyDescent="0.3">
      <c r="F476"/>
      <c r="G476" s="81"/>
      <c r="H476"/>
    </row>
    <row r="477" spans="6:8" x14ac:dyDescent="0.3">
      <c r="F477"/>
      <c r="G477" s="81"/>
      <c r="H477"/>
    </row>
    <row r="478" spans="6:8" x14ac:dyDescent="0.3">
      <c r="F478"/>
      <c r="G478" s="81"/>
      <c r="H478"/>
    </row>
    <row r="479" spans="6:8" x14ac:dyDescent="0.3">
      <c r="F479"/>
      <c r="G479" s="81"/>
      <c r="H479"/>
    </row>
    <row r="480" spans="6:8" x14ac:dyDescent="0.3">
      <c r="F480"/>
      <c r="G480" s="81"/>
      <c r="H480"/>
    </row>
    <row r="481" spans="6:8" x14ac:dyDescent="0.3">
      <c r="F481"/>
      <c r="G481" s="81"/>
      <c r="H481"/>
    </row>
    <row r="482" spans="6:8" x14ac:dyDescent="0.3">
      <c r="F482"/>
      <c r="G482" s="81"/>
      <c r="H482"/>
    </row>
    <row r="483" spans="6:8" x14ac:dyDescent="0.3">
      <c r="F483"/>
      <c r="G483" s="81"/>
      <c r="H483"/>
    </row>
    <row r="484" spans="6:8" x14ac:dyDescent="0.3">
      <c r="F484"/>
      <c r="G484" s="81"/>
      <c r="H484"/>
    </row>
    <row r="485" spans="6:8" x14ac:dyDescent="0.3">
      <c r="F485"/>
      <c r="G485" s="81"/>
      <c r="H485"/>
    </row>
    <row r="486" spans="6:8" x14ac:dyDescent="0.3">
      <c r="F486"/>
      <c r="G486" s="81"/>
      <c r="H486"/>
    </row>
    <row r="487" spans="6:8" x14ac:dyDescent="0.3">
      <c r="F487"/>
      <c r="G487" s="81"/>
      <c r="H487"/>
    </row>
    <row r="488" spans="6:8" x14ac:dyDescent="0.3">
      <c r="F488"/>
      <c r="G488" s="81"/>
      <c r="H488"/>
    </row>
    <row r="489" spans="6:8" x14ac:dyDescent="0.3">
      <c r="F489"/>
      <c r="G489" s="81"/>
      <c r="H489"/>
    </row>
    <row r="490" spans="6:8" x14ac:dyDescent="0.3">
      <c r="F490"/>
      <c r="G490" s="81"/>
      <c r="H490"/>
    </row>
    <row r="491" spans="6:8" x14ac:dyDescent="0.3">
      <c r="F491"/>
      <c r="G491" s="81"/>
      <c r="H491"/>
    </row>
    <row r="492" spans="6:8" x14ac:dyDescent="0.3">
      <c r="F492"/>
      <c r="G492" s="81"/>
      <c r="H492"/>
    </row>
    <row r="493" spans="6:8" x14ac:dyDescent="0.3">
      <c r="F493"/>
      <c r="G493" s="81"/>
      <c r="H493"/>
    </row>
    <row r="494" spans="6:8" x14ac:dyDescent="0.3">
      <c r="F494"/>
      <c r="G494" s="81"/>
      <c r="H494"/>
    </row>
    <row r="495" spans="6:8" x14ac:dyDescent="0.3">
      <c r="F495"/>
      <c r="G495" s="81"/>
      <c r="H495"/>
    </row>
    <row r="496" spans="6:8" x14ac:dyDescent="0.3">
      <c r="F496"/>
      <c r="G496" s="81"/>
      <c r="H496"/>
    </row>
    <row r="497" spans="6:8" x14ac:dyDescent="0.3">
      <c r="F497"/>
      <c r="G497" s="81"/>
      <c r="H497"/>
    </row>
    <row r="498" spans="6:8" x14ac:dyDescent="0.3">
      <c r="F498"/>
      <c r="G498" s="81"/>
      <c r="H498"/>
    </row>
    <row r="499" spans="6:8" x14ac:dyDescent="0.3">
      <c r="F499"/>
      <c r="G499" s="81"/>
      <c r="H499"/>
    </row>
    <row r="500" spans="6:8" x14ac:dyDescent="0.3">
      <c r="F500"/>
      <c r="G500" s="81"/>
      <c r="H500"/>
    </row>
    <row r="501" spans="6:8" x14ac:dyDescent="0.3">
      <c r="F501"/>
      <c r="G501" s="81"/>
      <c r="H501"/>
    </row>
    <row r="502" spans="6:8" x14ac:dyDescent="0.3">
      <c r="F502"/>
      <c r="G502" s="81"/>
      <c r="H502"/>
    </row>
    <row r="503" spans="6:8" x14ac:dyDescent="0.3">
      <c r="F503"/>
      <c r="G503" s="81"/>
      <c r="H503"/>
    </row>
    <row r="504" spans="6:8" x14ac:dyDescent="0.3">
      <c r="F504"/>
      <c r="G504" s="81"/>
      <c r="H504"/>
    </row>
    <row r="505" spans="6:8" x14ac:dyDescent="0.3">
      <c r="F505"/>
      <c r="G505" s="81"/>
      <c r="H505"/>
    </row>
    <row r="506" spans="6:8" x14ac:dyDescent="0.3">
      <c r="F506"/>
      <c r="G506" s="81"/>
      <c r="H506"/>
    </row>
    <row r="507" spans="6:8" x14ac:dyDescent="0.3">
      <c r="F507"/>
      <c r="G507" s="81"/>
      <c r="H507"/>
    </row>
    <row r="508" spans="6:8" x14ac:dyDescent="0.3">
      <c r="F508"/>
      <c r="G508" s="81"/>
      <c r="H508"/>
    </row>
    <row r="509" spans="6:8" x14ac:dyDescent="0.3">
      <c r="F509"/>
      <c r="G509" s="81"/>
      <c r="H509"/>
    </row>
    <row r="510" spans="6:8" x14ac:dyDescent="0.3">
      <c r="F510"/>
      <c r="G510" s="81"/>
      <c r="H510"/>
    </row>
    <row r="511" spans="6:8" x14ac:dyDescent="0.3">
      <c r="F511"/>
      <c r="G511" s="81"/>
      <c r="H511"/>
    </row>
    <row r="512" spans="6:8" x14ac:dyDescent="0.3">
      <c r="F512"/>
      <c r="G512" s="81"/>
      <c r="H512"/>
    </row>
    <row r="513" spans="6:8" x14ac:dyDescent="0.3">
      <c r="F513"/>
      <c r="G513" s="81"/>
      <c r="H513"/>
    </row>
    <row r="514" spans="6:8" x14ac:dyDescent="0.3">
      <c r="F514"/>
      <c r="G514" s="81"/>
      <c r="H514"/>
    </row>
    <row r="515" spans="6:8" x14ac:dyDescent="0.3">
      <c r="F515"/>
      <c r="G515" s="81"/>
      <c r="H515"/>
    </row>
    <row r="516" spans="6:8" x14ac:dyDescent="0.3">
      <c r="F516"/>
      <c r="G516" s="81"/>
      <c r="H516"/>
    </row>
    <row r="517" spans="6:8" x14ac:dyDescent="0.3">
      <c r="F517"/>
      <c r="G517" s="81"/>
      <c r="H517"/>
    </row>
    <row r="518" spans="6:8" x14ac:dyDescent="0.3">
      <c r="F518"/>
      <c r="G518" s="81"/>
      <c r="H518"/>
    </row>
    <row r="519" spans="6:8" x14ac:dyDescent="0.3">
      <c r="F519"/>
      <c r="G519" s="81"/>
      <c r="H519"/>
    </row>
    <row r="520" spans="6:8" x14ac:dyDescent="0.3">
      <c r="F520"/>
      <c r="G520" s="81"/>
      <c r="H520"/>
    </row>
    <row r="521" spans="6:8" x14ac:dyDescent="0.3">
      <c r="F521"/>
      <c r="G521" s="81"/>
      <c r="H521"/>
    </row>
    <row r="522" spans="6:8" x14ac:dyDescent="0.3">
      <c r="F522"/>
      <c r="G522" s="81"/>
      <c r="H522"/>
    </row>
    <row r="523" spans="6:8" x14ac:dyDescent="0.3">
      <c r="F523"/>
      <c r="G523" s="81"/>
      <c r="H523"/>
    </row>
    <row r="524" spans="6:8" x14ac:dyDescent="0.3">
      <c r="F524"/>
      <c r="G524" s="81"/>
      <c r="H524"/>
    </row>
    <row r="525" spans="6:8" x14ac:dyDescent="0.3">
      <c r="F525"/>
      <c r="G525" s="81"/>
      <c r="H525"/>
    </row>
    <row r="526" spans="6:8" x14ac:dyDescent="0.3">
      <c r="F526"/>
      <c r="G526" s="81"/>
      <c r="H526"/>
    </row>
    <row r="527" spans="6:8" x14ac:dyDescent="0.3">
      <c r="F527"/>
      <c r="G527" s="81"/>
      <c r="H527"/>
    </row>
    <row r="528" spans="6:8" x14ac:dyDescent="0.3">
      <c r="F528"/>
      <c r="G528" s="81"/>
      <c r="H528"/>
    </row>
    <row r="529" spans="6:8" x14ac:dyDescent="0.3">
      <c r="F529"/>
      <c r="G529" s="81"/>
      <c r="H529"/>
    </row>
    <row r="530" spans="6:8" x14ac:dyDescent="0.3">
      <c r="F530"/>
      <c r="G530" s="81"/>
      <c r="H530"/>
    </row>
    <row r="531" spans="6:8" x14ac:dyDescent="0.3">
      <c r="F531"/>
      <c r="G531" s="81"/>
      <c r="H531"/>
    </row>
    <row r="532" spans="6:8" x14ac:dyDescent="0.3">
      <c r="F532"/>
      <c r="G532" s="81"/>
      <c r="H532"/>
    </row>
    <row r="533" spans="6:8" x14ac:dyDescent="0.3">
      <c r="F533"/>
      <c r="G533" s="81"/>
      <c r="H533"/>
    </row>
    <row r="534" spans="6:8" x14ac:dyDescent="0.3">
      <c r="F534"/>
      <c r="G534" s="81"/>
      <c r="H534"/>
    </row>
    <row r="535" spans="6:8" x14ac:dyDescent="0.3">
      <c r="F535"/>
      <c r="G535" s="81"/>
      <c r="H535"/>
    </row>
    <row r="536" spans="6:8" x14ac:dyDescent="0.3">
      <c r="F536"/>
      <c r="G536" s="81"/>
      <c r="H536"/>
    </row>
    <row r="537" spans="6:8" x14ac:dyDescent="0.3">
      <c r="F537"/>
      <c r="G537" s="81"/>
      <c r="H537"/>
    </row>
    <row r="538" spans="6:8" x14ac:dyDescent="0.3">
      <c r="F538"/>
      <c r="G538" s="81"/>
      <c r="H538"/>
    </row>
    <row r="539" spans="6:8" x14ac:dyDescent="0.3">
      <c r="F539"/>
      <c r="G539" s="81"/>
      <c r="H539"/>
    </row>
    <row r="540" spans="6:8" x14ac:dyDescent="0.3">
      <c r="F540"/>
      <c r="G540" s="81"/>
      <c r="H540"/>
    </row>
    <row r="541" spans="6:8" x14ac:dyDescent="0.3">
      <c r="F541"/>
      <c r="G541" s="81"/>
      <c r="H541"/>
    </row>
    <row r="542" spans="6:8" x14ac:dyDescent="0.3">
      <c r="F542"/>
      <c r="G542" s="81"/>
      <c r="H542"/>
    </row>
    <row r="543" spans="6:8" x14ac:dyDescent="0.3">
      <c r="F543"/>
      <c r="G543" s="81"/>
      <c r="H543"/>
    </row>
    <row r="544" spans="6:8" x14ac:dyDescent="0.3">
      <c r="F544"/>
      <c r="G544" s="81"/>
      <c r="H544"/>
    </row>
    <row r="545" spans="6:8" x14ac:dyDescent="0.3">
      <c r="F545"/>
      <c r="G545" s="81"/>
      <c r="H545"/>
    </row>
    <row r="546" spans="6:8" x14ac:dyDescent="0.3">
      <c r="F546"/>
      <c r="G546" s="81"/>
      <c r="H546"/>
    </row>
    <row r="547" spans="6:8" x14ac:dyDescent="0.3">
      <c r="F547"/>
      <c r="G547" s="81"/>
      <c r="H547"/>
    </row>
    <row r="548" spans="6:8" x14ac:dyDescent="0.3">
      <c r="F548"/>
      <c r="G548" s="81"/>
      <c r="H548"/>
    </row>
    <row r="549" spans="6:8" x14ac:dyDescent="0.3">
      <c r="F549"/>
      <c r="G549" s="81"/>
      <c r="H549"/>
    </row>
    <row r="550" spans="6:8" x14ac:dyDescent="0.3">
      <c r="F550"/>
      <c r="G550" s="81"/>
      <c r="H550"/>
    </row>
    <row r="551" spans="6:8" x14ac:dyDescent="0.3">
      <c r="F551"/>
      <c r="G551" s="81"/>
      <c r="H551"/>
    </row>
    <row r="552" spans="6:8" x14ac:dyDescent="0.3">
      <c r="F552"/>
      <c r="G552" s="81"/>
      <c r="H552"/>
    </row>
    <row r="553" spans="6:8" x14ac:dyDescent="0.3">
      <c r="F553"/>
      <c r="G553" s="81"/>
      <c r="H553"/>
    </row>
    <row r="554" spans="6:8" x14ac:dyDescent="0.3">
      <c r="F554"/>
      <c r="G554" s="81"/>
      <c r="H554"/>
    </row>
    <row r="555" spans="6:8" x14ac:dyDescent="0.3">
      <c r="F555"/>
      <c r="G555" s="81"/>
      <c r="H555"/>
    </row>
    <row r="556" spans="6:8" x14ac:dyDescent="0.3">
      <c r="F556"/>
      <c r="G556" s="81"/>
      <c r="H556"/>
    </row>
    <row r="557" spans="6:8" x14ac:dyDescent="0.3">
      <c r="F557"/>
      <c r="G557" s="81"/>
      <c r="H557"/>
    </row>
    <row r="558" spans="6:8" x14ac:dyDescent="0.3">
      <c r="F558"/>
      <c r="G558" s="81"/>
      <c r="H558"/>
    </row>
    <row r="559" spans="6:8" x14ac:dyDescent="0.3">
      <c r="F559"/>
      <c r="G559" s="81"/>
      <c r="H559"/>
    </row>
    <row r="560" spans="6:8" x14ac:dyDescent="0.3">
      <c r="F560"/>
      <c r="G560" s="81"/>
      <c r="H560"/>
    </row>
    <row r="561" spans="6:8" x14ac:dyDescent="0.3">
      <c r="F561"/>
      <c r="G561" s="81"/>
      <c r="H561"/>
    </row>
    <row r="562" spans="6:8" x14ac:dyDescent="0.3">
      <c r="F562"/>
      <c r="G562" s="81"/>
      <c r="H562"/>
    </row>
    <row r="563" spans="6:8" x14ac:dyDescent="0.3">
      <c r="F563"/>
      <c r="G563" s="81"/>
      <c r="H563"/>
    </row>
    <row r="564" spans="6:8" x14ac:dyDescent="0.3">
      <c r="F564"/>
      <c r="G564" s="81"/>
      <c r="H564"/>
    </row>
    <row r="565" spans="6:8" x14ac:dyDescent="0.3">
      <c r="F565"/>
      <c r="G565" s="81"/>
      <c r="H565"/>
    </row>
    <row r="566" spans="6:8" x14ac:dyDescent="0.3">
      <c r="F566"/>
      <c r="G566" s="81"/>
      <c r="H566"/>
    </row>
    <row r="567" spans="6:8" x14ac:dyDescent="0.3">
      <c r="F567"/>
      <c r="G567" s="81"/>
      <c r="H567"/>
    </row>
    <row r="568" spans="6:8" x14ac:dyDescent="0.3">
      <c r="F568"/>
      <c r="G568" s="81"/>
      <c r="H568"/>
    </row>
    <row r="569" spans="6:8" x14ac:dyDescent="0.3">
      <c r="F569"/>
      <c r="G569" s="81"/>
      <c r="H569"/>
    </row>
    <row r="570" spans="6:8" x14ac:dyDescent="0.3">
      <c r="F570"/>
      <c r="G570" s="81"/>
      <c r="H570"/>
    </row>
    <row r="571" spans="6:8" x14ac:dyDescent="0.3">
      <c r="F571"/>
      <c r="G571" s="81"/>
      <c r="H571"/>
    </row>
    <row r="572" spans="6:8" x14ac:dyDescent="0.3">
      <c r="F572"/>
      <c r="G572" s="81"/>
      <c r="H572"/>
    </row>
    <row r="573" spans="6:8" x14ac:dyDescent="0.3">
      <c r="F573"/>
      <c r="G573" s="81"/>
      <c r="H573"/>
    </row>
    <row r="574" spans="6:8" x14ac:dyDescent="0.3">
      <c r="F574"/>
      <c r="G574" s="81"/>
      <c r="H574"/>
    </row>
    <row r="575" spans="6:8" x14ac:dyDescent="0.3">
      <c r="F575"/>
      <c r="G575" s="81"/>
      <c r="H575"/>
    </row>
    <row r="576" spans="6:8" x14ac:dyDescent="0.3">
      <c r="F576"/>
      <c r="G576" s="81"/>
      <c r="H576"/>
    </row>
    <row r="577" spans="6:8" x14ac:dyDescent="0.3">
      <c r="F577"/>
      <c r="G577" s="81"/>
      <c r="H577"/>
    </row>
    <row r="578" spans="6:8" x14ac:dyDescent="0.3">
      <c r="F578"/>
      <c r="G578" s="81"/>
      <c r="H578"/>
    </row>
    <row r="579" spans="6:8" x14ac:dyDescent="0.3">
      <c r="F579"/>
      <c r="G579" s="81"/>
      <c r="H579"/>
    </row>
    <row r="580" spans="6:8" x14ac:dyDescent="0.3">
      <c r="F580"/>
      <c r="G580" s="81"/>
      <c r="H580"/>
    </row>
    <row r="581" spans="6:8" x14ac:dyDescent="0.3">
      <c r="F581"/>
      <c r="G581" s="81"/>
      <c r="H581"/>
    </row>
    <row r="582" spans="6:8" x14ac:dyDescent="0.3">
      <c r="F582"/>
      <c r="G582" s="81"/>
      <c r="H582"/>
    </row>
    <row r="583" spans="6:8" x14ac:dyDescent="0.3">
      <c r="F583"/>
      <c r="G583" s="81"/>
      <c r="H583"/>
    </row>
    <row r="584" spans="6:8" x14ac:dyDescent="0.3">
      <c r="F584"/>
      <c r="G584" s="81"/>
      <c r="H584"/>
    </row>
    <row r="585" spans="6:8" x14ac:dyDescent="0.3">
      <c r="F585"/>
      <c r="G585" s="81"/>
      <c r="H585"/>
    </row>
    <row r="586" spans="6:8" x14ac:dyDescent="0.3">
      <c r="F586"/>
      <c r="G586" s="81"/>
      <c r="H586"/>
    </row>
    <row r="587" spans="6:8" x14ac:dyDescent="0.3">
      <c r="F587"/>
      <c r="G587" s="81"/>
      <c r="H587"/>
    </row>
    <row r="588" spans="6:8" x14ac:dyDescent="0.3">
      <c r="F588"/>
      <c r="G588" s="81"/>
      <c r="H588"/>
    </row>
    <row r="589" spans="6:8" x14ac:dyDescent="0.3">
      <c r="F589"/>
      <c r="G589" s="81"/>
      <c r="H589"/>
    </row>
    <row r="590" spans="6:8" x14ac:dyDescent="0.3">
      <c r="F590"/>
      <c r="G590" s="81"/>
      <c r="H590"/>
    </row>
    <row r="591" spans="6:8" x14ac:dyDescent="0.3">
      <c r="F591"/>
      <c r="G591" s="81"/>
      <c r="H591"/>
    </row>
    <row r="592" spans="6:8" x14ac:dyDescent="0.3">
      <c r="F592"/>
      <c r="G592" s="81"/>
      <c r="H592"/>
    </row>
    <row r="593" spans="6:8" x14ac:dyDescent="0.3">
      <c r="F593"/>
      <c r="G593" s="81"/>
      <c r="H593"/>
    </row>
    <row r="594" spans="6:8" x14ac:dyDescent="0.3">
      <c r="F594"/>
      <c r="G594" s="81"/>
      <c r="H594"/>
    </row>
    <row r="595" spans="6:8" x14ac:dyDescent="0.3">
      <c r="F595"/>
      <c r="G595" s="81"/>
      <c r="H595"/>
    </row>
    <row r="596" spans="6:8" x14ac:dyDescent="0.3">
      <c r="F596"/>
      <c r="G596" s="81"/>
      <c r="H596"/>
    </row>
    <row r="597" spans="6:8" x14ac:dyDescent="0.3">
      <c r="F597"/>
      <c r="G597" s="81"/>
      <c r="H597"/>
    </row>
    <row r="598" spans="6:8" x14ac:dyDescent="0.3">
      <c r="F598"/>
      <c r="G598" s="81"/>
      <c r="H598"/>
    </row>
    <row r="599" spans="6:8" x14ac:dyDescent="0.3">
      <c r="F599"/>
      <c r="G599" s="81"/>
      <c r="H599"/>
    </row>
    <row r="600" spans="6:8" x14ac:dyDescent="0.3">
      <c r="F600"/>
      <c r="G600" s="81"/>
      <c r="H600"/>
    </row>
    <row r="601" spans="6:8" x14ac:dyDescent="0.3">
      <c r="F601"/>
      <c r="G601" s="81"/>
      <c r="H601"/>
    </row>
    <row r="602" spans="6:8" x14ac:dyDescent="0.3">
      <c r="F602"/>
      <c r="G602" s="81"/>
      <c r="H602"/>
    </row>
    <row r="603" spans="6:8" x14ac:dyDescent="0.3">
      <c r="F603"/>
      <c r="G603" s="81"/>
      <c r="H603"/>
    </row>
    <row r="604" spans="6:8" x14ac:dyDescent="0.3">
      <c r="F604"/>
      <c r="G604" s="81"/>
      <c r="H604"/>
    </row>
    <row r="605" spans="6:8" x14ac:dyDescent="0.3">
      <c r="F605"/>
      <c r="G605" s="81"/>
      <c r="H605"/>
    </row>
    <row r="606" spans="6:8" x14ac:dyDescent="0.3">
      <c r="F606"/>
      <c r="G606" s="81"/>
      <c r="H606"/>
    </row>
    <row r="607" spans="6:8" x14ac:dyDescent="0.3">
      <c r="F607"/>
      <c r="G607" s="81"/>
      <c r="H607"/>
    </row>
    <row r="608" spans="6:8" x14ac:dyDescent="0.3">
      <c r="F608"/>
      <c r="G608" s="81"/>
      <c r="H608"/>
    </row>
    <row r="609" spans="6:8" x14ac:dyDescent="0.3">
      <c r="F609"/>
      <c r="G609" s="81"/>
      <c r="H609"/>
    </row>
    <row r="610" spans="6:8" x14ac:dyDescent="0.3">
      <c r="F610"/>
      <c r="G610" s="81"/>
      <c r="H610"/>
    </row>
    <row r="611" spans="6:8" x14ac:dyDescent="0.3">
      <c r="F611"/>
      <c r="G611" s="81"/>
      <c r="H611"/>
    </row>
    <row r="612" spans="6:8" x14ac:dyDescent="0.3">
      <c r="F612"/>
      <c r="G612" s="81"/>
      <c r="H612"/>
    </row>
    <row r="613" spans="6:8" x14ac:dyDescent="0.3">
      <c r="F613"/>
      <c r="G613" s="81"/>
      <c r="H613"/>
    </row>
    <row r="614" spans="6:8" x14ac:dyDescent="0.3">
      <c r="F614"/>
      <c r="G614" s="81"/>
      <c r="H614"/>
    </row>
    <row r="615" spans="6:8" x14ac:dyDescent="0.3">
      <c r="F615"/>
      <c r="G615" s="81"/>
      <c r="H615"/>
    </row>
    <row r="616" spans="6:8" x14ac:dyDescent="0.3">
      <c r="F616"/>
      <c r="G616" s="81"/>
      <c r="H616"/>
    </row>
    <row r="617" spans="6:8" x14ac:dyDescent="0.3">
      <c r="F617"/>
      <c r="G617" s="81"/>
      <c r="H617"/>
    </row>
    <row r="618" spans="6:8" x14ac:dyDescent="0.3">
      <c r="F618"/>
      <c r="G618" s="81"/>
      <c r="H618"/>
    </row>
    <row r="619" spans="6:8" x14ac:dyDescent="0.3">
      <c r="F619"/>
      <c r="G619" s="81"/>
      <c r="H619"/>
    </row>
    <row r="620" spans="6:8" x14ac:dyDescent="0.3">
      <c r="F620"/>
      <c r="G620" s="81"/>
      <c r="H620"/>
    </row>
    <row r="621" spans="6:8" x14ac:dyDescent="0.3">
      <c r="F621"/>
      <c r="G621" s="81"/>
      <c r="H621"/>
    </row>
    <row r="622" spans="6:8" x14ac:dyDescent="0.3">
      <c r="F622"/>
      <c r="G622" s="81"/>
      <c r="H622"/>
    </row>
    <row r="623" spans="6:8" x14ac:dyDescent="0.3">
      <c r="F623"/>
      <c r="G623" s="81"/>
      <c r="H623"/>
    </row>
    <row r="624" spans="6:8" x14ac:dyDescent="0.3">
      <c r="F624"/>
      <c r="G624" s="81"/>
      <c r="H624"/>
    </row>
    <row r="625" spans="6:8" x14ac:dyDescent="0.3">
      <c r="F625"/>
      <c r="G625" s="81"/>
      <c r="H625"/>
    </row>
    <row r="626" spans="6:8" x14ac:dyDescent="0.3">
      <c r="F626"/>
      <c r="G626" s="81"/>
      <c r="H626"/>
    </row>
    <row r="627" spans="6:8" x14ac:dyDescent="0.3">
      <c r="F627"/>
      <c r="G627" s="81"/>
      <c r="H627"/>
    </row>
    <row r="628" spans="6:8" x14ac:dyDescent="0.3">
      <c r="F628"/>
      <c r="G628" s="81"/>
      <c r="H628"/>
    </row>
    <row r="629" spans="6:8" x14ac:dyDescent="0.3">
      <c r="F629"/>
      <c r="G629" s="81"/>
      <c r="H629"/>
    </row>
    <row r="630" spans="6:8" x14ac:dyDescent="0.3">
      <c r="F630"/>
      <c r="G630" s="81"/>
      <c r="H630"/>
    </row>
    <row r="631" spans="6:8" x14ac:dyDescent="0.3">
      <c r="F631"/>
      <c r="G631" s="81"/>
      <c r="H631"/>
    </row>
    <row r="632" spans="6:8" x14ac:dyDescent="0.3">
      <c r="F632"/>
      <c r="G632" s="81"/>
      <c r="H632"/>
    </row>
    <row r="633" spans="6:8" x14ac:dyDescent="0.3">
      <c r="F633"/>
      <c r="G633" s="81"/>
      <c r="H633"/>
    </row>
    <row r="634" spans="6:8" x14ac:dyDescent="0.3">
      <c r="F634"/>
      <c r="G634" s="81"/>
      <c r="H634"/>
    </row>
    <row r="635" spans="6:8" x14ac:dyDescent="0.3">
      <c r="F635"/>
      <c r="G635" s="81"/>
      <c r="H635"/>
    </row>
    <row r="636" spans="6:8" x14ac:dyDescent="0.3">
      <c r="F636"/>
      <c r="G636" s="81"/>
      <c r="H636"/>
    </row>
    <row r="637" spans="6:8" x14ac:dyDescent="0.3">
      <c r="F637"/>
      <c r="G637" s="81"/>
      <c r="H637"/>
    </row>
    <row r="638" spans="6:8" x14ac:dyDescent="0.3">
      <c r="F638"/>
      <c r="G638" s="81"/>
      <c r="H638"/>
    </row>
    <row r="639" spans="6:8" x14ac:dyDescent="0.3">
      <c r="F639"/>
      <c r="G639" s="81"/>
      <c r="H639"/>
    </row>
    <row r="640" spans="6:8" x14ac:dyDescent="0.3">
      <c r="F640"/>
      <c r="G640" s="81"/>
      <c r="H640"/>
    </row>
    <row r="641" spans="6:8" x14ac:dyDescent="0.3">
      <c r="F641"/>
      <c r="G641" s="81"/>
      <c r="H641"/>
    </row>
    <row r="642" spans="6:8" x14ac:dyDescent="0.3">
      <c r="F642"/>
      <c r="G642" s="81"/>
      <c r="H642"/>
    </row>
    <row r="643" spans="6:8" x14ac:dyDescent="0.3">
      <c r="F643"/>
      <c r="G643" s="81"/>
      <c r="H643"/>
    </row>
    <row r="644" spans="6:8" x14ac:dyDescent="0.3">
      <c r="F644"/>
      <c r="G644" s="81"/>
      <c r="H644"/>
    </row>
    <row r="645" spans="6:8" x14ac:dyDescent="0.3">
      <c r="F645"/>
      <c r="G645" s="81"/>
      <c r="H645"/>
    </row>
    <row r="646" spans="6:8" x14ac:dyDescent="0.3">
      <c r="F646"/>
      <c r="G646" s="81"/>
      <c r="H646"/>
    </row>
    <row r="647" spans="6:8" x14ac:dyDescent="0.3">
      <c r="F647"/>
      <c r="G647" s="81"/>
      <c r="H647"/>
    </row>
    <row r="648" spans="6:8" x14ac:dyDescent="0.3">
      <c r="F648"/>
      <c r="G648" s="81"/>
      <c r="H648"/>
    </row>
    <row r="649" spans="6:8" x14ac:dyDescent="0.3">
      <c r="F649"/>
      <c r="G649" s="81"/>
      <c r="H649"/>
    </row>
    <row r="650" spans="6:8" x14ac:dyDescent="0.3">
      <c r="F650"/>
      <c r="G650" s="81"/>
      <c r="H650"/>
    </row>
    <row r="651" spans="6:8" x14ac:dyDescent="0.3">
      <c r="F651"/>
      <c r="G651" s="81"/>
      <c r="H651"/>
    </row>
    <row r="652" spans="6:8" x14ac:dyDescent="0.3">
      <c r="F652"/>
      <c r="G652" s="81"/>
      <c r="H652"/>
    </row>
    <row r="653" spans="6:8" x14ac:dyDescent="0.3">
      <c r="F653"/>
      <c r="G653" s="81"/>
      <c r="H653"/>
    </row>
    <row r="654" spans="6:8" x14ac:dyDescent="0.3">
      <c r="F654"/>
      <c r="G654" s="81"/>
      <c r="H654"/>
    </row>
    <row r="655" spans="6:8" x14ac:dyDescent="0.3">
      <c r="F655"/>
      <c r="G655" s="81"/>
      <c r="H655"/>
    </row>
    <row r="656" spans="6:8" x14ac:dyDescent="0.3">
      <c r="F656"/>
      <c r="G656" s="81"/>
      <c r="H656"/>
    </row>
    <row r="657" spans="6:8" x14ac:dyDescent="0.3">
      <c r="F657"/>
      <c r="G657" s="81"/>
      <c r="H657"/>
    </row>
    <row r="658" spans="6:8" x14ac:dyDescent="0.3">
      <c r="F658"/>
      <c r="G658" s="81"/>
      <c r="H658"/>
    </row>
    <row r="659" spans="6:8" x14ac:dyDescent="0.3">
      <c r="F659"/>
      <c r="G659" s="81"/>
      <c r="H659"/>
    </row>
    <row r="660" spans="6:8" x14ac:dyDescent="0.3">
      <c r="F660"/>
      <c r="G660" s="81"/>
      <c r="H660"/>
    </row>
    <row r="661" spans="6:8" x14ac:dyDescent="0.3">
      <c r="F661"/>
      <c r="G661" s="81"/>
      <c r="H661"/>
    </row>
    <row r="662" spans="6:8" x14ac:dyDescent="0.3">
      <c r="F662"/>
      <c r="G662" s="81"/>
      <c r="H662"/>
    </row>
    <row r="663" spans="6:8" x14ac:dyDescent="0.3">
      <c r="F663"/>
      <c r="G663" s="81"/>
      <c r="H663"/>
    </row>
    <row r="664" spans="6:8" x14ac:dyDescent="0.3">
      <c r="F664"/>
      <c r="G664" s="81"/>
      <c r="H664"/>
    </row>
    <row r="665" spans="6:8" x14ac:dyDescent="0.3">
      <c r="F665"/>
      <c r="G665" s="81"/>
      <c r="H665"/>
    </row>
    <row r="666" spans="6:8" x14ac:dyDescent="0.3">
      <c r="F666"/>
      <c r="G666" s="81"/>
      <c r="H666"/>
    </row>
    <row r="667" spans="6:8" x14ac:dyDescent="0.3">
      <c r="F667"/>
      <c r="G667" s="81"/>
      <c r="H667"/>
    </row>
    <row r="668" spans="6:8" x14ac:dyDescent="0.3">
      <c r="F668"/>
      <c r="G668" s="81"/>
      <c r="H668"/>
    </row>
    <row r="669" spans="6:8" x14ac:dyDescent="0.3">
      <c r="F669"/>
      <c r="G669" s="81"/>
      <c r="H669"/>
    </row>
    <row r="670" spans="6:8" x14ac:dyDescent="0.3">
      <c r="F670"/>
      <c r="G670" s="81"/>
      <c r="H670"/>
    </row>
    <row r="671" spans="6:8" x14ac:dyDescent="0.3">
      <c r="F671"/>
      <c r="G671" s="81"/>
      <c r="H671"/>
    </row>
    <row r="672" spans="6:8" x14ac:dyDescent="0.3">
      <c r="F672"/>
      <c r="G672" s="81"/>
      <c r="H672"/>
    </row>
    <row r="673" spans="6:8" x14ac:dyDescent="0.3">
      <c r="F673"/>
      <c r="G673" s="81"/>
      <c r="H673"/>
    </row>
    <row r="674" spans="6:8" x14ac:dyDescent="0.3">
      <c r="F674"/>
      <c r="G674" s="81"/>
      <c r="H674"/>
    </row>
    <row r="675" spans="6:8" x14ac:dyDescent="0.3">
      <c r="F675"/>
      <c r="G675" s="81"/>
      <c r="H675"/>
    </row>
    <row r="676" spans="6:8" x14ac:dyDescent="0.3">
      <c r="F676"/>
      <c r="G676" s="81"/>
      <c r="H676"/>
    </row>
    <row r="677" spans="6:8" x14ac:dyDescent="0.3">
      <c r="F677"/>
      <c r="G677" s="81"/>
      <c r="H677"/>
    </row>
    <row r="678" spans="6:8" x14ac:dyDescent="0.3">
      <c r="F678"/>
      <c r="G678" s="81"/>
      <c r="H678"/>
    </row>
    <row r="679" spans="6:8" x14ac:dyDescent="0.3">
      <c r="F679"/>
      <c r="G679" s="81"/>
      <c r="H679"/>
    </row>
    <row r="680" spans="6:8" x14ac:dyDescent="0.3">
      <c r="F680"/>
      <c r="G680" s="81"/>
      <c r="H680"/>
    </row>
    <row r="681" spans="6:8" x14ac:dyDescent="0.3">
      <c r="F681"/>
      <c r="G681" s="81"/>
      <c r="H681"/>
    </row>
    <row r="682" spans="6:8" x14ac:dyDescent="0.3">
      <c r="F682"/>
      <c r="G682" s="81"/>
      <c r="H682"/>
    </row>
    <row r="683" spans="6:8" x14ac:dyDescent="0.3">
      <c r="F683"/>
      <c r="G683" s="81"/>
      <c r="H683"/>
    </row>
    <row r="684" spans="6:8" x14ac:dyDescent="0.3">
      <c r="F684"/>
      <c r="G684" s="81"/>
      <c r="H684"/>
    </row>
    <row r="685" spans="6:8" x14ac:dyDescent="0.3">
      <c r="F685"/>
      <c r="G685" s="81"/>
      <c r="H685"/>
    </row>
    <row r="686" spans="6:8" x14ac:dyDescent="0.3">
      <c r="F686"/>
      <c r="G686" s="81"/>
      <c r="H686"/>
    </row>
    <row r="687" spans="6:8" x14ac:dyDescent="0.3">
      <c r="F687"/>
      <c r="G687" s="81"/>
      <c r="H687"/>
    </row>
    <row r="688" spans="6:8" x14ac:dyDescent="0.3">
      <c r="F688"/>
      <c r="G688" s="81"/>
      <c r="H688"/>
    </row>
    <row r="689" spans="6:8" x14ac:dyDescent="0.3">
      <c r="F689"/>
      <c r="G689" s="81"/>
      <c r="H689"/>
    </row>
    <row r="690" spans="6:8" x14ac:dyDescent="0.3">
      <c r="F690"/>
      <c r="G690" s="81"/>
      <c r="H690"/>
    </row>
    <row r="691" spans="6:8" x14ac:dyDescent="0.3">
      <c r="F691"/>
      <c r="G691" s="81"/>
      <c r="H691"/>
    </row>
    <row r="692" spans="6:8" x14ac:dyDescent="0.3">
      <c r="F692"/>
      <c r="G692" s="81"/>
      <c r="H692"/>
    </row>
    <row r="693" spans="6:8" x14ac:dyDescent="0.3">
      <c r="F693"/>
      <c r="G693" s="81"/>
      <c r="H693"/>
    </row>
    <row r="694" spans="6:8" x14ac:dyDescent="0.3">
      <c r="F694"/>
      <c r="G694" s="81"/>
      <c r="H694"/>
    </row>
    <row r="695" spans="6:8" x14ac:dyDescent="0.3">
      <c r="F695"/>
      <c r="G695" s="81"/>
      <c r="H695"/>
    </row>
    <row r="696" spans="6:8" x14ac:dyDescent="0.3">
      <c r="F696"/>
      <c r="G696" s="81"/>
      <c r="H696"/>
    </row>
    <row r="697" spans="6:8" x14ac:dyDescent="0.3">
      <c r="F697"/>
      <c r="G697" s="81"/>
      <c r="H697"/>
    </row>
    <row r="698" spans="6:8" x14ac:dyDescent="0.3">
      <c r="F698"/>
      <c r="G698" s="81"/>
      <c r="H698"/>
    </row>
    <row r="699" spans="6:8" x14ac:dyDescent="0.3">
      <c r="F699"/>
      <c r="G699" s="81"/>
      <c r="H699"/>
    </row>
    <row r="700" spans="6:8" x14ac:dyDescent="0.3">
      <c r="F700"/>
      <c r="G700" s="81"/>
      <c r="H700"/>
    </row>
    <row r="701" spans="6:8" x14ac:dyDescent="0.3">
      <c r="F701"/>
      <c r="G701" s="81"/>
      <c r="H701"/>
    </row>
    <row r="702" spans="6:8" x14ac:dyDescent="0.3">
      <c r="F702"/>
      <c r="G702" s="81"/>
      <c r="H702"/>
    </row>
    <row r="703" spans="6:8" x14ac:dyDescent="0.3">
      <c r="F703"/>
      <c r="G703" s="81"/>
      <c r="H703"/>
    </row>
    <row r="704" spans="6:8" x14ac:dyDescent="0.3">
      <c r="F704"/>
      <c r="G704" s="81"/>
      <c r="H704"/>
    </row>
    <row r="705" spans="6:8" x14ac:dyDescent="0.3">
      <c r="F705"/>
      <c r="G705" s="81"/>
      <c r="H705"/>
    </row>
    <row r="706" spans="6:8" x14ac:dyDescent="0.3">
      <c r="F706"/>
      <c r="G706" s="81"/>
      <c r="H706"/>
    </row>
    <row r="707" spans="6:8" x14ac:dyDescent="0.3">
      <c r="F707"/>
      <c r="G707" s="81"/>
      <c r="H707"/>
    </row>
    <row r="708" spans="6:8" x14ac:dyDescent="0.3">
      <c r="F708"/>
      <c r="G708" s="81"/>
      <c r="H708"/>
    </row>
    <row r="709" spans="6:8" x14ac:dyDescent="0.3">
      <c r="F709"/>
      <c r="G709" s="81"/>
      <c r="H709"/>
    </row>
    <row r="710" spans="6:8" x14ac:dyDescent="0.3">
      <c r="F710"/>
      <c r="G710" s="81"/>
      <c r="H710"/>
    </row>
    <row r="711" spans="6:8" x14ac:dyDescent="0.3">
      <c r="F711"/>
      <c r="G711" s="81"/>
      <c r="H711"/>
    </row>
    <row r="712" spans="6:8" x14ac:dyDescent="0.3">
      <c r="F712"/>
      <c r="G712" s="81"/>
      <c r="H712"/>
    </row>
    <row r="713" spans="6:8" x14ac:dyDescent="0.3">
      <c r="F713"/>
      <c r="G713" s="81"/>
      <c r="H713"/>
    </row>
    <row r="714" spans="6:8" x14ac:dyDescent="0.3">
      <c r="F714"/>
      <c r="G714" s="81"/>
      <c r="H714"/>
    </row>
    <row r="715" spans="6:8" x14ac:dyDescent="0.3">
      <c r="F715"/>
      <c r="G715" s="81"/>
      <c r="H715"/>
    </row>
    <row r="716" spans="6:8" x14ac:dyDescent="0.3">
      <c r="F716"/>
      <c r="G716" s="81"/>
      <c r="H716"/>
    </row>
    <row r="717" spans="6:8" x14ac:dyDescent="0.3">
      <c r="F717"/>
      <c r="G717" s="81"/>
      <c r="H717"/>
    </row>
    <row r="718" spans="6:8" x14ac:dyDescent="0.3">
      <c r="F718"/>
      <c r="G718" s="81"/>
      <c r="H718"/>
    </row>
    <row r="719" spans="6:8" x14ac:dyDescent="0.3">
      <c r="F719"/>
      <c r="G719" s="81"/>
      <c r="H719"/>
    </row>
    <row r="720" spans="6:8" x14ac:dyDescent="0.3">
      <c r="F720"/>
      <c r="G720" s="81"/>
      <c r="H720"/>
    </row>
    <row r="721" spans="6:8" x14ac:dyDescent="0.3">
      <c r="F721"/>
      <c r="G721" s="81"/>
      <c r="H721"/>
    </row>
    <row r="722" spans="6:8" x14ac:dyDescent="0.3">
      <c r="F722"/>
      <c r="G722" s="81"/>
      <c r="H722"/>
    </row>
    <row r="723" spans="6:8" x14ac:dyDescent="0.3">
      <c r="F723"/>
      <c r="G723" s="81"/>
      <c r="H723"/>
    </row>
    <row r="724" spans="6:8" x14ac:dyDescent="0.3">
      <c r="F724"/>
      <c r="G724" s="81"/>
      <c r="H724"/>
    </row>
    <row r="725" spans="6:8" x14ac:dyDescent="0.3">
      <c r="F725"/>
      <c r="G725" s="81"/>
      <c r="H725"/>
    </row>
    <row r="726" spans="6:8" x14ac:dyDescent="0.3">
      <c r="F726"/>
      <c r="G726" s="81"/>
      <c r="H726"/>
    </row>
    <row r="727" spans="6:8" x14ac:dyDescent="0.3">
      <c r="F727"/>
      <c r="G727" s="81"/>
      <c r="H727"/>
    </row>
    <row r="728" spans="6:8" x14ac:dyDescent="0.3">
      <c r="F728"/>
      <c r="G728" s="81"/>
      <c r="H728"/>
    </row>
    <row r="729" spans="6:8" x14ac:dyDescent="0.3">
      <c r="F729"/>
      <c r="G729" s="81"/>
      <c r="H729"/>
    </row>
    <row r="730" spans="6:8" x14ac:dyDescent="0.3">
      <c r="F730"/>
      <c r="G730" s="81"/>
      <c r="H730"/>
    </row>
    <row r="731" spans="6:8" x14ac:dyDescent="0.3">
      <c r="F731"/>
      <c r="G731" s="81"/>
      <c r="H731"/>
    </row>
    <row r="732" spans="6:8" x14ac:dyDescent="0.3">
      <c r="F732"/>
      <c r="G732" s="81"/>
      <c r="H732"/>
    </row>
    <row r="733" spans="6:8" x14ac:dyDescent="0.3">
      <c r="F733"/>
      <c r="G733" s="81"/>
      <c r="H733"/>
    </row>
    <row r="734" spans="6:8" x14ac:dyDescent="0.3">
      <c r="F734"/>
      <c r="G734" s="81"/>
      <c r="H734"/>
    </row>
    <row r="735" spans="6:8" x14ac:dyDescent="0.3">
      <c r="F735"/>
      <c r="G735" s="81"/>
      <c r="H735"/>
    </row>
    <row r="736" spans="6:8" x14ac:dyDescent="0.3">
      <c r="F736"/>
      <c r="G736" s="81"/>
      <c r="H736"/>
    </row>
    <row r="737" spans="6:8" x14ac:dyDescent="0.3">
      <c r="F737"/>
      <c r="G737" s="81"/>
      <c r="H737"/>
    </row>
    <row r="738" spans="6:8" x14ac:dyDescent="0.3">
      <c r="F738"/>
      <c r="G738" s="81"/>
      <c r="H738"/>
    </row>
    <row r="739" spans="6:8" x14ac:dyDescent="0.3">
      <c r="F739"/>
      <c r="G739" s="81"/>
      <c r="H739"/>
    </row>
    <row r="740" spans="6:8" x14ac:dyDescent="0.3">
      <c r="F740"/>
      <c r="G740" s="81"/>
      <c r="H740"/>
    </row>
    <row r="741" spans="6:8" x14ac:dyDescent="0.3">
      <c r="F741"/>
      <c r="G741" s="81"/>
      <c r="H741"/>
    </row>
    <row r="742" spans="6:8" x14ac:dyDescent="0.3">
      <c r="F742"/>
      <c r="G742" s="81"/>
      <c r="H742"/>
    </row>
    <row r="743" spans="6:8" x14ac:dyDescent="0.3">
      <c r="F743"/>
      <c r="G743" s="81"/>
      <c r="H743"/>
    </row>
    <row r="744" spans="6:8" x14ac:dyDescent="0.3">
      <c r="F744"/>
      <c r="G744" s="81"/>
      <c r="H744"/>
    </row>
    <row r="745" spans="6:8" x14ac:dyDescent="0.3">
      <c r="F745"/>
      <c r="G745" s="81"/>
      <c r="H745"/>
    </row>
    <row r="746" spans="6:8" x14ac:dyDescent="0.3">
      <c r="F746"/>
      <c r="G746" s="81"/>
      <c r="H746"/>
    </row>
    <row r="747" spans="6:8" x14ac:dyDescent="0.3">
      <c r="F747"/>
      <c r="G747" s="81"/>
      <c r="H747"/>
    </row>
    <row r="748" spans="6:8" x14ac:dyDescent="0.3">
      <c r="F748"/>
      <c r="G748" s="81"/>
      <c r="H748"/>
    </row>
    <row r="749" spans="6:8" x14ac:dyDescent="0.3">
      <c r="F749"/>
      <c r="G749" s="81"/>
      <c r="H749"/>
    </row>
    <row r="750" spans="6:8" x14ac:dyDescent="0.3">
      <c r="F750"/>
      <c r="G750" s="81"/>
      <c r="H750"/>
    </row>
    <row r="751" spans="6:8" x14ac:dyDescent="0.3">
      <c r="F751"/>
      <c r="G751" s="81"/>
      <c r="H751"/>
    </row>
    <row r="752" spans="6:8" x14ac:dyDescent="0.3">
      <c r="F752"/>
      <c r="G752" s="81"/>
      <c r="H752"/>
    </row>
    <row r="753" spans="6:8" x14ac:dyDescent="0.3">
      <c r="F753"/>
      <c r="G753" s="81"/>
      <c r="H753"/>
    </row>
    <row r="754" spans="6:8" x14ac:dyDescent="0.3">
      <c r="F754"/>
      <c r="G754" s="81"/>
      <c r="H754"/>
    </row>
    <row r="755" spans="6:8" x14ac:dyDescent="0.3">
      <c r="F755"/>
      <c r="G755" s="81"/>
      <c r="H755"/>
    </row>
    <row r="756" spans="6:8" x14ac:dyDescent="0.3">
      <c r="F756"/>
      <c r="G756" s="81"/>
      <c r="H756"/>
    </row>
    <row r="757" spans="6:8" x14ac:dyDescent="0.3">
      <c r="F757"/>
      <c r="G757" s="81"/>
      <c r="H757"/>
    </row>
    <row r="758" spans="6:8" x14ac:dyDescent="0.3">
      <c r="F758"/>
      <c r="G758" s="81"/>
      <c r="H758"/>
    </row>
    <row r="759" spans="6:8" x14ac:dyDescent="0.3">
      <c r="F759"/>
      <c r="G759" s="81"/>
      <c r="H759"/>
    </row>
    <row r="760" spans="6:8" x14ac:dyDescent="0.3">
      <c r="F760"/>
      <c r="G760" s="81"/>
      <c r="H760"/>
    </row>
    <row r="761" spans="6:8" x14ac:dyDescent="0.3">
      <c r="F761"/>
      <c r="G761" s="81"/>
      <c r="H761"/>
    </row>
    <row r="762" spans="6:8" x14ac:dyDescent="0.3">
      <c r="F762"/>
      <c r="G762" s="81"/>
      <c r="H762"/>
    </row>
    <row r="763" spans="6:8" x14ac:dyDescent="0.3">
      <c r="F763"/>
      <c r="G763" s="81"/>
      <c r="H763"/>
    </row>
    <row r="764" spans="6:8" x14ac:dyDescent="0.3">
      <c r="F764"/>
      <c r="G764" s="81"/>
      <c r="H764"/>
    </row>
    <row r="765" spans="6:8" x14ac:dyDescent="0.3">
      <c r="F765"/>
      <c r="G765" s="81"/>
      <c r="H765"/>
    </row>
    <row r="766" spans="6:8" x14ac:dyDescent="0.3">
      <c r="F766"/>
      <c r="G766" s="81"/>
      <c r="H766"/>
    </row>
    <row r="767" spans="6:8" x14ac:dyDescent="0.3">
      <c r="F767"/>
      <c r="G767" s="81"/>
      <c r="H767"/>
    </row>
    <row r="768" spans="6:8" x14ac:dyDescent="0.3">
      <c r="F768"/>
      <c r="G768" s="81"/>
      <c r="H768"/>
    </row>
    <row r="769" spans="6:8" x14ac:dyDescent="0.3">
      <c r="F769"/>
      <c r="G769" s="81"/>
      <c r="H769"/>
    </row>
    <row r="770" spans="6:8" x14ac:dyDescent="0.3">
      <c r="F770"/>
      <c r="G770" s="81"/>
      <c r="H770"/>
    </row>
    <row r="771" spans="6:8" x14ac:dyDescent="0.3">
      <c r="F771"/>
      <c r="G771" s="81"/>
      <c r="H771"/>
    </row>
    <row r="772" spans="6:8" x14ac:dyDescent="0.3">
      <c r="F772"/>
      <c r="G772" s="81"/>
      <c r="H772"/>
    </row>
    <row r="773" spans="6:8" x14ac:dyDescent="0.3">
      <c r="F773"/>
      <c r="G773" s="81"/>
      <c r="H773"/>
    </row>
    <row r="774" spans="6:8" x14ac:dyDescent="0.3">
      <c r="F774"/>
      <c r="G774" s="81"/>
      <c r="H774"/>
    </row>
    <row r="775" spans="6:8" x14ac:dyDescent="0.3">
      <c r="F775"/>
      <c r="G775" s="81"/>
      <c r="H775"/>
    </row>
    <row r="776" spans="6:8" x14ac:dyDescent="0.3">
      <c r="F776"/>
      <c r="G776" s="81"/>
      <c r="H776"/>
    </row>
    <row r="777" spans="6:8" x14ac:dyDescent="0.3">
      <c r="F777"/>
      <c r="G777" s="81"/>
      <c r="H777"/>
    </row>
    <row r="778" spans="6:8" x14ac:dyDescent="0.3">
      <c r="F778"/>
      <c r="G778" s="81"/>
      <c r="H778"/>
    </row>
    <row r="779" spans="6:8" x14ac:dyDescent="0.3">
      <c r="F779"/>
      <c r="G779" s="81"/>
      <c r="H779"/>
    </row>
    <row r="780" spans="6:8" x14ac:dyDescent="0.3">
      <c r="F780"/>
      <c r="G780" s="81"/>
      <c r="H780"/>
    </row>
    <row r="781" spans="6:8" x14ac:dyDescent="0.3">
      <c r="F781"/>
      <c r="G781" s="81"/>
      <c r="H781"/>
    </row>
    <row r="782" spans="6:8" x14ac:dyDescent="0.3">
      <c r="F782"/>
      <c r="G782" s="81"/>
      <c r="H782"/>
    </row>
    <row r="783" spans="6:8" x14ac:dyDescent="0.3">
      <c r="F783"/>
      <c r="G783" s="81"/>
      <c r="H783"/>
    </row>
    <row r="784" spans="6:8" x14ac:dyDescent="0.3">
      <c r="F784"/>
      <c r="G784" s="81"/>
      <c r="H784"/>
    </row>
    <row r="785" spans="6:8" x14ac:dyDescent="0.3">
      <c r="F785"/>
      <c r="G785" s="81"/>
      <c r="H785"/>
    </row>
    <row r="786" spans="6:8" x14ac:dyDescent="0.3">
      <c r="F786"/>
      <c r="G786" s="81"/>
      <c r="H786"/>
    </row>
    <row r="787" spans="6:8" x14ac:dyDescent="0.3">
      <c r="F787"/>
      <c r="G787" s="81"/>
      <c r="H787"/>
    </row>
    <row r="788" spans="6:8" x14ac:dyDescent="0.3">
      <c r="F788"/>
      <c r="G788" s="81"/>
      <c r="H788"/>
    </row>
    <row r="789" spans="6:8" x14ac:dyDescent="0.3">
      <c r="F789"/>
      <c r="G789" s="81"/>
      <c r="H789"/>
    </row>
    <row r="790" spans="6:8" x14ac:dyDescent="0.3">
      <c r="F790"/>
      <c r="G790" s="81"/>
      <c r="H790"/>
    </row>
    <row r="791" spans="6:8" x14ac:dyDescent="0.3">
      <c r="F791"/>
      <c r="G791" s="81"/>
      <c r="H791"/>
    </row>
    <row r="792" spans="6:8" x14ac:dyDescent="0.3">
      <c r="F792"/>
      <c r="G792" s="81"/>
      <c r="H792"/>
    </row>
    <row r="793" spans="6:8" x14ac:dyDescent="0.3">
      <c r="F793"/>
      <c r="G793" s="81"/>
      <c r="H793"/>
    </row>
    <row r="794" spans="6:8" x14ac:dyDescent="0.3">
      <c r="F794"/>
      <c r="G794" s="81"/>
      <c r="H794"/>
    </row>
    <row r="795" spans="6:8" x14ac:dyDescent="0.3">
      <c r="F795"/>
      <c r="G795" s="81"/>
      <c r="H795"/>
    </row>
    <row r="796" spans="6:8" x14ac:dyDescent="0.3">
      <c r="F796"/>
      <c r="G796" s="81"/>
      <c r="H796"/>
    </row>
    <row r="797" spans="6:8" x14ac:dyDescent="0.3">
      <c r="F797"/>
      <c r="G797" s="81"/>
      <c r="H797"/>
    </row>
    <row r="798" spans="6:8" x14ac:dyDescent="0.3">
      <c r="F798"/>
      <c r="G798" s="81"/>
      <c r="H798"/>
    </row>
    <row r="799" spans="6:8" x14ac:dyDescent="0.3">
      <c r="F799"/>
      <c r="G799" s="81"/>
      <c r="H799"/>
    </row>
    <row r="800" spans="6:8" x14ac:dyDescent="0.3">
      <c r="F800"/>
      <c r="G800" s="81"/>
      <c r="H800"/>
    </row>
    <row r="801" spans="6:8" x14ac:dyDescent="0.3">
      <c r="F801"/>
      <c r="G801" s="81"/>
      <c r="H801"/>
    </row>
    <row r="802" spans="6:8" x14ac:dyDescent="0.3">
      <c r="F802"/>
      <c r="G802" s="81"/>
      <c r="H802"/>
    </row>
    <row r="803" spans="6:8" x14ac:dyDescent="0.3">
      <c r="F803"/>
      <c r="G803" s="81"/>
      <c r="H803"/>
    </row>
    <row r="804" spans="6:8" x14ac:dyDescent="0.3">
      <c r="F804"/>
      <c r="G804" s="81"/>
      <c r="H804"/>
    </row>
    <row r="805" spans="6:8" x14ac:dyDescent="0.3">
      <c r="F805"/>
      <c r="G805" s="81"/>
      <c r="H805"/>
    </row>
    <row r="806" spans="6:8" x14ac:dyDescent="0.3">
      <c r="F806"/>
      <c r="G806" s="81"/>
      <c r="H806"/>
    </row>
    <row r="807" spans="6:8" x14ac:dyDescent="0.3">
      <c r="F807"/>
      <c r="G807" s="81"/>
      <c r="H807"/>
    </row>
    <row r="808" spans="6:8" x14ac:dyDescent="0.3">
      <c r="F808"/>
      <c r="G808" s="81"/>
      <c r="H808"/>
    </row>
    <row r="809" spans="6:8" x14ac:dyDescent="0.3">
      <c r="F809"/>
      <c r="G809" s="81"/>
      <c r="H809"/>
    </row>
    <row r="810" spans="6:8" x14ac:dyDescent="0.3">
      <c r="F810"/>
      <c r="G810" s="81"/>
      <c r="H810"/>
    </row>
    <row r="811" spans="6:8" x14ac:dyDescent="0.3">
      <c r="F811"/>
      <c r="G811" s="81"/>
      <c r="H811"/>
    </row>
    <row r="812" spans="6:8" x14ac:dyDescent="0.3">
      <c r="F812"/>
      <c r="G812" s="81"/>
      <c r="H812"/>
    </row>
    <row r="813" spans="6:8" x14ac:dyDescent="0.3">
      <c r="F813"/>
      <c r="G813" s="81"/>
      <c r="H813"/>
    </row>
    <row r="814" spans="6:8" x14ac:dyDescent="0.3">
      <c r="F814"/>
      <c r="G814" s="81"/>
      <c r="H814"/>
    </row>
    <row r="815" spans="6:8" x14ac:dyDescent="0.3">
      <c r="F815"/>
      <c r="G815" s="81"/>
      <c r="H815"/>
    </row>
    <row r="816" spans="6:8" x14ac:dyDescent="0.3">
      <c r="F816"/>
      <c r="G816" s="81"/>
      <c r="H816"/>
    </row>
    <row r="817" spans="6:8" x14ac:dyDescent="0.3">
      <c r="F817"/>
      <c r="G817" s="81"/>
      <c r="H817"/>
    </row>
    <row r="818" spans="6:8" x14ac:dyDescent="0.3">
      <c r="F818"/>
      <c r="G818" s="81"/>
      <c r="H818"/>
    </row>
    <row r="819" spans="6:8" x14ac:dyDescent="0.3">
      <c r="F819"/>
      <c r="G819" s="81"/>
      <c r="H819"/>
    </row>
    <row r="820" spans="6:8" x14ac:dyDescent="0.3">
      <c r="F820"/>
      <c r="G820" s="81"/>
      <c r="H820"/>
    </row>
    <row r="821" spans="6:8" x14ac:dyDescent="0.3">
      <c r="F821"/>
      <c r="G821" s="81"/>
      <c r="H821"/>
    </row>
    <row r="822" spans="6:8" x14ac:dyDescent="0.3">
      <c r="F822"/>
      <c r="G822" s="81"/>
      <c r="H822"/>
    </row>
    <row r="823" spans="6:8" x14ac:dyDescent="0.3">
      <c r="F823"/>
      <c r="G823" s="81"/>
      <c r="H823"/>
    </row>
    <row r="824" spans="6:8" x14ac:dyDescent="0.3">
      <c r="F824"/>
      <c r="G824" s="81"/>
      <c r="H824"/>
    </row>
    <row r="825" spans="6:8" x14ac:dyDescent="0.3">
      <c r="F825"/>
      <c r="G825" s="81"/>
      <c r="H825"/>
    </row>
    <row r="826" spans="6:8" x14ac:dyDescent="0.3">
      <c r="F826"/>
      <c r="G826" s="81"/>
      <c r="H826"/>
    </row>
    <row r="827" spans="6:8" x14ac:dyDescent="0.3">
      <c r="F827"/>
      <c r="G827" s="81"/>
      <c r="H827"/>
    </row>
    <row r="828" spans="6:8" x14ac:dyDescent="0.3">
      <c r="F828"/>
      <c r="G828" s="81"/>
      <c r="H828"/>
    </row>
    <row r="829" spans="6:8" x14ac:dyDescent="0.3">
      <c r="F829"/>
      <c r="G829" s="81"/>
      <c r="H829"/>
    </row>
    <row r="830" spans="6:8" x14ac:dyDescent="0.3">
      <c r="F830"/>
      <c r="G830" s="81"/>
      <c r="H830"/>
    </row>
    <row r="831" spans="6:8" x14ac:dyDescent="0.3">
      <c r="F831"/>
      <c r="G831" s="81"/>
      <c r="H831"/>
    </row>
    <row r="832" spans="6:8" x14ac:dyDescent="0.3">
      <c r="F832"/>
      <c r="G832" s="81"/>
      <c r="H832"/>
    </row>
    <row r="833" spans="6:8" x14ac:dyDescent="0.3">
      <c r="F833"/>
      <c r="G833" s="81"/>
      <c r="H833"/>
    </row>
    <row r="834" spans="6:8" x14ac:dyDescent="0.3">
      <c r="F834"/>
      <c r="G834" s="81"/>
      <c r="H834"/>
    </row>
    <row r="835" spans="6:8" x14ac:dyDescent="0.3">
      <c r="F835"/>
      <c r="G835" s="81"/>
      <c r="H835"/>
    </row>
    <row r="836" spans="6:8" x14ac:dyDescent="0.3">
      <c r="F836"/>
      <c r="G836" s="81"/>
      <c r="H836"/>
    </row>
    <row r="837" spans="6:8" x14ac:dyDescent="0.3">
      <c r="F837"/>
      <c r="G837" s="81"/>
      <c r="H837"/>
    </row>
    <row r="838" spans="6:8" x14ac:dyDescent="0.3">
      <c r="F838"/>
      <c r="G838" s="81"/>
      <c r="H838"/>
    </row>
    <row r="839" spans="6:8" x14ac:dyDescent="0.3">
      <c r="F839"/>
      <c r="G839" s="81"/>
      <c r="H839"/>
    </row>
    <row r="840" spans="6:8" x14ac:dyDescent="0.3">
      <c r="F840"/>
      <c r="G840" s="81"/>
      <c r="H840"/>
    </row>
    <row r="841" spans="6:8" x14ac:dyDescent="0.3">
      <c r="F841"/>
      <c r="G841" s="81"/>
      <c r="H841"/>
    </row>
    <row r="842" spans="6:8" x14ac:dyDescent="0.3">
      <c r="F842"/>
      <c r="G842" s="81"/>
      <c r="H842"/>
    </row>
    <row r="843" spans="6:8" x14ac:dyDescent="0.3">
      <c r="F843"/>
      <c r="G843" s="81"/>
      <c r="H843"/>
    </row>
    <row r="844" spans="6:8" x14ac:dyDescent="0.3">
      <c r="F844"/>
      <c r="G844" s="81"/>
      <c r="H844"/>
    </row>
    <row r="845" spans="6:8" x14ac:dyDescent="0.3">
      <c r="F845"/>
      <c r="G845" s="81"/>
      <c r="H845"/>
    </row>
    <row r="846" spans="6:8" x14ac:dyDescent="0.3">
      <c r="F846"/>
      <c r="G846" s="81"/>
      <c r="H846"/>
    </row>
    <row r="847" spans="6:8" x14ac:dyDescent="0.3">
      <c r="F847"/>
      <c r="G847" s="81"/>
      <c r="H847"/>
    </row>
    <row r="848" spans="6:8" x14ac:dyDescent="0.3">
      <c r="F848"/>
      <c r="G848" s="81"/>
      <c r="H848"/>
    </row>
    <row r="849" spans="6:8" x14ac:dyDescent="0.3">
      <c r="F849"/>
      <c r="G849" s="81"/>
      <c r="H849"/>
    </row>
    <row r="850" spans="6:8" x14ac:dyDescent="0.3">
      <c r="F850"/>
      <c r="G850" s="81"/>
      <c r="H850"/>
    </row>
    <row r="851" spans="6:8" x14ac:dyDescent="0.3">
      <c r="F851"/>
      <c r="G851" s="81"/>
      <c r="H851"/>
    </row>
    <row r="852" spans="6:8" x14ac:dyDescent="0.3">
      <c r="F852"/>
      <c r="G852" s="81"/>
      <c r="H852"/>
    </row>
    <row r="853" spans="6:8" x14ac:dyDescent="0.3">
      <c r="F853"/>
      <c r="G853" s="81"/>
      <c r="H853"/>
    </row>
    <row r="854" spans="6:8" x14ac:dyDescent="0.3">
      <c r="F854"/>
      <c r="G854" s="81"/>
      <c r="H854"/>
    </row>
    <row r="855" spans="6:8" x14ac:dyDescent="0.3">
      <c r="F855"/>
      <c r="G855" s="81"/>
      <c r="H855"/>
    </row>
    <row r="856" spans="6:8" x14ac:dyDescent="0.3">
      <c r="F856"/>
      <c r="G856" s="81"/>
      <c r="H856"/>
    </row>
    <row r="857" spans="6:8" x14ac:dyDescent="0.3">
      <c r="F857"/>
      <c r="G857" s="81"/>
      <c r="H857"/>
    </row>
    <row r="858" spans="6:8" x14ac:dyDescent="0.3">
      <c r="F858"/>
      <c r="G858" s="81"/>
      <c r="H858"/>
    </row>
    <row r="859" spans="6:8" x14ac:dyDescent="0.3">
      <c r="F859"/>
      <c r="G859" s="81"/>
      <c r="H859"/>
    </row>
    <row r="860" spans="6:8" x14ac:dyDescent="0.3">
      <c r="F860"/>
      <c r="G860" s="81"/>
      <c r="H860"/>
    </row>
    <row r="861" spans="6:8" x14ac:dyDescent="0.3">
      <c r="F861"/>
      <c r="G861" s="81"/>
      <c r="H861"/>
    </row>
    <row r="862" spans="6:8" x14ac:dyDescent="0.3">
      <c r="F862"/>
      <c r="G862" s="81"/>
      <c r="H862"/>
    </row>
    <row r="863" spans="6:8" x14ac:dyDescent="0.3">
      <c r="F863"/>
      <c r="G863" s="81"/>
      <c r="H863"/>
    </row>
    <row r="864" spans="6:8" x14ac:dyDescent="0.3">
      <c r="F864"/>
      <c r="G864" s="81"/>
      <c r="H864"/>
    </row>
    <row r="865" spans="6:8" x14ac:dyDescent="0.3">
      <c r="F865"/>
      <c r="G865" s="81"/>
      <c r="H865"/>
    </row>
    <row r="866" spans="6:8" x14ac:dyDescent="0.3">
      <c r="F866"/>
      <c r="G866" s="81"/>
      <c r="H866"/>
    </row>
    <row r="867" spans="6:8" x14ac:dyDescent="0.3">
      <c r="F867"/>
      <c r="G867" s="81"/>
      <c r="H867"/>
    </row>
    <row r="868" spans="6:8" x14ac:dyDescent="0.3">
      <c r="F868"/>
      <c r="G868" s="81"/>
      <c r="H868"/>
    </row>
    <row r="869" spans="6:8" x14ac:dyDescent="0.3">
      <c r="F869"/>
      <c r="G869" s="81"/>
      <c r="H869"/>
    </row>
    <row r="870" spans="6:8" x14ac:dyDescent="0.3">
      <c r="F870"/>
      <c r="G870" s="81"/>
      <c r="H870"/>
    </row>
    <row r="871" spans="6:8" x14ac:dyDescent="0.3">
      <c r="F871"/>
      <c r="G871" s="81"/>
      <c r="H871"/>
    </row>
    <row r="872" spans="6:8" x14ac:dyDescent="0.3">
      <c r="F872"/>
      <c r="G872" s="81"/>
      <c r="H872"/>
    </row>
    <row r="873" spans="6:8" x14ac:dyDescent="0.3">
      <c r="F873"/>
      <c r="G873" s="81"/>
      <c r="H873"/>
    </row>
    <row r="874" spans="6:8" x14ac:dyDescent="0.3">
      <c r="F874"/>
      <c r="G874" s="81"/>
      <c r="H874"/>
    </row>
    <row r="875" spans="6:8" x14ac:dyDescent="0.3">
      <c r="F875"/>
      <c r="G875" s="81"/>
      <c r="H875"/>
    </row>
    <row r="876" spans="6:8" x14ac:dyDescent="0.3">
      <c r="F876"/>
      <c r="G876" s="81"/>
      <c r="H876"/>
    </row>
    <row r="877" spans="6:8" x14ac:dyDescent="0.3">
      <c r="F877"/>
      <c r="G877" s="81"/>
      <c r="H877"/>
    </row>
    <row r="878" spans="6:8" x14ac:dyDescent="0.3">
      <c r="F878"/>
      <c r="G878" s="81"/>
      <c r="H878"/>
    </row>
    <row r="879" spans="6:8" x14ac:dyDescent="0.3">
      <c r="F879"/>
      <c r="G879" s="81"/>
      <c r="H879"/>
    </row>
    <row r="880" spans="6:8" x14ac:dyDescent="0.3">
      <c r="F880"/>
      <c r="G880" s="81"/>
      <c r="H880"/>
    </row>
    <row r="881" spans="6:8" x14ac:dyDescent="0.3">
      <c r="F881"/>
      <c r="G881" s="81"/>
      <c r="H881"/>
    </row>
    <row r="882" spans="6:8" x14ac:dyDescent="0.3">
      <c r="F882"/>
      <c r="G882" s="81"/>
      <c r="H882"/>
    </row>
    <row r="883" spans="6:8" x14ac:dyDescent="0.3">
      <c r="F883"/>
      <c r="G883" s="81"/>
      <c r="H883"/>
    </row>
    <row r="884" spans="6:8" x14ac:dyDescent="0.3">
      <c r="F884"/>
      <c r="G884" s="81"/>
      <c r="H884"/>
    </row>
    <row r="885" spans="6:8" x14ac:dyDescent="0.3">
      <c r="F885"/>
      <c r="G885" s="81"/>
      <c r="H885"/>
    </row>
    <row r="886" spans="6:8" x14ac:dyDescent="0.3">
      <c r="F886"/>
      <c r="G886" s="81"/>
      <c r="H886"/>
    </row>
    <row r="887" spans="6:8" x14ac:dyDescent="0.3">
      <c r="F887"/>
      <c r="G887" s="81"/>
      <c r="H887"/>
    </row>
    <row r="888" spans="6:8" x14ac:dyDescent="0.3">
      <c r="F888"/>
      <c r="G888" s="81"/>
      <c r="H888"/>
    </row>
    <row r="889" spans="6:8" x14ac:dyDescent="0.3">
      <c r="F889"/>
      <c r="G889" s="81"/>
      <c r="H889"/>
    </row>
    <row r="890" spans="6:8" x14ac:dyDescent="0.3">
      <c r="F890"/>
      <c r="G890" s="81"/>
      <c r="H890"/>
    </row>
    <row r="891" spans="6:8" x14ac:dyDescent="0.3">
      <c r="F891"/>
      <c r="G891" s="81"/>
      <c r="H891"/>
    </row>
    <row r="892" spans="6:8" x14ac:dyDescent="0.3">
      <c r="F892"/>
      <c r="G892" s="81"/>
      <c r="H892"/>
    </row>
    <row r="893" spans="6:8" x14ac:dyDescent="0.3">
      <c r="F893"/>
      <c r="G893" s="81"/>
      <c r="H893"/>
    </row>
    <row r="894" spans="6:8" x14ac:dyDescent="0.3">
      <c r="F894"/>
      <c r="G894" s="81"/>
      <c r="H894"/>
    </row>
    <row r="895" spans="6:8" x14ac:dyDescent="0.3">
      <c r="F895"/>
      <c r="G895" s="81"/>
      <c r="H895"/>
    </row>
    <row r="896" spans="6:8" x14ac:dyDescent="0.3">
      <c r="F896"/>
      <c r="G896" s="81"/>
      <c r="H896"/>
    </row>
    <row r="897" spans="6:8" x14ac:dyDescent="0.3">
      <c r="F897"/>
      <c r="G897" s="81"/>
      <c r="H897"/>
    </row>
    <row r="898" spans="6:8" x14ac:dyDescent="0.3">
      <c r="F898"/>
      <c r="G898" s="81"/>
      <c r="H898"/>
    </row>
    <row r="899" spans="6:8" x14ac:dyDescent="0.3">
      <c r="F899"/>
      <c r="G899" s="81"/>
      <c r="H899"/>
    </row>
    <row r="900" spans="6:8" x14ac:dyDescent="0.3">
      <c r="F900"/>
      <c r="G900" s="81"/>
      <c r="H900"/>
    </row>
    <row r="901" spans="6:8" x14ac:dyDescent="0.3">
      <c r="F901"/>
      <c r="G901" s="81"/>
      <c r="H901"/>
    </row>
    <row r="902" spans="6:8" x14ac:dyDescent="0.3">
      <c r="F902"/>
      <c r="G902" s="81"/>
      <c r="H902"/>
    </row>
    <row r="903" spans="6:8" x14ac:dyDescent="0.3">
      <c r="F903"/>
      <c r="G903" s="81"/>
      <c r="H903"/>
    </row>
    <row r="904" spans="6:8" x14ac:dyDescent="0.3">
      <c r="F904"/>
      <c r="G904" s="81"/>
      <c r="H904"/>
    </row>
    <row r="905" spans="6:8" x14ac:dyDescent="0.3">
      <c r="F905"/>
      <c r="G905" s="81"/>
      <c r="H905"/>
    </row>
    <row r="906" spans="6:8" x14ac:dyDescent="0.3">
      <c r="F906"/>
      <c r="G906" s="81"/>
      <c r="H906"/>
    </row>
    <row r="907" spans="6:8" x14ac:dyDescent="0.3">
      <c r="F907"/>
      <c r="G907" s="81"/>
      <c r="H907"/>
    </row>
    <row r="908" spans="6:8" x14ac:dyDescent="0.3">
      <c r="F908"/>
      <c r="G908" s="81"/>
      <c r="H908"/>
    </row>
    <row r="909" spans="6:8" x14ac:dyDescent="0.3">
      <c r="F909"/>
      <c r="G909" s="81"/>
      <c r="H909"/>
    </row>
    <row r="910" spans="6:8" x14ac:dyDescent="0.3">
      <c r="F910"/>
      <c r="G910" s="81"/>
      <c r="H910"/>
    </row>
    <row r="911" spans="6:8" x14ac:dyDescent="0.3">
      <c r="F911"/>
      <c r="G911" s="81"/>
      <c r="H911"/>
    </row>
    <row r="912" spans="6:8" x14ac:dyDescent="0.3">
      <c r="F912"/>
      <c r="G912" s="81"/>
      <c r="H912"/>
    </row>
    <row r="913" spans="6:8" x14ac:dyDescent="0.3">
      <c r="F913"/>
      <c r="G913" s="81"/>
      <c r="H913"/>
    </row>
    <row r="914" spans="6:8" x14ac:dyDescent="0.3">
      <c r="F914"/>
      <c r="G914" s="81"/>
      <c r="H914"/>
    </row>
    <row r="915" spans="6:8" x14ac:dyDescent="0.3">
      <c r="F915"/>
      <c r="G915" s="81"/>
      <c r="H915"/>
    </row>
    <row r="916" spans="6:8" x14ac:dyDescent="0.3">
      <c r="F916"/>
      <c r="G916" s="81"/>
      <c r="H916"/>
    </row>
    <row r="917" spans="6:8" x14ac:dyDescent="0.3">
      <c r="F917"/>
      <c r="G917" s="81"/>
      <c r="H917"/>
    </row>
    <row r="918" spans="6:8" x14ac:dyDescent="0.3">
      <c r="F918"/>
      <c r="G918" s="81"/>
      <c r="H918"/>
    </row>
    <row r="919" spans="6:8" x14ac:dyDescent="0.3">
      <c r="F919"/>
      <c r="G919" s="81"/>
      <c r="H919"/>
    </row>
    <row r="920" spans="6:8" x14ac:dyDescent="0.3">
      <c r="F920"/>
      <c r="G920" s="81"/>
      <c r="H920"/>
    </row>
    <row r="921" spans="6:8" x14ac:dyDescent="0.3">
      <c r="F921"/>
      <c r="G921" s="81"/>
      <c r="H921"/>
    </row>
    <row r="922" spans="6:8" x14ac:dyDescent="0.3">
      <c r="F922"/>
      <c r="G922" s="81"/>
      <c r="H922"/>
    </row>
    <row r="923" spans="6:8" x14ac:dyDescent="0.3">
      <c r="F923"/>
      <c r="G923" s="81"/>
      <c r="H923"/>
    </row>
    <row r="924" spans="6:8" x14ac:dyDescent="0.3">
      <c r="F924"/>
      <c r="G924" s="81"/>
      <c r="H924"/>
    </row>
    <row r="925" spans="6:8" x14ac:dyDescent="0.3">
      <c r="F925"/>
      <c r="G925" s="81"/>
      <c r="H925"/>
    </row>
    <row r="926" spans="6:8" x14ac:dyDescent="0.3">
      <c r="F926"/>
      <c r="G926" s="81"/>
      <c r="H926"/>
    </row>
    <row r="927" spans="6:8" x14ac:dyDescent="0.3">
      <c r="F927"/>
      <c r="G927" s="81"/>
      <c r="H927"/>
    </row>
    <row r="928" spans="6:8" x14ac:dyDescent="0.3">
      <c r="F928"/>
      <c r="G928" s="81"/>
      <c r="H928"/>
    </row>
    <row r="929" spans="6:8" x14ac:dyDescent="0.3">
      <c r="F929"/>
      <c r="G929" s="81"/>
      <c r="H929"/>
    </row>
    <row r="930" spans="6:8" x14ac:dyDescent="0.3">
      <c r="F930"/>
      <c r="G930" s="81"/>
      <c r="H930"/>
    </row>
    <row r="931" spans="6:8" x14ac:dyDescent="0.3">
      <c r="F931"/>
      <c r="G931" s="81"/>
      <c r="H931"/>
    </row>
    <row r="932" spans="6:8" x14ac:dyDescent="0.3">
      <c r="F932"/>
      <c r="G932" s="81"/>
      <c r="H932"/>
    </row>
    <row r="933" spans="6:8" x14ac:dyDescent="0.3">
      <c r="F933"/>
      <c r="G933" s="81"/>
      <c r="H933"/>
    </row>
    <row r="934" spans="6:8" x14ac:dyDescent="0.3">
      <c r="F934"/>
      <c r="G934" s="81"/>
      <c r="H934"/>
    </row>
    <row r="935" spans="6:8" x14ac:dyDescent="0.3">
      <c r="F935"/>
      <c r="G935" s="81"/>
      <c r="H935"/>
    </row>
    <row r="936" spans="6:8" x14ac:dyDescent="0.3">
      <c r="F936"/>
      <c r="G936" s="81"/>
      <c r="H936"/>
    </row>
    <row r="937" spans="6:8" x14ac:dyDescent="0.3">
      <c r="F937"/>
      <c r="G937" s="81"/>
      <c r="H937"/>
    </row>
    <row r="938" spans="6:8" x14ac:dyDescent="0.3">
      <c r="F938"/>
      <c r="G938" s="81"/>
      <c r="H938"/>
    </row>
    <row r="939" spans="6:8" x14ac:dyDescent="0.3">
      <c r="F939"/>
      <c r="G939" s="81"/>
      <c r="H939"/>
    </row>
    <row r="940" spans="6:8" x14ac:dyDescent="0.3">
      <c r="F940"/>
      <c r="G940" s="81"/>
      <c r="H940"/>
    </row>
    <row r="941" spans="6:8" x14ac:dyDescent="0.3">
      <c r="F941"/>
      <c r="G941" s="81"/>
      <c r="H941"/>
    </row>
    <row r="942" spans="6:8" x14ac:dyDescent="0.3">
      <c r="F942"/>
      <c r="G942" s="81"/>
      <c r="H942"/>
    </row>
    <row r="943" spans="6:8" x14ac:dyDescent="0.3">
      <c r="F943"/>
      <c r="G943" s="81"/>
      <c r="H943"/>
    </row>
    <row r="944" spans="6:8" x14ac:dyDescent="0.3">
      <c r="F944"/>
      <c r="G944" s="81"/>
      <c r="H944"/>
    </row>
    <row r="945" spans="6:8" x14ac:dyDescent="0.3">
      <c r="F945"/>
      <c r="G945" s="81"/>
      <c r="H945"/>
    </row>
    <row r="946" spans="6:8" x14ac:dyDescent="0.3">
      <c r="F946"/>
      <c r="G946" s="81"/>
      <c r="H946"/>
    </row>
    <row r="947" spans="6:8" x14ac:dyDescent="0.3">
      <c r="F947"/>
      <c r="G947" s="81"/>
      <c r="H947"/>
    </row>
    <row r="948" spans="6:8" x14ac:dyDescent="0.3">
      <c r="F948"/>
      <c r="G948" s="81"/>
      <c r="H948"/>
    </row>
    <row r="949" spans="6:8" x14ac:dyDescent="0.3">
      <c r="F949"/>
      <c r="G949" s="81"/>
      <c r="H949"/>
    </row>
    <row r="950" spans="6:8" x14ac:dyDescent="0.3">
      <c r="F950"/>
      <c r="G950" s="81"/>
      <c r="H950"/>
    </row>
    <row r="951" spans="6:8" x14ac:dyDescent="0.3">
      <c r="F951"/>
      <c r="G951" s="81"/>
      <c r="H951"/>
    </row>
    <row r="952" spans="6:8" x14ac:dyDescent="0.3">
      <c r="F952"/>
      <c r="G952" s="81"/>
      <c r="H952"/>
    </row>
    <row r="953" spans="6:8" x14ac:dyDescent="0.3">
      <c r="F953"/>
      <c r="G953" s="81"/>
      <c r="H953"/>
    </row>
    <row r="954" spans="6:8" x14ac:dyDescent="0.3">
      <c r="F954"/>
      <c r="G954" s="81"/>
      <c r="H954"/>
    </row>
    <row r="955" spans="6:8" x14ac:dyDescent="0.3">
      <c r="F955"/>
      <c r="G955" s="81"/>
      <c r="H955"/>
    </row>
    <row r="956" spans="6:8" x14ac:dyDescent="0.3">
      <c r="F956"/>
      <c r="G956" s="81"/>
      <c r="H956"/>
    </row>
    <row r="957" spans="6:8" x14ac:dyDescent="0.3">
      <c r="F957"/>
      <c r="G957" s="81"/>
      <c r="H957"/>
    </row>
    <row r="958" spans="6:8" x14ac:dyDescent="0.3">
      <c r="F958"/>
      <c r="G958" s="81"/>
      <c r="H958"/>
    </row>
    <row r="959" spans="6:8" x14ac:dyDescent="0.3">
      <c r="F959"/>
      <c r="G959" s="81"/>
      <c r="H959"/>
    </row>
    <row r="960" spans="6:8" x14ac:dyDescent="0.3">
      <c r="F960"/>
      <c r="G960" s="81"/>
      <c r="H960"/>
    </row>
    <row r="961" spans="6:8" x14ac:dyDescent="0.3">
      <c r="F961"/>
      <c r="G961" s="81"/>
      <c r="H961"/>
    </row>
    <row r="962" spans="6:8" x14ac:dyDescent="0.3">
      <c r="F962"/>
      <c r="G962" s="81"/>
      <c r="H962"/>
    </row>
    <row r="963" spans="6:8" x14ac:dyDescent="0.3">
      <c r="F963"/>
      <c r="G963" s="81"/>
      <c r="H963"/>
    </row>
    <row r="964" spans="6:8" x14ac:dyDescent="0.3">
      <c r="F964"/>
      <c r="G964" s="81"/>
      <c r="H964"/>
    </row>
    <row r="965" spans="6:8" x14ac:dyDescent="0.3">
      <c r="F965"/>
      <c r="G965" s="81"/>
      <c r="H965"/>
    </row>
    <row r="966" spans="6:8" x14ac:dyDescent="0.3">
      <c r="F966"/>
      <c r="G966" s="81"/>
      <c r="H966"/>
    </row>
    <row r="967" spans="6:8" x14ac:dyDescent="0.3">
      <c r="F967"/>
      <c r="G967" s="81"/>
      <c r="H967"/>
    </row>
    <row r="968" spans="6:8" x14ac:dyDescent="0.3">
      <c r="F968"/>
      <c r="G968" s="81"/>
      <c r="H968"/>
    </row>
    <row r="969" spans="6:8" x14ac:dyDescent="0.3">
      <c r="F969"/>
      <c r="G969" s="81"/>
      <c r="H969"/>
    </row>
    <row r="970" spans="6:8" x14ac:dyDescent="0.3">
      <c r="F970"/>
      <c r="G970" s="81"/>
      <c r="H970"/>
    </row>
    <row r="971" spans="6:8" x14ac:dyDescent="0.3">
      <c r="F971"/>
      <c r="G971" s="81"/>
      <c r="H971"/>
    </row>
    <row r="972" spans="6:8" x14ac:dyDescent="0.3">
      <c r="F972"/>
      <c r="G972" s="81"/>
      <c r="H972"/>
    </row>
    <row r="973" spans="6:8" x14ac:dyDescent="0.3">
      <c r="F973"/>
      <c r="G973" s="81"/>
      <c r="H973"/>
    </row>
    <row r="974" spans="6:8" x14ac:dyDescent="0.3">
      <c r="F974"/>
      <c r="G974" s="81"/>
      <c r="H974"/>
    </row>
    <row r="975" spans="6:8" x14ac:dyDescent="0.3">
      <c r="F975"/>
      <c r="G975" s="81"/>
      <c r="H975"/>
    </row>
    <row r="976" spans="6:8" x14ac:dyDescent="0.3">
      <c r="F976"/>
      <c r="G976" s="81"/>
      <c r="H976"/>
    </row>
    <row r="977" spans="6:8" x14ac:dyDescent="0.3">
      <c r="F977"/>
      <c r="G977" s="81"/>
      <c r="H977"/>
    </row>
    <row r="978" spans="6:8" x14ac:dyDescent="0.3">
      <c r="F978"/>
      <c r="G978" s="81"/>
      <c r="H978"/>
    </row>
    <row r="979" spans="6:8" x14ac:dyDescent="0.3">
      <c r="F979"/>
      <c r="G979" s="81"/>
      <c r="H979"/>
    </row>
    <row r="980" spans="6:8" x14ac:dyDescent="0.3">
      <c r="F980"/>
      <c r="G980" s="81"/>
      <c r="H980"/>
    </row>
    <row r="981" spans="6:8" x14ac:dyDescent="0.3">
      <c r="F981"/>
      <c r="G981" s="81"/>
      <c r="H981"/>
    </row>
    <row r="982" spans="6:8" x14ac:dyDescent="0.3">
      <c r="F982"/>
      <c r="G982" s="81"/>
      <c r="H982"/>
    </row>
    <row r="983" spans="6:8" x14ac:dyDescent="0.3">
      <c r="F983"/>
      <c r="G983" s="81"/>
      <c r="H983"/>
    </row>
    <row r="984" spans="6:8" x14ac:dyDescent="0.3">
      <c r="F984"/>
      <c r="G984" s="81"/>
      <c r="H984"/>
    </row>
    <row r="985" spans="6:8" x14ac:dyDescent="0.3">
      <c r="F985"/>
      <c r="G985" s="81"/>
      <c r="H985"/>
    </row>
    <row r="986" spans="6:8" x14ac:dyDescent="0.3">
      <c r="F986"/>
      <c r="G986" s="81"/>
      <c r="H986"/>
    </row>
    <row r="987" spans="6:8" x14ac:dyDescent="0.3">
      <c r="F987"/>
      <c r="G987" s="81"/>
      <c r="H987"/>
    </row>
    <row r="988" spans="6:8" x14ac:dyDescent="0.3">
      <c r="F988"/>
      <c r="G988" s="81"/>
      <c r="H988"/>
    </row>
    <row r="989" spans="6:8" x14ac:dyDescent="0.3">
      <c r="F989"/>
      <c r="G989" s="81"/>
      <c r="H989"/>
    </row>
    <row r="990" spans="6:8" x14ac:dyDescent="0.3">
      <c r="F990"/>
      <c r="G990" s="81"/>
      <c r="H990"/>
    </row>
    <row r="991" spans="6:8" x14ac:dyDescent="0.3">
      <c r="F991"/>
      <c r="G991" s="81"/>
      <c r="H991"/>
    </row>
    <row r="992" spans="6:8" x14ac:dyDescent="0.3">
      <c r="F992"/>
      <c r="G992" s="81"/>
      <c r="H992"/>
    </row>
    <row r="993" spans="6:8" x14ac:dyDescent="0.3">
      <c r="F993"/>
      <c r="G993" s="81"/>
      <c r="H993"/>
    </row>
    <row r="994" spans="6:8" x14ac:dyDescent="0.3">
      <c r="F994"/>
      <c r="G994" s="81"/>
      <c r="H994"/>
    </row>
    <row r="995" spans="6:8" x14ac:dyDescent="0.3">
      <c r="F995"/>
      <c r="G995" s="81"/>
      <c r="H995"/>
    </row>
    <row r="996" spans="6:8" x14ac:dyDescent="0.3">
      <c r="F996"/>
      <c r="G996" s="81"/>
      <c r="H996"/>
    </row>
    <row r="997" spans="6:8" x14ac:dyDescent="0.3">
      <c r="F997"/>
      <c r="G997" s="81"/>
      <c r="H997"/>
    </row>
    <row r="998" spans="6:8" x14ac:dyDescent="0.3">
      <c r="F998"/>
      <c r="G998" s="81"/>
      <c r="H998"/>
    </row>
    <row r="999" spans="6:8" x14ac:dyDescent="0.3">
      <c r="F999"/>
      <c r="G999" s="81"/>
      <c r="H999"/>
    </row>
    <row r="1000" spans="6:8" x14ac:dyDescent="0.3">
      <c r="F1000"/>
      <c r="G1000" s="81"/>
      <c r="H1000"/>
    </row>
    <row r="1001" spans="6:8" x14ac:dyDescent="0.3">
      <c r="F1001"/>
      <c r="G1001" s="81"/>
      <c r="H1001"/>
    </row>
    <row r="1002" spans="6:8" x14ac:dyDescent="0.3">
      <c r="F1002"/>
      <c r="G1002" s="81"/>
      <c r="H1002"/>
    </row>
    <row r="1003" spans="6:8" x14ac:dyDescent="0.3">
      <c r="F1003"/>
      <c r="G1003" s="81"/>
      <c r="H1003"/>
    </row>
    <row r="1004" spans="6:8" x14ac:dyDescent="0.3">
      <c r="F1004"/>
      <c r="G1004" s="81"/>
      <c r="H1004"/>
    </row>
    <row r="1005" spans="6:8" x14ac:dyDescent="0.3">
      <c r="F1005"/>
      <c r="G1005" s="81"/>
      <c r="H1005"/>
    </row>
    <row r="1006" spans="6:8" x14ac:dyDescent="0.3">
      <c r="F1006"/>
      <c r="G1006" s="81"/>
      <c r="H1006"/>
    </row>
    <row r="1007" spans="6:8" x14ac:dyDescent="0.3">
      <c r="F1007"/>
      <c r="G1007" s="81"/>
      <c r="H1007"/>
    </row>
    <row r="1008" spans="6:8" x14ac:dyDescent="0.3">
      <c r="F1008"/>
      <c r="G1008" s="81"/>
      <c r="H1008"/>
    </row>
    <row r="1009" spans="6:8" x14ac:dyDescent="0.3">
      <c r="F1009"/>
      <c r="G1009" s="81"/>
      <c r="H1009"/>
    </row>
    <row r="1010" spans="6:8" x14ac:dyDescent="0.3">
      <c r="F1010"/>
      <c r="G1010" s="81"/>
      <c r="H1010"/>
    </row>
    <row r="1011" spans="6:8" x14ac:dyDescent="0.3">
      <c r="F1011"/>
      <c r="G1011" s="81"/>
      <c r="H1011"/>
    </row>
    <row r="1012" spans="6:8" x14ac:dyDescent="0.3">
      <c r="F1012"/>
      <c r="G1012" s="81"/>
      <c r="H1012"/>
    </row>
    <row r="1013" spans="6:8" x14ac:dyDescent="0.3">
      <c r="F1013"/>
      <c r="G1013" s="81"/>
      <c r="H1013"/>
    </row>
    <row r="1014" spans="6:8" x14ac:dyDescent="0.3">
      <c r="F1014"/>
      <c r="G1014" s="81"/>
      <c r="H1014"/>
    </row>
    <row r="1015" spans="6:8" x14ac:dyDescent="0.3">
      <c r="F1015"/>
      <c r="G1015" s="81"/>
      <c r="H1015"/>
    </row>
    <row r="1016" spans="6:8" x14ac:dyDescent="0.3">
      <c r="F1016"/>
      <c r="G1016" s="81"/>
      <c r="H1016"/>
    </row>
    <row r="1017" spans="6:8" x14ac:dyDescent="0.3">
      <c r="F1017"/>
      <c r="G1017" s="81"/>
      <c r="H1017"/>
    </row>
    <row r="1018" spans="6:8" x14ac:dyDescent="0.3">
      <c r="F1018"/>
      <c r="G1018" s="81"/>
      <c r="H1018"/>
    </row>
    <row r="1019" spans="6:8" x14ac:dyDescent="0.3">
      <c r="F1019"/>
      <c r="G1019" s="81"/>
      <c r="H1019"/>
    </row>
    <row r="1020" spans="6:8" x14ac:dyDescent="0.3">
      <c r="F1020"/>
      <c r="G1020" s="81"/>
      <c r="H1020"/>
    </row>
    <row r="1021" spans="6:8" x14ac:dyDescent="0.3">
      <c r="F1021"/>
      <c r="G1021" s="81"/>
      <c r="H1021"/>
    </row>
    <row r="1022" spans="6:8" x14ac:dyDescent="0.3">
      <c r="F1022"/>
      <c r="G1022" s="81"/>
      <c r="H1022"/>
    </row>
    <row r="1023" spans="6:8" x14ac:dyDescent="0.3">
      <c r="F1023"/>
      <c r="G1023" s="81"/>
      <c r="H1023"/>
    </row>
    <row r="1024" spans="6:8" x14ac:dyDescent="0.3">
      <c r="F1024"/>
      <c r="G1024" s="81"/>
      <c r="H1024"/>
    </row>
    <row r="1025" spans="6:8" x14ac:dyDescent="0.3">
      <c r="F1025"/>
      <c r="G1025" s="81"/>
      <c r="H1025"/>
    </row>
    <row r="1026" spans="6:8" x14ac:dyDescent="0.3">
      <c r="F1026"/>
      <c r="G1026" s="81"/>
      <c r="H1026"/>
    </row>
    <row r="1027" spans="6:8" x14ac:dyDescent="0.3">
      <c r="F1027"/>
      <c r="G1027" s="81"/>
      <c r="H1027"/>
    </row>
    <row r="1028" spans="6:8" x14ac:dyDescent="0.3">
      <c r="F1028"/>
      <c r="G1028" s="81"/>
      <c r="H1028"/>
    </row>
    <row r="1029" spans="6:8" x14ac:dyDescent="0.3">
      <c r="F1029"/>
      <c r="G1029" s="81"/>
      <c r="H1029"/>
    </row>
    <row r="1030" spans="6:8" x14ac:dyDescent="0.3">
      <c r="F1030"/>
      <c r="G1030" s="81"/>
      <c r="H1030"/>
    </row>
    <row r="1031" spans="6:8" x14ac:dyDescent="0.3">
      <c r="F1031"/>
      <c r="G1031" s="81"/>
      <c r="H1031"/>
    </row>
    <row r="1032" spans="6:8" x14ac:dyDescent="0.3">
      <c r="F1032"/>
      <c r="G1032" s="81"/>
      <c r="H1032"/>
    </row>
    <row r="1033" spans="6:8" x14ac:dyDescent="0.3">
      <c r="F1033"/>
      <c r="G1033" s="81"/>
      <c r="H1033"/>
    </row>
    <row r="1034" spans="6:8" x14ac:dyDescent="0.3">
      <c r="F1034"/>
      <c r="G1034" s="81"/>
      <c r="H1034"/>
    </row>
    <row r="1035" spans="6:8" x14ac:dyDescent="0.3">
      <c r="F1035"/>
      <c r="G1035" s="81"/>
      <c r="H1035"/>
    </row>
    <row r="1036" spans="6:8" x14ac:dyDescent="0.3">
      <c r="F1036"/>
      <c r="G1036" s="81"/>
      <c r="H1036"/>
    </row>
    <row r="1037" spans="6:8" x14ac:dyDescent="0.3">
      <c r="F1037"/>
      <c r="G1037" s="81"/>
      <c r="H1037"/>
    </row>
    <row r="1038" spans="6:8" x14ac:dyDescent="0.3">
      <c r="F1038"/>
      <c r="G1038" s="81"/>
      <c r="H1038"/>
    </row>
    <row r="1039" spans="6:8" x14ac:dyDescent="0.3">
      <c r="F1039"/>
      <c r="G1039" s="81"/>
      <c r="H1039"/>
    </row>
    <row r="1040" spans="6:8" x14ac:dyDescent="0.3">
      <c r="F1040"/>
      <c r="G1040" s="81"/>
      <c r="H1040"/>
    </row>
    <row r="1041" spans="6:8" x14ac:dyDescent="0.3">
      <c r="F1041"/>
      <c r="G1041" s="81"/>
      <c r="H1041"/>
    </row>
    <row r="1042" spans="6:8" x14ac:dyDescent="0.3">
      <c r="F1042"/>
      <c r="G1042" s="81"/>
      <c r="H1042"/>
    </row>
    <row r="1043" spans="6:8" x14ac:dyDescent="0.3">
      <c r="F1043"/>
      <c r="G1043" s="81"/>
      <c r="H1043"/>
    </row>
    <row r="1044" spans="6:8" x14ac:dyDescent="0.3">
      <c r="F1044"/>
      <c r="G1044" s="81"/>
      <c r="H1044"/>
    </row>
    <row r="1045" spans="6:8" x14ac:dyDescent="0.3">
      <c r="F1045"/>
      <c r="G1045" s="81"/>
      <c r="H1045"/>
    </row>
    <row r="1046" spans="6:8" x14ac:dyDescent="0.3">
      <c r="F1046"/>
      <c r="G1046" s="81"/>
      <c r="H1046"/>
    </row>
    <row r="1047" spans="6:8" x14ac:dyDescent="0.3">
      <c r="F1047"/>
      <c r="G1047" s="81"/>
      <c r="H1047"/>
    </row>
    <row r="1048" spans="6:8" x14ac:dyDescent="0.3">
      <c r="F1048"/>
      <c r="G1048" s="81"/>
      <c r="H1048"/>
    </row>
    <row r="1049" spans="6:8" x14ac:dyDescent="0.3">
      <c r="F1049"/>
      <c r="G1049" s="81"/>
      <c r="H1049"/>
    </row>
    <row r="1050" spans="6:8" x14ac:dyDescent="0.3">
      <c r="F1050"/>
      <c r="G1050" s="81"/>
      <c r="H1050"/>
    </row>
    <row r="1051" spans="6:8" x14ac:dyDescent="0.3">
      <c r="F1051"/>
      <c r="G1051" s="81"/>
      <c r="H1051"/>
    </row>
    <row r="1052" spans="6:8" x14ac:dyDescent="0.3">
      <c r="F1052"/>
      <c r="G1052" s="81"/>
      <c r="H1052"/>
    </row>
    <row r="1053" spans="6:8" x14ac:dyDescent="0.3">
      <c r="F1053"/>
      <c r="G1053" s="81"/>
      <c r="H1053"/>
    </row>
    <row r="1054" spans="6:8" x14ac:dyDescent="0.3">
      <c r="F1054"/>
      <c r="G1054" s="81"/>
      <c r="H1054"/>
    </row>
    <row r="1055" spans="6:8" x14ac:dyDescent="0.3">
      <c r="F1055"/>
      <c r="G1055" s="81"/>
      <c r="H1055"/>
    </row>
    <row r="1056" spans="6:8" x14ac:dyDescent="0.3">
      <c r="F1056"/>
      <c r="G1056" s="81"/>
      <c r="H1056"/>
    </row>
    <row r="1057" spans="6:8" x14ac:dyDescent="0.3">
      <c r="F1057"/>
      <c r="G1057" s="81"/>
      <c r="H1057"/>
    </row>
    <row r="1058" spans="6:8" x14ac:dyDescent="0.3">
      <c r="F1058"/>
      <c r="G1058" s="81"/>
      <c r="H1058"/>
    </row>
    <row r="1059" spans="6:8" x14ac:dyDescent="0.3">
      <c r="F1059"/>
      <c r="G1059" s="81"/>
      <c r="H1059"/>
    </row>
    <row r="1060" spans="6:8" x14ac:dyDescent="0.3">
      <c r="F1060"/>
      <c r="G1060" s="81"/>
      <c r="H1060"/>
    </row>
    <row r="1061" spans="6:8" x14ac:dyDescent="0.3">
      <c r="F1061"/>
      <c r="G1061" s="81"/>
      <c r="H1061"/>
    </row>
    <row r="1062" spans="6:8" x14ac:dyDescent="0.3">
      <c r="F1062"/>
      <c r="G1062" s="81"/>
      <c r="H1062"/>
    </row>
    <row r="1063" spans="6:8" x14ac:dyDescent="0.3">
      <c r="F1063"/>
      <c r="G1063" s="81"/>
      <c r="H1063"/>
    </row>
    <row r="1064" spans="6:8" x14ac:dyDescent="0.3">
      <c r="F1064"/>
      <c r="G1064" s="81"/>
      <c r="H1064"/>
    </row>
    <row r="1065" spans="6:8" x14ac:dyDescent="0.3">
      <c r="F1065"/>
      <c r="G1065" s="81"/>
      <c r="H1065"/>
    </row>
    <row r="1066" spans="6:8" x14ac:dyDescent="0.3">
      <c r="F1066"/>
      <c r="G1066" s="81"/>
      <c r="H1066"/>
    </row>
    <row r="1067" spans="6:8" x14ac:dyDescent="0.3">
      <c r="F1067"/>
      <c r="G1067" s="81"/>
      <c r="H1067"/>
    </row>
    <row r="1068" spans="6:8" x14ac:dyDescent="0.3">
      <c r="F1068"/>
      <c r="G1068" s="81"/>
      <c r="H1068"/>
    </row>
    <row r="1069" spans="6:8" x14ac:dyDescent="0.3">
      <c r="F1069"/>
      <c r="G1069" s="81"/>
      <c r="H1069"/>
    </row>
    <row r="1070" spans="6:8" x14ac:dyDescent="0.3">
      <c r="F1070"/>
      <c r="G1070" s="81"/>
      <c r="H1070"/>
    </row>
    <row r="1071" spans="6:8" x14ac:dyDescent="0.3">
      <c r="F1071"/>
      <c r="G1071" s="81"/>
      <c r="H1071"/>
    </row>
    <row r="1072" spans="6:8" x14ac:dyDescent="0.3">
      <c r="F1072"/>
      <c r="G1072" s="81"/>
      <c r="H1072"/>
    </row>
    <row r="1073" spans="6:8" x14ac:dyDescent="0.3">
      <c r="F1073"/>
      <c r="G1073" s="81"/>
      <c r="H1073"/>
    </row>
    <row r="1074" spans="6:8" x14ac:dyDescent="0.3">
      <c r="F1074"/>
      <c r="G1074" s="81"/>
      <c r="H1074"/>
    </row>
    <row r="1075" spans="6:8" x14ac:dyDescent="0.3">
      <c r="F1075"/>
      <c r="G1075" s="81"/>
      <c r="H1075"/>
    </row>
    <row r="1076" spans="6:8" x14ac:dyDescent="0.3">
      <c r="F1076"/>
      <c r="G1076" s="81"/>
      <c r="H1076"/>
    </row>
    <row r="1077" spans="6:8" x14ac:dyDescent="0.3">
      <c r="F1077"/>
      <c r="G1077" s="81"/>
      <c r="H1077"/>
    </row>
    <row r="1078" spans="6:8" x14ac:dyDescent="0.3">
      <c r="F1078"/>
      <c r="G1078" s="81"/>
      <c r="H1078"/>
    </row>
    <row r="1079" spans="6:8" x14ac:dyDescent="0.3">
      <c r="F1079"/>
      <c r="G1079" s="81"/>
      <c r="H1079"/>
    </row>
    <row r="1080" spans="6:8" x14ac:dyDescent="0.3">
      <c r="F1080"/>
      <c r="G1080" s="81"/>
      <c r="H1080"/>
    </row>
    <row r="1081" spans="6:8" x14ac:dyDescent="0.3">
      <c r="F1081"/>
      <c r="G1081" s="81"/>
      <c r="H1081"/>
    </row>
    <row r="1082" spans="6:8" x14ac:dyDescent="0.3">
      <c r="F1082"/>
      <c r="G1082" s="81"/>
      <c r="H1082"/>
    </row>
    <row r="1083" spans="6:8" x14ac:dyDescent="0.3">
      <c r="F1083"/>
      <c r="G1083" s="81"/>
      <c r="H1083"/>
    </row>
    <row r="1084" spans="6:8" x14ac:dyDescent="0.3">
      <c r="F1084"/>
      <c r="G1084" s="81"/>
      <c r="H1084"/>
    </row>
    <row r="1085" spans="6:8" x14ac:dyDescent="0.3">
      <c r="F1085"/>
      <c r="G1085" s="81"/>
      <c r="H1085"/>
    </row>
  </sheetData>
  <autoFilter ref="A1:A1085" xr:uid="{C0D15605-0434-466F-82B6-7633954CAE33}"/>
  <mergeCells count="2">
    <mergeCell ref="A1:C1"/>
    <mergeCell ref="F1:H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A97E-3235-4F04-9672-C22EEF20D192}">
  <dimension ref="A1:I1085"/>
  <sheetViews>
    <sheetView workbookViewId="0">
      <selection activeCell="F2" sqref="F1:I1048576"/>
    </sheetView>
  </sheetViews>
  <sheetFormatPr baseColWidth="10" defaultRowHeight="14.4" x14ac:dyDescent="0.3"/>
  <cols>
    <col min="3" max="3" width="14.33203125" customWidth="1"/>
    <col min="6" max="6" width="11.5546875" style="121"/>
    <col min="7" max="7" width="11.5546875" style="85"/>
    <col min="8" max="8" width="22.21875" style="121" customWidth="1"/>
  </cols>
  <sheetData>
    <row r="1" spans="1:9" x14ac:dyDescent="0.3">
      <c r="A1" s="492" t="s">
        <v>18</v>
      </c>
      <c r="B1" s="493"/>
      <c r="C1" s="494"/>
      <c r="F1" s="529" t="s">
        <v>18</v>
      </c>
      <c r="G1" s="531"/>
      <c r="H1" s="531"/>
    </row>
    <row r="2" spans="1:9" ht="28.8" x14ac:dyDescent="0.3">
      <c r="A2" s="7" t="s">
        <v>1</v>
      </c>
      <c r="B2" s="7" t="s">
        <v>2</v>
      </c>
      <c r="C2" s="7" t="s">
        <v>3</v>
      </c>
      <c r="F2" s="95" t="s">
        <v>1</v>
      </c>
      <c r="G2" s="97" t="s">
        <v>2</v>
      </c>
      <c r="H2" s="97" t="s">
        <v>3</v>
      </c>
    </row>
    <row r="3" spans="1:9" x14ac:dyDescent="0.3">
      <c r="A3" s="9">
        <v>38364</v>
      </c>
      <c r="B3" s="10">
        <v>10.8</v>
      </c>
      <c r="C3" s="10">
        <v>130.58000000000001</v>
      </c>
      <c r="F3" s="84">
        <v>40330</v>
      </c>
      <c r="G3" s="1">
        <v>13</v>
      </c>
      <c r="H3" s="1">
        <v>128.38</v>
      </c>
      <c r="I3">
        <f>G3+H3</f>
        <v>141.38</v>
      </c>
    </row>
    <row r="4" spans="1:9" x14ac:dyDescent="0.3">
      <c r="A4" s="9">
        <v>38378</v>
      </c>
      <c r="B4" s="10">
        <v>10.94</v>
      </c>
      <c r="C4" s="10">
        <v>130.44</v>
      </c>
      <c r="F4" s="84">
        <v>40513</v>
      </c>
      <c r="G4" s="72">
        <v>11.6</v>
      </c>
      <c r="H4" s="72">
        <f>141.38-G4</f>
        <v>129.78</v>
      </c>
      <c r="I4">
        <f t="shared" ref="I4:I34" si="0">G4+H4</f>
        <v>141.38</v>
      </c>
    </row>
    <row r="5" spans="1:9" x14ac:dyDescent="0.3">
      <c r="A5" s="9">
        <v>38442</v>
      </c>
      <c r="B5" s="10">
        <v>11.16</v>
      </c>
      <c r="C5" s="10">
        <v>130.22</v>
      </c>
      <c r="F5" s="84">
        <v>40695</v>
      </c>
      <c r="G5" s="1">
        <v>10.43</v>
      </c>
      <c r="H5" s="1">
        <v>130.94999999999999</v>
      </c>
      <c r="I5">
        <f t="shared" si="0"/>
        <v>141.38</v>
      </c>
    </row>
    <row r="6" spans="1:9" x14ac:dyDescent="0.3">
      <c r="A6" s="9">
        <v>38446</v>
      </c>
      <c r="B6" s="10">
        <v>11.03</v>
      </c>
      <c r="C6" s="10">
        <v>130.35</v>
      </c>
      <c r="F6" s="84">
        <v>40878</v>
      </c>
      <c r="G6" s="72">
        <v>10.55</v>
      </c>
      <c r="H6" s="72">
        <f>141.38-G6</f>
        <v>130.82999999999998</v>
      </c>
      <c r="I6">
        <f t="shared" si="0"/>
        <v>141.38</v>
      </c>
    </row>
    <row r="7" spans="1:9" x14ac:dyDescent="0.3">
      <c r="A7" s="9">
        <v>38453</v>
      </c>
      <c r="B7" s="10">
        <v>11.06</v>
      </c>
      <c r="C7" s="10">
        <v>130.32</v>
      </c>
      <c r="F7" s="84">
        <v>41061</v>
      </c>
      <c r="G7" s="1">
        <v>11</v>
      </c>
      <c r="H7" s="1">
        <v>130.38</v>
      </c>
      <c r="I7">
        <f t="shared" si="0"/>
        <v>141.38</v>
      </c>
    </row>
    <row r="8" spans="1:9" x14ac:dyDescent="0.3">
      <c r="A8" s="9">
        <v>38462</v>
      </c>
      <c r="B8" s="10">
        <v>11.28</v>
      </c>
      <c r="C8" s="10">
        <v>130.1</v>
      </c>
      <c r="F8" s="84">
        <v>41244</v>
      </c>
      <c r="G8" s="4">
        <v>10.94</v>
      </c>
      <c r="H8" s="1">
        <v>130.44</v>
      </c>
      <c r="I8">
        <f t="shared" si="0"/>
        <v>141.38</v>
      </c>
    </row>
    <row r="9" spans="1:9" x14ac:dyDescent="0.3">
      <c r="A9" s="9">
        <v>38467</v>
      </c>
      <c r="B9" s="10">
        <v>11.4</v>
      </c>
      <c r="C9" s="10">
        <v>129.97999999999999</v>
      </c>
      <c r="F9" s="84">
        <v>41426</v>
      </c>
      <c r="G9" s="1">
        <v>11.56</v>
      </c>
      <c r="H9" s="1">
        <v>129.82</v>
      </c>
      <c r="I9">
        <f t="shared" si="0"/>
        <v>141.38</v>
      </c>
    </row>
    <row r="10" spans="1:9" x14ac:dyDescent="0.3">
      <c r="A10" s="9">
        <v>38474</v>
      </c>
      <c r="B10" s="10">
        <v>11.32</v>
      </c>
      <c r="C10" s="10">
        <v>130.06</v>
      </c>
      <c r="F10" s="84">
        <v>41609</v>
      </c>
      <c r="G10" s="1">
        <v>11.37</v>
      </c>
      <c r="H10" s="1">
        <v>130.01</v>
      </c>
      <c r="I10">
        <f t="shared" si="0"/>
        <v>141.38</v>
      </c>
    </row>
    <row r="11" spans="1:9" x14ac:dyDescent="0.3">
      <c r="A11" s="9">
        <v>38524</v>
      </c>
      <c r="B11" s="10">
        <v>11.4</v>
      </c>
      <c r="C11" s="10">
        <v>129.97999999999999</v>
      </c>
      <c r="F11" s="84">
        <v>41791</v>
      </c>
      <c r="G11" s="1">
        <v>11.32</v>
      </c>
      <c r="H11" s="1">
        <v>130.06</v>
      </c>
      <c r="I11">
        <f t="shared" si="0"/>
        <v>141.38</v>
      </c>
    </row>
    <row r="12" spans="1:9" x14ac:dyDescent="0.3">
      <c r="A12" s="9">
        <v>38538</v>
      </c>
      <c r="B12" s="10">
        <v>11.2</v>
      </c>
      <c r="C12" s="10">
        <v>130.18</v>
      </c>
      <c r="F12" s="84">
        <v>41974</v>
      </c>
      <c r="G12" s="1">
        <v>11.22</v>
      </c>
      <c r="H12" s="1">
        <v>130.16</v>
      </c>
      <c r="I12">
        <f t="shared" si="0"/>
        <v>141.38</v>
      </c>
    </row>
    <row r="13" spans="1:9" x14ac:dyDescent="0.3">
      <c r="A13" s="9">
        <v>38596</v>
      </c>
      <c r="B13" s="10">
        <v>11.36</v>
      </c>
      <c r="C13" s="10">
        <v>130.02000000000001</v>
      </c>
      <c r="F13" s="84">
        <v>42156</v>
      </c>
      <c r="G13" s="76">
        <v>12.02</v>
      </c>
      <c r="H13" s="72">
        <f>141.38-G13</f>
        <v>129.35999999999999</v>
      </c>
      <c r="I13">
        <f t="shared" si="0"/>
        <v>141.38</v>
      </c>
    </row>
    <row r="14" spans="1:9" x14ac:dyDescent="0.3">
      <c r="A14" s="9">
        <v>38592</v>
      </c>
      <c r="B14" s="10">
        <v>11.41</v>
      </c>
      <c r="C14" s="10">
        <v>129.97</v>
      </c>
      <c r="F14" s="84">
        <v>42339</v>
      </c>
      <c r="G14" s="76">
        <v>12.59</v>
      </c>
      <c r="H14" s="72">
        <f>141.38-G14</f>
        <v>128.79</v>
      </c>
      <c r="I14">
        <f t="shared" si="0"/>
        <v>141.38</v>
      </c>
    </row>
    <row r="15" spans="1:9" x14ac:dyDescent="0.3">
      <c r="A15" s="9">
        <v>38629</v>
      </c>
      <c r="B15" s="10">
        <v>11.35</v>
      </c>
      <c r="C15" s="10">
        <v>130.03</v>
      </c>
      <c r="F15" s="84">
        <v>42522</v>
      </c>
      <c r="G15" s="1">
        <v>13.39</v>
      </c>
      <c r="H15" s="1">
        <v>127.99</v>
      </c>
      <c r="I15">
        <f t="shared" si="0"/>
        <v>141.38</v>
      </c>
    </row>
    <row r="16" spans="1:9" x14ac:dyDescent="0.3">
      <c r="A16" s="9">
        <v>38653</v>
      </c>
      <c r="B16" s="10">
        <v>11.04</v>
      </c>
      <c r="C16" s="10">
        <v>130.34</v>
      </c>
      <c r="F16" s="84">
        <v>42705</v>
      </c>
      <c r="G16" s="76">
        <v>13.36</v>
      </c>
      <c r="H16" s="72">
        <f t="shared" ref="H16:H34" si="1">141.38-G16</f>
        <v>128.01999999999998</v>
      </c>
      <c r="I16">
        <f t="shared" si="0"/>
        <v>141.38</v>
      </c>
    </row>
    <row r="17" spans="1:9" x14ac:dyDescent="0.3">
      <c r="A17" s="9">
        <v>38665</v>
      </c>
      <c r="B17" s="10">
        <v>11.27</v>
      </c>
      <c r="C17" s="10">
        <v>130.11000000000001</v>
      </c>
      <c r="F17" s="84">
        <v>42887</v>
      </c>
      <c r="G17" s="76">
        <v>13.57</v>
      </c>
      <c r="H17" s="72">
        <f t="shared" si="1"/>
        <v>127.81</v>
      </c>
      <c r="I17">
        <f t="shared" si="0"/>
        <v>141.38</v>
      </c>
    </row>
    <row r="18" spans="1:9" x14ac:dyDescent="0.3">
      <c r="A18" s="9">
        <v>38687</v>
      </c>
      <c r="B18" s="10">
        <v>11.3</v>
      </c>
      <c r="C18" s="10">
        <v>130.08000000000001</v>
      </c>
      <c r="F18" s="84">
        <v>43070</v>
      </c>
      <c r="G18" s="76">
        <v>13.54</v>
      </c>
      <c r="H18" s="72">
        <f t="shared" si="1"/>
        <v>127.84</v>
      </c>
      <c r="I18">
        <f t="shared" si="0"/>
        <v>141.38</v>
      </c>
    </row>
    <row r="19" spans="1:9" x14ac:dyDescent="0.3">
      <c r="A19" s="9">
        <v>38740</v>
      </c>
      <c r="B19" s="10">
        <v>11.3</v>
      </c>
      <c r="C19" s="10">
        <v>130.08000000000001</v>
      </c>
      <c r="F19" s="84">
        <v>43252</v>
      </c>
      <c r="G19" s="76">
        <v>13.75</v>
      </c>
      <c r="H19" s="72">
        <f t="shared" si="1"/>
        <v>127.63</v>
      </c>
      <c r="I19">
        <f t="shared" si="0"/>
        <v>141.38</v>
      </c>
    </row>
    <row r="20" spans="1:9" x14ac:dyDescent="0.3">
      <c r="A20" s="9">
        <v>38825</v>
      </c>
      <c r="B20" s="10">
        <v>10.29</v>
      </c>
      <c r="C20" s="10">
        <v>131.09</v>
      </c>
      <c r="F20" s="84">
        <v>43435</v>
      </c>
      <c r="G20" s="76">
        <v>13.72</v>
      </c>
      <c r="H20" s="72">
        <f t="shared" si="1"/>
        <v>127.66</v>
      </c>
      <c r="I20">
        <f t="shared" si="0"/>
        <v>141.38</v>
      </c>
    </row>
    <row r="21" spans="1:9" x14ac:dyDescent="0.3">
      <c r="A21" s="9">
        <v>38833</v>
      </c>
      <c r="B21" s="10">
        <v>10.19</v>
      </c>
      <c r="C21" s="10">
        <v>131.19</v>
      </c>
      <c r="F21" s="84">
        <v>43617</v>
      </c>
      <c r="G21" s="72">
        <v>13.91</v>
      </c>
      <c r="H21" s="72">
        <f t="shared" si="1"/>
        <v>127.47</v>
      </c>
      <c r="I21">
        <f t="shared" si="0"/>
        <v>141.38</v>
      </c>
    </row>
    <row r="22" spans="1:9" x14ac:dyDescent="0.3">
      <c r="A22" s="9">
        <v>38844</v>
      </c>
      <c r="B22" s="10">
        <v>11.08</v>
      </c>
      <c r="C22" s="10">
        <v>130.30000000000001</v>
      </c>
      <c r="F22" s="84">
        <v>43800</v>
      </c>
      <c r="G22" s="76">
        <v>13.99</v>
      </c>
      <c r="H22" s="72">
        <f t="shared" si="1"/>
        <v>127.39</v>
      </c>
      <c r="I22">
        <f t="shared" si="0"/>
        <v>141.38</v>
      </c>
    </row>
    <row r="23" spans="1:9" x14ac:dyDescent="0.3">
      <c r="A23" s="9">
        <v>38849</v>
      </c>
      <c r="B23" s="10">
        <v>10.51</v>
      </c>
      <c r="C23" s="10">
        <v>130.87</v>
      </c>
      <c r="F23" s="84">
        <v>43983</v>
      </c>
      <c r="G23" s="96">
        <v>14.11</v>
      </c>
      <c r="H23" s="72">
        <f t="shared" si="1"/>
        <v>127.27</v>
      </c>
      <c r="I23">
        <f t="shared" si="0"/>
        <v>141.38</v>
      </c>
    </row>
    <row r="24" spans="1:9" x14ac:dyDescent="0.3">
      <c r="A24" s="9">
        <v>38909</v>
      </c>
      <c r="B24" s="10">
        <v>11.03</v>
      </c>
      <c r="C24" s="10">
        <v>130.35</v>
      </c>
      <c r="F24" s="84">
        <v>44166</v>
      </c>
      <c r="G24" s="11">
        <v>14.07</v>
      </c>
      <c r="H24" s="72">
        <f t="shared" si="1"/>
        <v>127.31</v>
      </c>
      <c r="I24">
        <f t="shared" si="0"/>
        <v>141.38</v>
      </c>
    </row>
    <row r="25" spans="1:9" x14ac:dyDescent="0.3">
      <c r="A25" s="9">
        <v>38960</v>
      </c>
      <c r="B25" s="10">
        <v>11.27</v>
      </c>
      <c r="C25" s="10">
        <v>130.11000000000001</v>
      </c>
      <c r="F25" s="84">
        <v>44348</v>
      </c>
      <c r="G25" s="11">
        <v>14.28</v>
      </c>
      <c r="H25" s="72">
        <f t="shared" si="1"/>
        <v>127.1</v>
      </c>
      <c r="I25">
        <f t="shared" si="0"/>
        <v>141.38</v>
      </c>
    </row>
    <row r="26" spans="1:9" x14ac:dyDescent="0.3">
      <c r="A26" s="9">
        <v>38999</v>
      </c>
      <c r="B26" s="10">
        <v>11.13</v>
      </c>
      <c r="C26" s="10">
        <v>130.25</v>
      </c>
      <c r="F26" s="84">
        <v>44531</v>
      </c>
      <c r="G26" s="76">
        <v>14.25</v>
      </c>
      <c r="H26" s="72">
        <f t="shared" si="1"/>
        <v>127.13</v>
      </c>
      <c r="I26">
        <f t="shared" si="0"/>
        <v>141.38</v>
      </c>
    </row>
    <row r="27" spans="1:9" x14ac:dyDescent="0.3">
      <c r="A27" s="9">
        <v>39107</v>
      </c>
      <c r="B27" s="10">
        <v>11.21</v>
      </c>
      <c r="C27" s="10">
        <v>130.16999999999999</v>
      </c>
      <c r="F27" s="84">
        <v>44713</v>
      </c>
      <c r="G27" s="93">
        <v>14.46</v>
      </c>
      <c r="H27" s="72">
        <f t="shared" si="1"/>
        <v>126.91999999999999</v>
      </c>
      <c r="I27">
        <f t="shared" si="0"/>
        <v>141.38</v>
      </c>
    </row>
    <row r="28" spans="1:9" x14ac:dyDescent="0.3">
      <c r="A28" s="9">
        <v>39213</v>
      </c>
      <c r="B28" s="10">
        <v>11.41</v>
      </c>
      <c r="C28" s="10">
        <v>129.97</v>
      </c>
      <c r="F28" s="84">
        <v>44896</v>
      </c>
      <c r="G28" s="126">
        <v>14.44</v>
      </c>
      <c r="H28" s="72">
        <f t="shared" si="1"/>
        <v>126.94</v>
      </c>
      <c r="I28">
        <f t="shared" si="0"/>
        <v>141.38</v>
      </c>
    </row>
    <row r="29" spans="1:9" x14ac:dyDescent="0.3">
      <c r="A29" s="9">
        <v>39939</v>
      </c>
      <c r="B29" s="10">
        <v>11.34</v>
      </c>
      <c r="C29" s="10">
        <v>130.04</v>
      </c>
      <c r="F29" s="84">
        <v>45078</v>
      </c>
      <c r="G29" s="111">
        <v>14.63</v>
      </c>
      <c r="H29" s="72">
        <f t="shared" si="1"/>
        <v>126.75</v>
      </c>
      <c r="I29">
        <f t="shared" si="0"/>
        <v>141.38</v>
      </c>
    </row>
    <row r="30" spans="1:9" x14ac:dyDescent="0.3">
      <c r="A30" s="9">
        <v>40049</v>
      </c>
      <c r="B30" s="10">
        <v>11.47</v>
      </c>
      <c r="C30" s="10">
        <v>129.91</v>
      </c>
      <c r="F30" s="84">
        <v>45261</v>
      </c>
      <c r="G30" s="124">
        <v>14.6</v>
      </c>
      <c r="H30" s="72">
        <f t="shared" si="1"/>
        <v>126.78</v>
      </c>
      <c r="I30">
        <f t="shared" si="0"/>
        <v>141.38</v>
      </c>
    </row>
    <row r="31" spans="1:9" x14ac:dyDescent="0.3">
      <c r="A31" s="9">
        <v>40099</v>
      </c>
      <c r="B31" s="10">
        <v>12.53</v>
      </c>
      <c r="C31" s="10">
        <v>128.85</v>
      </c>
      <c r="F31" s="84">
        <v>45444</v>
      </c>
      <c r="G31" s="111">
        <v>14.82</v>
      </c>
      <c r="H31" s="72">
        <f t="shared" si="1"/>
        <v>126.56</v>
      </c>
      <c r="I31">
        <f t="shared" si="0"/>
        <v>141.38</v>
      </c>
    </row>
    <row r="32" spans="1:9" x14ac:dyDescent="0.3">
      <c r="A32" s="9">
        <v>40190</v>
      </c>
      <c r="B32" s="10">
        <v>11.7</v>
      </c>
      <c r="C32" s="10">
        <v>129.68</v>
      </c>
      <c r="F32" s="84">
        <v>45627</v>
      </c>
      <c r="G32" s="93">
        <v>14.79</v>
      </c>
      <c r="H32" s="72">
        <f t="shared" si="1"/>
        <v>126.59</v>
      </c>
      <c r="I32">
        <f t="shared" si="0"/>
        <v>141.38</v>
      </c>
    </row>
    <row r="33" spans="1:9" x14ac:dyDescent="0.3">
      <c r="A33" s="9">
        <v>40238</v>
      </c>
      <c r="B33" s="10">
        <v>13</v>
      </c>
      <c r="C33" s="10">
        <v>128.38</v>
      </c>
      <c r="F33" s="84">
        <v>45809</v>
      </c>
      <c r="G33" s="96">
        <v>15.03</v>
      </c>
      <c r="H33" s="72">
        <f t="shared" si="1"/>
        <v>126.35</v>
      </c>
      <c r="I33">
        <f t="shared" si="0"/>
        <v>141.38</v>
      </c>
    </row>
    <row r="34" spans="1:9" x14ac:dyDescent="0.3">
      <c r="A34" s="9">
        <v>40777</v>
      </c>
      <c r="B34" s="10">
        <v>10.43</v>
      </c>
      <c r="C34" s="10">
        <v>130.94999999999999</v>
      </c>
      <c r="F34" s="84">
        <v>45992</v>
      </c>
      <c r="G34" s="111">
        <v>15.34</v>
      </c>
      <c r="H34" s="72">
        <f t="shared" si="1"/>
        <v>126.03999999999999</v>
      </c>
      <c r="I34">
        <f t="shared" si="0"/>
        <v>141.38</v>
      </c>
    </row>
    <row r="35" spans="1:9" x14ac:dyDescent="0.3">
      <c r="A35" s="9">
        <v>41025</v>
      </c>
      <c r="B35" s="10">
        <v>11</v>
      </c>
      <c r="C35" s="10">
        <v>130.38</v>
      </c>
      <c r="F35"/>
      <c r="G35" s="81"/>
      <c r="H35"/>
    </row>
    <row r="36" spans="1:9" x14ac:dyDescent="0.3">
      <c r="A36" s="9">
        <v>41235</v>
      </c>
      <c r="B36" s="11">
        <v>10.94</v>
      </c>
      <c r="C36" s="10">
        <v>130.44</v>
      </c>
      <c r="F36"/>
      <c r="G36" s="81"/>
      <c r="H36"/>
    </row>
    <row r="37" spans="1:9" x14ac:dyDescent="0.3">
      <c r="A37" s="9">
        <v>41278</v>
      </c>
      <c r="B37" s="10">
        <v>11.16</v>
      </c>
      <c r="C37" s="10">
        <v>130.22</v>
      </c>
      <c r="F37"/>
      <c r="G37" s="81"/>
      <c r="H37"/>
    </row>
    <row r="38" spans="1:9" x14ac:dyDescent="0.3">
      <c r="A38" s="9">
        <v>41401</v>
      </c>
      <c r="B38" s="10">
        <v>11.61</v>
      </c>
      <c r="C38" s="10">
        <v>129.77000000000001</v>
      </c>
      <c r="F38" s="115"/>
      <c r="G38" s="81"/>
      <c r="H38"/>
    </row>
    <row r="39" spans="1:9" x14ac:dyDescent="0.3">
      <c r="A39" s="9">
        <v>41438</v>
      </c>
      <c r="B39" s="10">
        <v>11.56</v>
      </c>
      <c r="C39" s="10">
        <v>129.82</v>
      </c>
      <c r="F39" s="115"/>
      <c r="G39" s="81"/>
      <c r="H39"/>
    </row>
    <row r="40" spans="1:9" x14ac:dyDescent="0.3">
      <c r="A40" s="9">
        <v>41471</v>
      </c>
      <c r="B40" s="10">
        <v>11.52</v>
      </c>
      <c r="C40" s="10">
        <v>129.86000000000001</v>
      </c>
      <c r="F40" s="115"/>
      <c r="G40" s="81"/>
      <c r="H40"/>
    </row>
    <row r="41" spans="1:9" x14ac:dyDescent="0.3">
      <c r="A41" s="9">
        <v>41506</v>
      </c>
      <c r="B41" s="10">
        <v>11.4</v>
      </c>
      <c r="C41" s="10">
        <v>129.97999999999999</v>
      </c>
      <c r="F41"/>
      <c r="G41" s="81"/>
      <c r="H41"/>
    </row>
    <row r="42" spans="1:9" x14ac:dyDescent="0.3">
      <c r="A42" s="9">
        <v>41617</v>
      </c>
      <c r="B42" s="10">
        <v>11.37</v>
      </c>
      <c r="C42" s="10">
        <v>130.01</v>
      </c>
      <c r="F42"/>
      <c r="G42" s="81"/>
      <c r="H42"/>
    </row>
    <row r="43" spans="1:9" x14ac:dyDescent="0.3">
      <c r="A43" s="9">
        <v>41683</v>
      </c>
      <c r="B43" s="10">
        <v>11.25</v>
      </c>
      <c r="C43" s="10">
        <v>130.13</v>
      </c>
      <c r="F43"/>
      <c r="G43" s="81"/>
      <c r="H43"/>
    </row>
    <row r="44" spans="1:9" x14ac:dyDescent="0.3">
      <c r="A44" s="9">
        <v>41764</v>
      </c>
      <c r="B44" s="10">
        <v>11.32</v>
      </c>
      <c r="C44" s="10">
        <v>130.06</v>
      </c>
      <c r="F44"/>
      <c r="G44" s="81"/>
      <c r="H44"/>
    </row>
    <row r="45" spans="1:9" x14ac:dyDescent="0.3">
      <c r="A45" s="9">
        <v>41976</v>
      </c>
      <c r="B45" s="10">
        <v>11.22</v>
      </c>
      <c r="C45" s="10">
        <v>130.16</v>
      </c>
      <c r="F45"/>
      <c r="G45" s="81"/>
      <c r="H45"/>
    </row>
    <row r="46" spans="1:9" x14ac:dyDescent="0.3">
      <c r="A46" s="9">
        <v>42471</v>
      </c>
      <c r="B46" s="10">
        <v>13.39</v>
      </c>
      <c r="C46" s="10">
        <v>127.99</v>
      </c>
      <c r="F46"/>
      <c r="G46" s="81"/>
      <c r="H46"/>
    </row>
    <row r="47" spans="1:9" x14ac:dyDescent="0.3">
      <c r="F47"/>
      <c r="G47" s="81"/>
      <c r="H47"/>
    </row>
    <row r="48" spans="1:9" x14ac:dyDescent="0.3">
      <c r="F48"/>
      <c r="G48" s="81"/>
      <c r="H48"/>
    </row>
    <row r="49" spans="6:8" x14ac:dyDescent="0.3">
      <c r="F49"/>
      <c r="G49" s="81"/>
      <c r="H49"/>
    </row>
    <row r="50" spans="6:8" x14ac:dyDescent="0.3">
      <c r="F50"/>
      <c r="G50" s="81"/>
      <c r="H50"/>
    </row>
    <row r="51" spans="6:8" x14ac:dyDescent="0.3">
      <c r="F51"/>
      <c r="G51" s="81"/>
      <c r="H51"/>
    </row>
    <row r="52" spans="6:8" x14ac:dyDescent="0.3">
      <c r="F52"/>
      <c r="G52" s="81"/>
      <c r="H52"/>
    </row>
    <row r="53" spans="6:8" x14ac:dyDescent="0.3">
      <c r="F53"/>
      <c r="G53" s="81"/>
      <c r="H53"/>
    </row>
    <row r="54" spans="6:8" x14ac:dyDescent="0.3">
      <c r="F54"/>
      <c r="G54" s="81"/>
      <c r="H54"/>
    </row>
    <row r="55" spans="6:8" x14ac:dyDescent="0.3">
      <c r="F55"/>
      <c r="G55" s="81"/>
      <c r="H55"/>
    </row>
    <row r="56" spans="6:8" x14ac:dyDescent="0.3">
      <c r="F56"/>
      <c r="G56" s="81"/>
      <c r="H56"/>
    </row>
    <row r="57" spans="6:8" x14ac:dyDescent="0.3">
      <c r="F57"/>
      <c r="G57" s="81"/>
      <c r="H57"/>
    </row>
    <row r="58" spans="6:8" x14ac:dyDescent="0.3">
      <c r="F58"/>
      <c r="G58" s="81"/>
      <c r="H58"/>
    </row>
    <row r="59" spans="6:8" x14ac:dyDescent="0.3">
      <c r="F59"/>
      <c r="G59" s="81"/>
      <c r="H59"/>
    </row>
    <row r="60" spans="6:8" x14ac:dyDescent="0.3">
      <c r="F60"/>
      <c r="G60" s="81"/>
      <c r="H60"/>
    </row>
    <row r="61" spans="6:8" x14ac:dyDescent="0.3">
      <c r="F61"/>
      <c r="G61" s="81"/>
      <c r="H61"/>
    </row>
    <row r="62" spans="6:8" x14ac:dyDescent="0.3">
      <c r="F62"/>
      <c r="G62" s="81"/>
      <c r="H62"/>
    </row>
    <row r="63" spans="6:8" x14ac:dyDescent="0.3">
      <c r="F63"/>
      <c r="G63" s="81"/>
      <c r="H63"/>
    </row>
    <row r="64" spans="6:8" x14ac:dyDescent="0.3">
      <c r="F64"/>
      <c r="G64" s="81"/>
      <c r="H64"/>
    </row>
    <row r="65" spans="6:8" x14ac:dyDescent="0.3">
      <c r="F65"/>
      <c r="G65" s="81"/>
      <c r="H65"/>
    </row>
    <row r="66" spans="6:8" x14ac:dyDescent="0.3">
      <c r="F66"/>
      <c r="G66" s="81"/>
      <c r="H66"/>
    </row>
    <row r="67" spans="6:8" x14ac:dyDescent="0.3">
      <c r="F67"/>
      <c r="G67" s="81"/>
      <c r="H67"/>
    </row>
    <row r="68" spans="6:8" x14ac:dyDescent="0.3">
      <c r="F68"/>
      <c r="G68" s="81"/>
      <c r="H68"/>
    </row>
    <row r="69" spans="6:8" x14ac:dyDescent="0.3">
      <c r="F69"/>
      <c r="G69" s="81"/>
      <c r="H69"/>
    </row>
    <row r="70" spans="6:8" x14ac:dyDescent="0.3">
      <c r="F70"/>
      <c r="G70" s="81"/>
      <c r="H70"/>
    </row>
    <row r="71" spans="6:8" x14ac:dyDescent="0.3">
      <c r="F71"/>
      <c r="G71" s="81"/>
      <c r="H71"/>
    </row>
    <row r="72" spans="6:8" x14ac:dyDescent="0.3">
      <c r="F72"/>
      <c r="G72" s="81"/>
      <c r="H72"/>
    </row>
    <row r="73" spans="6:8" x14ac:dyDescent="0.3">
      <c r="F73"/>
      <c r="G73" s="81"/>
      <c r="H73"/>
    </row>
    <row r="74" spans="6:8" x14ac:dyDescent="0.3">
      <c r="F74"/>
      <c r="G74" s="81"/>
      <c r="H74"/>
    </row>
    <row r="75" spans="6:8" x14ac:dyDescent="0.3">
      <c r="F75"/>
      <c r="G75" s="81"/>
      <c r="H75"/>
    </row>
    <row r="76" spans="6:8" x14ac:dyDescent="0.3">
      <c r="F76"/>
      <c r="G76" s="81"/>
      <c r="H76"/>
    </row>
    <row r="77" spans="6:8" x14ac:dyDescent="0.3">
      <c r="F77"/>
      <c r="G77" s="81"/>
      <c r="H77"/>
    </row>
    <row r="78" spans="6:8" x14ac:dyDescent="0.3">
      <c r="F78"/>
      <c r="G78" s="81"/>
      <c r="H78"/>
    </row>
    <row r="79" spans="6:8" x14ac:dyDescent="0.3">
      <c r="F79"/>
      <c r="G79" s="81"/>
      <c r="H79"/>
    </row>
    <row r="80" spans="6:8" x14ac:dyDescent="0.3">
      <c r="F80"/>
      <c r="G80" s="81"/>
      <c r="H80"/>
    </row>
    <row r="81" spans="6:8" x14ac:dyDescent="0.3">
      <c r="F81"/>
      <c r="G81" s="81"/>
      <c r="H81"/>
    </row>
    <row r="82" spans="6:8" x14ac:dyDescent="0.3">
      <c r="F82"/>
      <c r="G82" s="81"/>
      <c r="H82"/>
    </row>
    <row r="83" spans="6:8" x14ac:dyDescent="0.3">
      <c r="F83"/>
      <c r="G83" s="81"/>
      <c r="H83"/>
    </row>
    <row r="84" spans="6:8" x14ac:dyDescent="0.3">
      <c r="F84"/>
      <c r="G84" s="81"/>
      <c r="H84"/>
    </row>
    <row r="85" spans="6:8" x14ac:dyDescent="0.3">
      <c r="F85"/>
      <c r="G85" s="81"/>
      <c r="H85"/>
    </row>
    <row r="86" spans="6:8" x14ac:dyDescent="0.3">
      <c r="F86"/>
      <c r="G86" s="81"/>
      <c r="H86"/>
    </row>
    <row r="87" spans="6:8" x14ac:dyDescent="0.3">
      <c r="F87"/>
      <c r="G87" s="81"/>
      <c r="H87"/>
    </row>
    <row r="88" spans="6:8" x14ac:dyDescent="0.3">
      <c r="F88"/>
      <c r="G88" s="81"/>
      <c r="H88"/>
    </row>
    <row r="89" spans="6:8" x14ac:dyDescent="0.3">
      <c r="F89"/>
      <c r="G89" s="81"/>
      <c r="H89"/>
    </row>
    <row r="90" spans="6:8" x14ac:dyDescent="0.3">
      <c r="F90"/>
      <c r="G90" s="81"/>
      <c r="H90"/>
    </row>
    <row r="91" spans="6:8" x14ac:dyDescent="0.3">
      <c r="F91"/>
      <c r="G91" s="81"/>
      <c r="H91"/>
    </row>
    <row r="92" spans="6:8" x14ac:dyDescent="0.3">
      <c r="F92"/>
      <c r="G92" s="81"/>
      <c r="H92"/>
    </row>
    <row r="93" spans="6:8" x14ac:dyDescent="0.3">
      <c r="F93"/>
      <c r="G93" s="81"/>
      <c r="H93"/>
    </row>
    <row r="94" spans="6:8" x14ac:dyDescent="0.3">
      <c r="F94"/>
      <c r="G94" s="81"/>
      <c r="H94"/>
    </row>
    <row r="95" spans="6:8" x14ac:dyDescent="0.3">
      <c r="F95"/>
      <c r="G95" s="81"/>
      <c r="H95"/>
    </row>
    <row r="96" spans="6:8" x14ac:dyDescent="0.3">
      <c r="F96"/>
      <c r="G96" s="81"/>
      <c r="H96"/>
    </row>
    <row r="97" spans="6:8" x14ac:dyDescent="0.3">
      <c r="F97"/>
      <c r="G97" s="81"/>
      <c r="H97"/>
    </row>
    <row r="98" spans="6:8" x14ac:dyDescent="0.3">
      <c r="F98"/>
      <c r="G98" s="81"/>
      <c r="H98"/>
    </row>
    <row r="99" spans="6:8" x14ac:dyDescent="0.3">
      <c r="F99"/>
      <c r="G99" s="81"/>
      <c r="H99"/>
    </row>
    <row r="100" spans="6:8" x14ac:dyDescent="0.3">
      <c r="F100"/>
      <c r="G100" s="81"/>
      <c r="H100"/>
    </row>
    <row r="101" spans="6:8" x14ac:dyDescent="0.3">
      <c r="F101"/>
      <c r="G101" s="81"/>
      <c r="H101"/>
    </row>
    <row r="102" spans="6:8" x14ac:dyDescent="0.3">
      <c r="F102"/>
      <c r="G102" s="81"/>
      <c r="H102"/>
    </row>
    <row r="103" spans="6:8" x14ac:dyDescent="0.3">
      <c r="F103"/>
      <c r="G103" s="81"/>
      <c r="H103"/>
    </row>
    <row r="104" spans="6:8" x14ac:dyDescent="0.3">
      <c r="F104"/>
      <c r="G104" s="81"/>
      <c r="H104"/>
    </row>
    <row r="105" spans="6:8" x14ac:dyDescent="0.3">
      <c r="F105"/>
      <c r="G105" s="81"/>
      <c r="H105"/>
    </row>
    <row r="106" spans="6:8" x14ac:dyDescent="0.3">
      <c r="F106"/>
      <c r="G106" s="81"/>
      <c r="H106"/>
    </row>
    <row r="107" spans="6:8" x14ac:dyDescent="0.3">
      <c r="F107"/>
      <c r="G107" s="81"/>
      <c r="H107"/>
    </row>
    <row r="108" spans="6:8" x14ac:dyDescent="0.3">
      <c r="F108"/>
      <c r="G108" s="81"/>
      <c r="H108"/>
    </row>
    <row r="109" spans="6:8" x14ac:dyDescent="0.3">
      <c r="F109"/>
      <c r="G109" s="81"/>
      <c r="H109"/>
    </row>
    <row r="110" spans="6:8" x14ac:dyDescent="0.3">
      <c r="F110"/>
      <c r="G110" s="81"/>
      <c r="H110"/>
    </row>
    <row r="111" spans="6:8" x14ac:dyDescent="0.3">
      <c r="F111"/>
      <c r="G111" s="81"/>
      <c r="H111"/>
    </row>
    <row r="112" spans="6:8" x14ac:dyDescent="0.3">
      <c r="F112"/>
      <c r="G112" s="81"/>
      <c r="H112"/>
    </row>
    <row r="113" spans="6:8" x14ac:dyDescent="0.3">
      <c r="F113"/>
      <c r="G113" s="81"/>
      <c r="H113"/>
    </row>
    <row r="114" spans="6:8" x14ac:dyDescent="0.3">
      <c r="F114"/>
      <c r="G114" s="81"/>
      <c r="H114"/>
    </row>
    <row r="115" spans="6:8" x14ac:dyDescent="0.3">
      <c r="F115"/>
      <c r="G115" s="81"/>
      <c r="H115"/>
    </row>
    <row r="116" spans="6:8" x14ac:dyDescent="0.3">
      <c r="F116"/>
      <c r="G116" s="81"/>
      <c r="H116"/>
    </row>
    <row r="117" spans="6:8" x14ac:dyDescent="0.3">
      <c r="F117"/>
      <c r="G117" s="81"/>
      <c r="H117"/>
    </row>
    <row r="118" spans="6:8" x14ac:dyDescent="0.3">
      <c r="F118"/>
      <c r="G118" s="81"/>
      <c r="H118"/>
    </row>
    <row r="119" spans="6:8" x14ac:dyDescent="0.3">
      <c r="F119"/>
      <c r="G119" s="81"/>
      <c r="H119"/>
    </row>
    <row r="120" spans="6:8" x14ac:dyDescent="0.3">
      <c r="F120"/>
      <c r="G120" s="81"/>
      <c r="H120"/>
    </row>
    <row r="121" spans="6:8" x14ac:dyDescent="0.3">
      <c r="F121"/>
      <c r="G121" s="81"/>
      <c r="H121"/>
    </row>
    <row r="122" spans="6:8" x14ac:dyDescent="0.3">
      <c r="F122"/>
      <c r="G122" s="81"/>
      <c r="H122"/>
    </row>
    <row r="123" spans="6:8" x14ac:dyDescent="0.3">
      <c r="F123"/>
      <c r="G123" s="81"/>
      <c r="H123"/>
    </row>
    <row r="124" spans="6:8" x14ac:dyDescent="0.3">
      <c r="F124"/>
      <c r="G124" s="81"/>
      <c r="H124"/>
    </row>
    <row r="125" spans="6:8" x14ac:dyDescent="0.3">
      <c r="F125"/>
      <c r="G125" s="81"/>
      <c r="H125"/>
    </row>
    <row r="126" spans="6:8" x14ac:dyDescent="0.3">
      <c r="F126"/>
      <c r="G126" s="81"/>
      <c r="H126"/>
    </row>
    <row r="127" spans="6:8" x14ac:dyDescent="0.3">
      <c r="F127"/>
      <c r="G127" s="81"/>
      <c r="H127"/>
    </row>
    <row r="128" spans="6:8" x14ac:dyDescent="0.3">
      <c r="F128"/>
      <c r="G128" s="81"/>
      <c r="H128"/>
    </row>
    <row r="129" spans="6:8" x14ac:dyDescent="0.3">
      <c r="F129"/>
      <c r="G129" s="81"/>
      <c r="H129"/>
    </row>
    <row r="130" spans="6:8" x14ac:dyDescent="0.3">
      <c r="F130"/>
      <c r="G130" s="81"/>
      <c r="H130"/>
    </row>
    <row r="131" spans="6:8" x14ac:dyDescent="0.3">
      <c r="F131"/>
      <c r="G131" s="81"/>
      <c r="H131"/>
    </row>
    <row r="132" spans="6:8" x14ac:dyDescent="0.3">
      <c r="F132"/>
      <c r="G132" s="81"/>
      <c r="H132"/>
    </row>
    <row r="133" spans="6:8" x14ac:dyDescent="0.3">
      <c r="F133"/>
      <c r="G133" s="81"/>
      <c r="H133"/>
    </row>
    <row r="134" spans="6:8" x14ac:dyDescent="0.3">
      <c r="F134"/>
      <c r="G134" s="81"/>
      <c r="H134"/>
    </row>
    <row r="135" spans="6:8" x14ac:dyDescent="0.3">
      <c r="F135"/>
      <c r="G135" s="81"/>
      <c r="H135"/>
    </row>
    <row r="136" spans="6:8" x14ac:dyDescent="0.3">
      <c r="F136"/>
      <c r="G136" s="81"/>
      <c r="H136"/>
    </row>
    <row r="137" spans="6:8" x14ac:dyDescent="0.3">
      <c r="F137"/>
      <c r="G137" s="81"/>
      <c r="H137"/>
    </row>
    <row r="138" spans="6:8" x14ac:dyDescent="0.3">
      <c r="F138"/>
      <c r="G138" s="81"/>
      <c r="H138"/>
    </row>
    <row r="139" spans="6:8" x14ac:dyDescent="0.3">
      <c r="F139"/>
      <c r="G139" s="81"/>
      <c r="H139"/>
    </row>
    <row r="140" spans="6:8" x14ac:dyDescent="0.3">
      <c r="F140"/>
      <c r="G140" s="81"/>
      <c r="H140"/>
    </row>
    <row r="141" spans="6:8" x14ac:dyDescent="0.3">
      <c r="F141"/>
      <c r="G141" s="81"/>
      <c r="H141"/>
    </row>
    <row r="142" spans="6:8" x14ac:dyDescent="0.3">
      <c r="F142"/>
      <c r="G142" s="81"/>
      <c r="H142"/>
    </row>
    <row r="143" spans="6:8" x14ac:dyDescent="0.3">
      <c r="F143"/>
      <c r="G143" s="81"/>
      <c r="H143"/>
    </row>
    <row r="144" spans="6:8" x14ac:dyDescent="0.3">
      <c r="F144"/>
      <c r="G144" s="81"/>
      <c r="H144"/>
    </row>
    <row r="145" spans="6:8" x14ac:dyDescent="0.3">
      <c r="F145"/>
      <c r="G145" s="81"/>
      <c r="H145"/>
    </row>
    <row r="146" spans="6:8" x14ac:dyDescent="0.3">
      <c r="F146"/>
      <c r="G146" s="81"/>
      <c r="H146"/>
    </row>
    <row r="147" spans="6:8" x14ac:dyDescent="0.3">
      <c r="F147"/>
      <c r="G147" s="81"/>
      <c r="H147"/>
    </row>
    <row r="148" spans="6:8" x14ac:dyDescent="0.3">
      <c r="F148"/>
      <c r="G148" s="81"/>
      <c r="H148"/>
    </row>
    <row r="149" spans="6:8" x14ac:dyDescent="0.3">
      <c r="F149"/>
      <c r="G149" s="81"/>
      <c r="H149"/>
    </row>
    <row r="150" spans="6:8" x14ac:dyDescent="0.3">
      <c r="F150"/>
      <c r="G150" s="81"/>
      <c r="H150"/>
    </row>
    <row r="151" spans="6:8" x14ac:dyDescent="0.3">
      <c r="F151"/>
      <c r="G151" s="81"/>
      <c r="H151"/>
    </row>
    <row r="152" spans="6:8" x14ac:dyDescent="0.3">
      <c r="F152"/>
      <c r="G152" s="81"/>
      <c r="H152"/>
    </row>
    <row r="153" spans="6:8" x14ac:dyDescent="0.3">
      <c r="F153"/>
      <c r="G153" s="81"/>
      <c r="H153"/>
    </row>
    <row r="154" spans="6:8" x14ac:dyDescent="0.3">
      <c r="F154"/>
      <c r="G154" s="81"/>
      <c r="H154"/>
    </row>
    <row r="155" spans="6:8" x14ac:dyDescent="0.3">
      <c r="F155"/>
      <c r="G155" s="81"/>
      <c r="H155"/>
    </row>
    <row r="156" spans="6:8" x14ac:dyDescent="0.3">
      <c r="F156"/>
      <c r="G156" s="81"/>
      <c r="H156"/>
    </row>
    <row r="157" spans="6:8" x14ac:dyDescent="0.3">
      <c r="F157"/>
      <c r="G157" s="81"/>
      <c r="H157"/>
    </row>
    <row r="158" spans="6:8" x14ac:dyDescent="0.3">
      <c r="F158"/>
      <c r="G158" s="81"/>
      <c r="H158"/>
    </row>
    <row r="159" spans="6:8" x14ac:dyDescent="0.3">
      <c r="F159"/>
      <c r="G159" s="81"/>
      <c r="H159"/>
    </row>
    <row r="160" spans="6:8" x14ac:dyDescent="0.3">
      <c r="F160"/>
      <c r="G160" s="81"/>
      <c r="H160"/>
    </row>
    <row r="161" spans="6:8" x14ac:dyDescent="0.3">
      <c r="F161"/>
      <c r="G161" s="81"/>
      <c r="H161"/>
    </row>
    <row r="162" spans="6:8" x14ac:dyDescent="0.3">
      <c r="F162"/>
      <c r="G162" s="81"/>
      <c r="H162"/>
    </row>
    <row r="163" spans="6:8" x14ac:dyDescent="0.3">
      <c r="F163"/>
      <c r="G163" s="81"/>
      <c r="H163"/>
    </row>
    <row r="164" spans="6:8" x14ac:dyDescent="0.3">
      <c r="F164"/>
      <c r="G164" s="81"/>
      <c r="H164"/>
    </row>
    <row r="165" spans="6:8" x14ac:dyDescent="0.3">
      <c r="F165"/>
      <c r="G165" s="81"/>
      <c r="H165"/>
    </row>
    <row r="166" spans="6:8" x14ac:dyDescent="0.3">
      <c r="F166"/>
      <c r="G166" s="81"/>
      <c r="H166"/>
    </row>
    <row r="167" spans="6:8" x14ac:dyDescent="0.3">
      <c r="F167"/>
      <c r="G167" s="81"/>
      <c r="H167"/>
    </row>
    <row r="168" spans="6:8" x14ac:dyDescent="0.3">
      <c r="F168"/>
      <c r="G168" s="81"/>
      <c r="H168"/>
    </row>
    <row r="169" spans="6:8" x14ac:dyDescent="0.3">
      <c r="F169"/>
      <c r="G169" s="81"/>
      <c r="H169"/>
    </row>
    <row r="170" spans="6:8" x14ac:dyDescent="0.3">
      <c r="F170"/>
      <c r="G170" s="81"/>
      <c r="H170"/>
    </row>
    <row r="171" spans="6:8" x14ac:dyDescent="0.3">
      <c r="F171"/>
      <c r="G171" s="81"/>
      <c r="H171"/>
    </row>
    <row r="172" spans="6:8" x14ac:dyDescent="0.3">
      <c r="F172"/>
      <c r="G172" s="81"/>
      <c r="H172"/>
    </row>
    <row r="173" spans="6:8" x14ac:dyDescent="0.3">
      <c r="F173"/>
      <c r="G173" s="81"/>
      <c r="H173"/>
    </row>
    <row r="174" spans="6:8" x14ac:dyDescent="0.3">
      <c r="F174"/>
      <c r="G174" s="81"/>
      <c r="H174"/>
    </row>
    <row r="175" spans="6:8" x14ac:dyDescent="0.3">
      <c r="F175"/>
      <c r="G175" s="81"/>
      <c r="H175"/>
    </row>
    <row r="176" spans="6:8" x14ac:dyDescent="0.3">
      <c r="F176"/>
      <c r="G176" s="81"/>
      <c r="H176"/>
    </row>
    <row r="177" spans="6:8" x14ac:dyDescent="0.3">
      <c r="F177"/>
      <c r="G177" s="81"/>
      <c r="H177"/>
    </row>
    <row r="178" spans="6:8" x14ac:dyDescent="0.3">
      <c r="F178"/>
      <c r="G178" s="81"/>
      <c r="H178"/>
    </row>
    <row r="179" spans="6:8" x14ac:dyDescent="0.3">
      <c r="F179"/>
      <c r="G179" s="81"/>
      <c r="H179"/>
    </row>
    <row r="180" spans="6:8" x14ac:dyDescent="0.3">
      <c r="F180"/>
      <c r="G180" s="81"/>
      <c r="H180"/>
    </row>
    <row r="181" spans="6:8" x14ac:dyDescent="0.3">
      <c r="F181"/>
      <c r="G181" s="81"/>
      <c r="H181"/>
    </row>
    <row r="182" spans="6:8" x14ac:dyDescent="0.3">
      <c r="F182"/>
      <c r="G182" s="81"/>
      <c r="H182"/>
    </row>
    <row r="183" spans="6:8" x14ac:dyDescent="0.3">
      <c r="F183"/>
      <c r="G183" s="81"/>
      <c r="H183"/>
    </row>
    <row r="184" spans="6:8" x14ac:dyDescent="0.3">
      <c r="F184"/>
      <c r="G184" s="81"/>
      <c r="H184"/>
    </row>
    <row r="185" spans="6:8" x14ac:dyDescent="0.3">
      <c r="F185"/>
      <c r="G185" s="81"/>
      <c r="H185"/>
    </row>
    <row r="186" spans="6:8" x14ac:dyDescent="0.3">
      <c r="F186"/>
      <c r="G186" s="81"/>
      <c r="H186"/>
    </row>
    <row r="187" spans="6:8" x14ac:dyDescent="0.3">
      <c r="F187"/>
      <c r="G187" s="81"/>
      <c r="H187"/>
    </row>
    <row r="188" spans="6:8" x14ac:dyDescent="0.3">
      <c r="F188"/>
      <c r="G188" s="81"/>
      <c r="H188"/>
    </row>
    <row r="189" spans="6:8" x14ac:dyDescent="0.3">
      <c r="F189"/>
      <c r="G189" s="81"/>
      <c r="H189"/>
    </row>
    <row r="190" spans="6:8" x14ac:dyDescent="0.3">
      <c r="F190"/>
      <c r="G190" s="81"/>
      <c r="H190"/>
    </row>
    <row r="191" spans="6:8" x14ac:dyDescent="0.3">
      <c r="F191"/>
      <c r="G191" s="81"/>
      <c r="H191"/>
    </row>
    <row r="192" spans="6:8" x14ac:dyDescent="0.3">
      <c r="F192"/>
      <c r="G192" s="81"/>
      <c r="H192"/>
    </row>
    <row r="193" spans="6:8" x14ac:dyDescent="0.3">
      <c r="F193"/>
      <c r="G193" s="81"/>
      <c r="H193"/>
    </row>
    <row r="194" spans="6:8" x14ac:dyDescent="0.3">
      <c r="F194"/>
      <c r="G194" s="81"/>
      <c r="H194"/>
    </row>
    <row r="195" spans="6:8" x14ac:dyDescent="0.3">
      <c r="F195"/>
      <c r="G195" s="81"/>
      <c r="H195"/>
    </row>
    <row r="196" spans="6:8" x14ac:dyDescent="0.3">
      <c r="F196"/>
      <c r="G196" s="81"/>
      <c r="H196"/>
    </row>
    <row r="197" spans="6:8" x14ac:dyDescent="0.3">
      <c r="F197"/>
      <c r="G197" s="81"/>
      <c r="H197"/>
    </row>
    <row r="198" spans="6:8" x14ac:dyDescent="0.3">
      <c r="F198"/>
      <c r="G198" s="81"/>
      <c r="H198"/>
    </row>
    <row r="199" spans="6:8" x14ac:dyDescent="0.3">
      <c r="F199"/>
      <c r="G199" s="81"/>
      <c r="H199"/>
    </row>
    <row r="200" spans="6:8" x14ac:dyDescent="0.3">
      <c r="F200"/>
      <c r="G200" s="81"/>
      <c r="H200"/>
    </row>
    <row r="201" spans="6:8" x14ac:dyDescent="0.3">
      <c r="F201"/>
      <c r="G201" s="81"/>
      <c r="H201"/>
    </row>
    <row r="202" spans="6:8" x14ac:dyDescent="0.3">
      <c r="F202"/>
      <c r="G202" s="81"/>
      <c r="H202"/>
    </row>
    <row r="203" spans="6:8" x14ac:dyDescent="0.3">
      <c r="F203"/>
      <c r="G203" s="81"/>
      <c r="H203"/>
    </row>
    <row r="204" spans="6:8" x14ac:dyDescent="0.3">
      <c r="F204"/>
      <c r="G204" s="81"/>
      <c r="H204"/>
    </row>
    <row r="205" spans="6:8" x14ac:dyDescent="0.3">
      <c r="F205"/>
      <c r="G205" s="81"/>
      <c r="H205"/>
    </row>
    <row r="206" spans="6:8" x14ac:dyDescent="0.3">
      <c r="F206"/>
      <c r="G206" s="81"/>
      <c r="H206"/>
    </row>
    <row r="207" spans="6:8" x14ac:dyDescent="0.3">
      <c r="F207"/>
      <c r="G207" s="81"/>
      <c r="H207"/>
    </row>
    <row r="208" spans="6:8" x14ac:dyDescent="0.3">
      <c r="F208"/>
      <c r="G208" s="81"/>
      <c r="H208"/>
    </row>
    <row r="209" spans="6:8" x14ac:dyDescent="0.3">
      <c r="F209"/>
      <c r="G209" s="81"/>
      <c r="H209"/>
    </row>
    <row r="210" spans="6:8" x14ac:dyDescent="0.3">
      <c r="F210"/>
      <c r="G210" s="81"/>
      <c r="H210"/>
    </row>
    <row r="211" spans="6:8" x14ac:dyDescent="0.3">
      <c r="F211"/>
      <c r="G211" s="81"/>
      <c r="H211"/>
    </row>
    <row r="212" spans="6:8" x14ac:dyDescent="0.3">
      <c r="F212"/>
      <c r="G212" s="81"/>
      <c r="H212"/>
    </row>
    <row r="213" spans="6:8" x14ac:dyDescent="0.3">
      <c r="F213"/>
      <c r="G213" s="81"/>
      <c r="H213"/>
    </row>
    <row r="214" spans="6:8" x14ac:dyDescent="0.3">
      <c r="F214"/>
      <c r="G214" s="81"/>
      <c r="H214"/>
    </row>
    <row r="215" spans="6:8" x14ac:dyDescent="0.3">
      <c r="F215"/>
      <c r="G215" s="81"/>
      <c r="H215"/>
    </row>
    <row r="216" spans="6:8" x14ac:dyDescent="0.3">
      <c r="F216"/>
      <c r="G216" s="81"/>
      <c r="H216"/>
    </row>
    <row r="217" spans="6:8" x14ac:dyDescent="0.3">
      <c r="F217"/>
      <c r="G217" s="81"/>
      <c r="H217"/>
    </row>
    <row r="218" spans="6:8" x14ac:dyDescent="0.3">
      <c r="F218"/>
      <c r="G218" s="81"/>
      <c r="H218"/>
    </row>
    <row r="219" spans="6:8" x14ac:dyDescent="0.3">
      <c r="F219"/>
      <c r="G219" s="81"/>
      <c r="H219"/>
    </row>
    <row r="220" spans="6:8" x14ac:dyDescent="0.3">
      <c r="F220"/>
      <c r="G220" s="81"/>
      <c r="H220"/>
    </row>
    <row r="221" spans="6:8" x14ac:dyDescent="0.3">
      <c r="F221"/>
      <c r="G221" s="81"/>
      <c r="H221"/>
    </row>
    <row r="222" spans="6:8" x14ac:dyDescent="0.3">
      <c r="F222"/>
      <c r="G222" s="81"/>
      <c r="H222"/>
    </row>
    <row r="223" spans="6:8" x14ac:dyDescent="0.3">
      <c r="F223"/>
      <c r="G223" s="81"/>
      <c r="H223"/>
    </row>
    <row r="224" spans="6:8" x14ac:dyDescent="0.3">
      <c r="F224"/>
      <c r="G224" s="81"/>
      <c r="H224"/>
    </row>
    <row r="225" spans="6:8" x14ac:dyDescent="0.3">
      <c r="F225"/>
      <c r="G225" s="81"/>
      <c r="H225"/>
    </row>
    <row r="226" spans="6:8" x14ac:dyDescent="0.3">
      <c r="F226"/>
      <c r="G226" s="81"/>
      <c r="H226"/>
    </row>
    <row r="227" spans="6:8" x14ac:dyDescent="0.3">
      <c r="F227"/>
      <c r="G227" s="81"/>
      <c r="H227"/>
    </row>
    <row r="228" spans="6:8" x14ac:dyDescent="0.3">
      <c r="F228"/>
      <c r="G228" s="81"/>
      <c r="H228"/>
    </row>
    <row r="229" spans="6:8" x14ac:dyDescent="0.3">
      <c r="F229"/>
      <c r="G229" s="81"/>
      <c r="H229"/>
    </row>
    <row r="230" spans="6:8" x14ac:dyDescent="0.3">
      <c r="F230"/>
      <c r="G230" s="81"/>
      <c r="H230"/>
    </row>
    <row r="231" spans="6:8" x14ac:dyDescent="0.3">
      <c r="F231"/>
      <c r="G231" s="81"/>
      <c r="H231"/>
    </row>
    <row r="232" spans="6:8" x14ac:dyDescent="0.3">
      <c r="F232"/>
      <c r="G232" s="81"/>
      <c r="H232"/>
    </row>
    <row r="233" spans="6:8" x14ac:dyDescent="0.3">
      <c r="F233"/>
      <c r="G233" s="81"/>
      <c r="H233"/>
    </row>
    <row r="234" spans="6:8" x14ac:dyDescent="0.3">
      <c r="F234"/>
      <c r="G234" s="81"/>
      <c r="H234"/>
    </row>
    <row r="235" spans="6:8" x14ac:dyDescent="0.3">
      <c r="F235"/>
      <c r="G235" s="81"/>
      <c r="H235"/>
    </row>
    <row r="236" spans="6:8" x14ac:dyDescent="0.3">
      <c r="F236"/>
      <c r="G236" s="81"/>
      <c r="H236"/>
    </row>
    <row r="237" spans="6:8" x14ac:dyDescent="0.3">
      <c r="F237"/>
      <c r="G237" s="81"/>
      <c r="H237"/>
    </row>
    <row r="238" spans="6:8" x14ac:dyDescent="0.3">
      <c r="F238"/>
      <c r="G238" s="81"/>
      <c r="H238"/>
    </row>
    <row r="239" spans="6:8" x14ac:dyDescent="0.3">
      <c r="F239"/>
      <c r="G239" s="81"/>
      <c r="H239"/>
    </row>
    <row r="240" spans="6:8" x14ac:dyDescent="0.3">
      <c r="F240"/>
      <c r="G240" s="81"/>
      <c r="H240"/>
    </row>
    <row r="241" spans="6:8" x14ac:dyDescent="0.3">
      <c r="F241"/>
      <c r="G241" s="81"/>
      <c r="H241"/>
    </row>
    <row r="242" spans="6:8" x14ac:dyDescent="0.3">
      <c r="F242"/>
      <c r="G242" s="81"/>
      <c r="H242"/>
    </row>
    <row r="243" spans="6:8" x14ac:dyDescent="0.3">
      <c r="F243"/>
      <c r="G243" s="81"/>
      <c r="H243"/>
    </row>
    <row r="244" spans="6:8" x14ac:dyDescent="0.3">
      <c r="F244"/>
      <c r="G244" s="81"/>
      <c r="H244"/>
    </row>
    <row r="245" spans="6:8" x14ac:dyDescent="0.3">
      <c r="F245"/>
      <c r="G245" s="81"/>
      <c r="H245"/>
    </row>
    <row r="246" spans="6:8" x14ac:dyDescent="0.3">
      <c r="F246"/>
      <c r="G246" s="81"/>
      <c r="H246"/>
    </row>
    <row r="247" spans="6:8" x14ac:dyDescent="0.3">
      <c r="F247"/>
      <c r="G247" s="81"/>
      <c r="H247"/>
    </row>
    <row r="248" spans="6:8" x14ac:dyDescent="0.3">
      <c r="F248"/>
      <c r="G248" s="81"/>
      <c r="H248"/>
    </row>
    <row r="249" spans="6:8" x14ac:dyDescent="0.3">
      <c r="F249"/>
      <c r="G249" s="81"/>
      <c r="H249"/>
    </row>
    <row r="250" spans="6:8" x14ac:dyDescent="0.3">
      <c r="F250"/>
      <c r="G250" s="81"/>
      <c r="H250"/>
    </row>
    <row r="251" spans="6:8" x14ac:dyDescent="0.3">
      <c r="F251"/>
      <c r="G251" s="81"/>
      <c r="H251"/>
    </row>
    <row r="252" spans="6:8" x14ac:dyDescent="0.3">
      <c r="F252"/>
      <c r="G252" s="81"/>
      <c r="H252"/>
    </row>
    <row r="253" spans="6:8" x14ac:dyDescent="0.3">
      <c r="F253"/>
      <c r="G253" s="81"/>
      <c r="H253"/>
    </row>
    <row r="254" spans="6:8" x14ac:dyDescent="0.3">
      <c r="F254"/>
      <c r="G254" s="81"/>
      <c r="H254"/>
    </row>
    <row r="255" spans="6:8" x14ac:dyDescent="0.3">
      <c r="F255"/>
      <c r="G255" s="81"/>
      <c r="H255"/>
    </row>
    <row r="256" spans="6:8" x14ac:dyDescent="0.3">
      <c r="F256"/>
      <c r="G256" s="81"/>
      <c r="H256"/>
    </row>
    <row r="257" spans="6:8" x14ac:dyDescent="0.3">
      <c r="F257"/>
      <c r="G257" s="81"/>
      <c r="H257"/>
    </row>
    <row r="258" spans="6:8" x14ac:dyDescent="0.3">
      <c r="F258"/>
      <c r="G258" s="81"/>
      <c r="H258"/>
    </row>
    <row r="259" spans="6:8" x14ac:dyDescent="0.3">
      <c r="F259"/>
      <c r="G259" s="81"/>
      <c r="H259"/>
    </row>
    <row r="260" spans="6:8" x14ac:dyDescent="0.3">
      <c r="F260"/>
      <c r="G260" s="81"/>
      <c r="H260"/>
    </row>
    <row r="261" spans="6:8" x14ac:dyDescent="0.3">
      <c r="F261"/>
      <c r="G261" s="81"/>
      <c r="H261"/>
    </row>
    <row r="262" spans="6:8" x14ac:dyDescent="0.3">
      <c r="F262"/>
      <c r="G262" s="81"/>
      <c r="H262"/>
    </row>
    <row r="263" spans="6:8" x14ac:dyDescent="0.3">
      <c r="F263"/>
      <c r="G263" s="81"/>
      <c r="H263"/>
    </row>
    <row r="264" spans="6:8" x14ac:dyDescent="0.3">
      <c r="F264"/>
      <c r="G264" s="81"/>
      <c r="H264"/>
    </row>
    <row r="265" spans="6:8" x14ac:dyDescent="0.3">
      <c r="F265"/>
      <c r="G265" s="81"/>
      <c r="H265"/>
    </row>
    <row r="266" spans="6:8" x14ac:dyDescent="0.3">
      <c r="F266"/>
      <c r="G266" s="81"/>
      <c r="H266"/>
    </row>
    <row r="267" spans="6:8" x14ac:dyDescent="0.3">
      <c r="F267"/>
      <c r="G267" s="81"/>
      <c r="H267"/>
    </row>
    <row r="268" spans="6:8" x14ac:dyDescent="0.3">
      <c r="F268"/>
      <c r="G268" s="81"/>
      <c r="H268"/>
    </row>
    <row r="269" spans="6:8" x14ac:dyDescent="0.3">
      <c r="F269"/>
      <c r="G269" s="81"/>
      <c r="H269"/>
    </row>
    <row r="270" spans="6:8" x14ac:dyDescent="0.3">
      <c r="F270"/>
      <c r="G270" s="81"/>
      <c r="H270"/>
    </row>
    <row r="271" spans="6:8" x14ac:dyDescent="0.3">
      <c r="F271"/>
      <c r="G271" s="81"/>
      <c r="H271"/>
    </row>
    <row r="272" spans="6:8" x14ac:dyDescent="0.3">
      <c r="F272"/>
      <c r="G272" s="81"/>
      <c r="H272"/>
    </row>
    <row r="273" spans="6:8" x14ac:dyDescent="0.3">
      <c r="F273"/>
      <c r="G273" s="81"/>
      <c r="H273"/>
    </row>
    <row r="274" spans="6:8" x14ac:dyDescent="0.3">
      <c r="F274"/>
      <c r="G274" s="81"/>
      <c r="H274"/>
    </row>
    <row r="275" spans="6:8" x14ac:dyDescent="0.3">
      <c r="F275"/>
      <c r="G275" s="81"/>
      <c r="H275"/>
    </row>
    <row r="276" spans="6:8" x14ac:dyDescent="0.3">
      <c r="F276"/>
      <c r="G276" s="81"/>
      <c r="H276"/>
    </row>
    <row r="277" spans="6:8" x14ac:dyDescent="0.3">
      <c r="F277"/>
      <c r="G277" s="81"/>
      <c r="H277"/>
    </row>
    <row r="278" spans="6:8" x14ac:dyDescent="0.3">
      <c r="F278"/>
      <c r="G278" s="81"/>
      <c r="H278"/>
    </row>
    <row r="279" spans="6:8" x14ac:dyDescent="0.3">
      <c r="F279"/>
      <c r="G279" s="81"/>
      <c r="H279"/>
    </row>
    <row r="280" spans="6:8" x14ac:dyDescent="0.3">
      <c r="F280"/>
      <c r="G280" s="81"/>
      <c r="H280"/>
    </row>
    <row r="281" spans="6:8" x14ac:dyDescent="0.3">
      <c r="F281"/>
      <c r="G281" s="81"/>
      <c r="H281"/>
    </row>
    <row r="282" spans="6:8" x14ac:dyDescent="0.3">
      <c r="F282"/>
      <c r="G282" s="81"/>
      <c r="H282"/>
    </row>
    <row r="283" spans="6:8" x14ac:dyDescent="0.3">
      <c r="F283"/>
      <c r="G283" s="81"/>
      <c r="H283"/>
    </row>
    <row r="284" spans="6:8" x14ac:dyDescent="0.3">
      <c r="F284"/>
      <c r="G284" s="81"/>
      <c r="H284"/>
    </row>
    <row r="285" spans="6:8" x14ac:dyDescent="0.3">
      <c r="F285"/>
      <c r="G285" s="81"/>
      <c r="H285"/>
    </row>
    <row r="286" spans="6:8" x14ac:dyDescent="0.3">
      <c r="F286"/>
      <c r="G286" s="81"/>
      <c r="H286"/>
    </row>
    <row r="287" spans="6:8" x14ac:dyDescent="0.3">
      <c r="F287"/>
      <c r="G287" s="81"/>
      <c r="H287"/>
    </row>
    <row r="288" spans="6:8" x14ac:dyDescent="0.3">
      <c r="F288"/>
      <c r="G288" s="81"/>
      <c r="H288"/>
    </row>
    <row r="289" spans="6:8" x14ac:dyDescent="0.3">
      <c r="F289"/>
      <c r="G289" s="81"/>
      <c r="H289"/>
    </row>
    <row r="290" spans="6:8" x14ac:dyDescent="0.3">
      <c r="F290"/>
      <c r="G290" s="81"/>
      <c r="H290"/>
    </row>
    <row r="291" spans="6:8" x14ac:dyDescent="0.3">
      <c r="F291"/>
      <c r="G291" s="81"/>
      <c r="H291"/>
    </row>
    <row r="292" spans="6:8" x14ac:dyDescent="0.3">
      <c r="F292"/>
      <c r="G292" s="81"/>
      <c r="H292"/>
    </row>
    <row r="293" spans="6:8" x14ac:dyDescent="0.3">
      <c r="F293"/>
      <c r="G293" s="81"/>
      <c r="H293"/>
    </row>
    <row r="294" spans="6:8" x14ac:dyDescent="0.3">
      <c r="F294"/>
      <c r="G294" s="81"/>
      <c r="H294"/>
    </row>
    <row r="295" spans="6:8" x14ac:dyDescent="0.3">
      <c r="F295"/>
      <c r="G295" s="81"/>
      <c r="H295"/>
    </row>
    <row r="296" spans="6:8" x14ac:dyDescent="0.3">
      <c r="F296"/>
      <c r="G296" s="81"/>
      <c r="H296"/>
    </row>
    <row r="297" spans="6:8" x14ac:dyDescent="0.3">
      <c r="F297"/>
      <c r="G297" s="81"/>
      <c r="H297"/>
    </row>
    <row r="298" spans="6:8" x14ac:dyDescent="0.3">
      <c r="F298"/>
      <c r="G298" s="81"/>
      <c r="H298"/>
    </row>
    <row r="299" spans="6:8" x14ac:dyDescent="0.3">
      <c r="F299"/>
      <c r="G299" s="81"/>
      <c r="H299"/>
    </row>
    <row r="300" spans="6:8" x14ac:dyDescent="0.3">
      <c r="F300"/>
      <c r="G300" s="81"/>
      <c r="H300"/>
    </row>
    <row r="301" spans="6:8" x14ac:dyDescent="0.3">
      <c r="F301"/>
      <c r="G301" s="81"/>
      <c r="H301"/>
    </row>
    <row r="302" spans="6:8" x14ac:dyDescent="0.3">
      <c r="F302"/>
      <c r="G302" s="81"/>
      <c r="H302"/>
    </row>
    <row r="303" spans="6:8" x14ac:dyDescent="0.3">
      <c r="F303"/>
      <c r="G303" s="81"/>
      <c r="H303"/>
    </row>
    <row r="304" spans="6:8" x14ac:dyDescent="0.3">
      <c r="F304"/>
      <c r="G304" s="81"/>
      <c r="H304"/>
    </row>
    <row r="305" spans="6:8" x14ac:dyDescent="0.3">
      <c r="F305"/>
      <c r="G305" s="81"/>
      <c r="H305"/>
    </row>
    <row r="306" spans="6:8" x14ac:dyDescent="0.3">
      <c r="F306"/>
      <c r="G306" s="81"/>
      <c r="H306"/>
    </row>
    <row r="307" spans="6:8" x14ac:dyDescent="0.3">
      <c r="F307"/>
      <c r="G307" s="81"/>
      <c r="H307"/>
    </row>
    <row r="308" spans="6:8" x14ac:dyDescent="0.3">
      <c r="F308"/>
      <c r="G308" s="81"/>
      <c r="H308"/>
    </row>
    <row r="309" spans="6:8" x14ac:dyDescent="0.3">
      <c r="F309"/>
      <c r="G309" s="81"/>
      <c r="H309"/>
    </row>
    <row r="310" spans="6:8" x14ac:dyDescent="0.3">
      <c r="F310"/>
      <c r="G310" s="81"/>
      <c r="H310"/>
    </row>
    <row r="311" spans="6:8" x14ac:dyDescent="0.3">
      <c r="F311"/>
      <c r="G311" s="81"/>
      <c r="H311"/>
    </row>
    <row r="312" spans="6:8" x14ac:dyDescent="0.3">
      <c r="F312"/>
      <c r="G312" s="81"/>
      <c r="H312"/>
    </row>
    <row r="313" spans="6:8" x14ac:dyDescent="0.3">
      <c r="F313"/>
      <c r="G313" s="81"/>
      <c r="H313"/>
    </row>
    <row r="314" spans="6:8" x14ac:dyDescent="0.3">
      <c r="F314"/>
      <c r="G314" s="81"/>
      <c r="H314"/>
    </row>
    <row r="315" spans="6:8" x14ac:dyDescent="0.3">
      <c r="F315"/>
      <c r="G315" s="81"/>
      <c r="H315"/>
    </row>
    <row r="316" spans="6:8" x14ac:dyDescent="0.3">
      <c r="F316"/>
      <c r="G316" s="81"/>
      <c r="H316"/>
    </row>
    <row r="317" spans="6:8" x14ac:dyDescent="0.3">
      <c r="F317"/>
      <c r="G317" s="81"/>
      <c r="H317"/>
    </row>
    <row r="318" spans="6:8" x14ac:dyDescent="0.3">
      <c r="F318"/>
      <c r="G318" s="81"/>
      <c r="H318"/>
    </row>
    <row r="319" spans="6:8" x14ac:dyDescent="0.3">
      <c r="F319"/>
      <c r="G319" s="81"/>
      <c r="H319"/>
    </row>
    <row r="320" spans="6:8" x14ac:dyDescent="0.3">
      <c r="F320"/>
      <c r="G320" s="81"/>
      <c r="H320"/>
    </row>
    <row r="321" spans="6:8" x14ac:dyDescent="0.3">
      <c r="F321"/>
      <c r="G321" s="81"/>
      <c r="H321"/>
    </row>
    <row r="322" spans="6:8" x14ac:dyDescent="0.3">
      <c r="F322"/>
      <c r="G322" s="81"/>
      <c r="H322"/>
    </row>
    <row r="323" spans="6:8" x14ac:dyDescent="0.3">
      <c r="F323"/>
      <c r="G323" s="81"/>
      <c r="H323"/>
    </row>
    <row r="324" spans="6:8" x14ac:dyDescent="0.3">
      <c r="F324"/>
      <c r="G324" s="81"/>
      <c r="H324"/>
    </row>
    <row r="325" spans="6:8" x14ac:dyDescent="0.3">
      <c r="F325"/>
      <c r="G325" s="81"/>
      <c r="H325"/>
    </row>
    <row r="326" spans="6:8" x14ac:dyDescent="0.3">
      <c r="F326"/>
      <c r="G326" s="81"/>
      <c r="H326"/>
    </row>
    <row r="327" spans="6:8" x14ac:dyDescent="0.3">
      <c r="F327"/>
      <c r="G327" s="81"/>
      <c r="H327"/>
    </row>
    <row r="328" spans="6:8" x14ac:dyDescent="0.3">
      <c r="F328"/>
      <c r="G328" s="81"/>
      <c r="H328"/>
    </row>
    <row r="329" spans="6:8" x14ac:dyDescent="0.3">
      <c r="F329"/>
      <c r="G329" s="81"/>
      <c r="H329"/>
    </row>
    <row r="330" spans="6:8" x14ac:dyDescent="0.3">
      <c r="F330"/>
      <c r="G330" s="81"/>
      <c r="H330"/>
    </row>
    <row r="331" spans="6:8" x14ac:dyDescent="0.3">
      <c r="F331"/>
      <c r="G331" s="81"/>
      <c r="H331"/>
    </row>
    <row r="332" spans="6:8" x14ac:dyDescent="0.3">
      <c r="F332"/>
      <c r="G332" s="81"/>
      <c r="H332"/>
    </row>
    <row r="333" spans="6:8" x14ac:dyDescent="0.3">
      <c r="F333"/>
      <c r="G333" s="81"/>
      <c r="H333"/>
    </row>
    <row r="334" spans="6:8" x14ac:dyDescent="0.3">
      <c r="F334"/>
      <c r="G334" s="81"/>
      <c r="H334"/>
    </row>
    <row r="335" spans="6:8" x14ac:dyDescent="0.3">
      <c r="F335"/>
      <c r="G335" s="81"/>
      <c r="H335"/>
    </row>
    <row r="336" spans="6:8" x14ac:dyDescent="0.3">
      <c r="F336"/>
      <c r="G336" s="81"/>
      <c r="H336"/>
    </row>
    <row r="337" spans="6:8" x14ac:dyDescent="0.3">
      <c r="F337"/>
      <c r="G337" s="81"/>
      <c r="H337"/>
    </row>
    <row r="338" spans="6:8" x14ac:dyDescent="0.3">
      <c r="F338"/>
      <c r="G338" s="81"/>
      <c r="H338"/>
    </row>
    <row r="339" spans="6:8" x14ac:dyDescent="0.3">
      <c r="F339"/>
      <c r="G339" s="81"/>
      <c r="H339"/>
    </row>
    <row r="340" spans="6:8" x14ac:dyDescent="0.3">
      <c r="F340"/>
      <c r="G340" s="81"/>
      <c r="H340"/>
    </row>
    <row r="341" spans="6:8" x14ac:dyDescent="0.3">
      <c r="F341"/>
      <c r="G341" s="81"/>
      <c r="H341"/>
    </row>
    <row r="342" spans="6:8" x14ac:dyDescent="0.3">
      <c r="F342"/>
      <c r="G342" s="81"/>
      <c r="H342"/>
    </row>
    <row r="343" spans="6:8" x14ac:dyDescent="0.3">
      <c r="F343"/>
      <c r="G343" s="81"/>
      <c r="H343"/>
    </row>
    <row r="344" spans="6:8" x14ac:dyDescent="0.3">
      <c r="F344"/>
      <c r="G344" s="81"/>
      <c r="H344"/>
    </row>
    <row r="345" spans="6:8" x14ac:dyDescent="0.3">
      <c r="F345"/>
      <c r="G345" s="81"/>
      <c r="H345"/>
    </row>
    <row r="346" spans="6:8" x14ac:dyDescent="0.3">
      <c r="F346"/>
      <c r="G346" s="81"/>
      <c r="H346"/>
    </row>
    <row r="347" spans="6:8" x14ac:dyDescent="0.3">
      <c r="F347"/>
      <c r="G347" s="81"/>
      <c r="H347"/>
    </row>
    <row r="348" spans="6:8" x14ac:dyDescent="0.3">
      <c r="F348"/>
      <c r="G348" s="81"/>
      <c r="H348"/>
    </row>
    <row r="349" spans="6:8" x14ac:dyDescent="0.3">
      <c r="F349"/>
      <c r="G349" s="81"/>
      <c r="H349"/>
    </row>
    <row r="350" spans="6:8" x14ac:dyDescent="0.3">
      <c r="F350"/>
      <c r="G350" s="81"/>
      <c r="H350"/>
    </row>
    <row r="351" spans="6:8" x14ac:dyDescent="0.3">
      <c r="F351"/>
      <c r="G351" s="81"/>
      <c r="H351"/>
    </row>
    <row r="352" spans="6:8" x14ac:dyDescent="0.3">
      <c r="F352"/>
      <c r="G352" s="81"/>
      <c r="H352"/>
    </row>
    <row r="353" spans="6:8" x14ac:dyDescent="0.3">
      <c r="F353"/>
      <c r="G353" s="81"/>
      <c r="H353"/>
    </row>
    <row r="354" spans="6:8" x14ac:dyDescent="0.3">
      <c r="F354"/>
      <c r="G354" s="81"/>
      <c r="H354"/>
    </row>
    <row r="355" spans="6:8" x14ac:dyDescent="0.3">
      <c r="F355"/>
      <c r="G355" s="81"/>
      <c r="H355"/>
    </row>
    <row r="356" spans="6:8" x14ac:dyDescent="0.3">
      <c r="F356"/>
      <c r="G356" s="81"/>
      <c r="H356"/>
    </row>
    <row r="357" spans="6:8" x14ac:dyDescent="0.3">
      <c r="F357"/>
      <c r="G357" s="81"/>
      <c r="H357"/>
    </row>
    <row r="358" spans="6:8" x14ac:dyDescent="0.3">
      <c r="F358"/>
      <c r="G358" s="81"/>
      <c r="H358"/>
    </row>
    <row r="359" spans="6:8" x14ac:dyDescent="0.3">
      <c r="F359"/>
      <c r="G359" s="81"/>
      <c r="H359"/>
    </row>
    <row r="360" spans="6:8" x14ac:dyDescent="0.3">
      <c r="F360"/>
      <c r="G360" s="81"/>
      <c r="H360"/>
    </row>
    <row r="361" spans="6:8" x14ac:dyDescent="0.3">
      <c r="F361"/>
      <c r="G361" s="81"/>
      <c r="H361"/>
    </row>
    <row r="362" spans="6:8" x14ac:dyDescent="0.3">
      <c r="F362"/>
      <c r="G362" s="81"/>
      <c r="H362"/>
    </row>
    <row r="363" spans="6:8" x14ac:dyDescent="0.3">
      <c r="F363"/>
      <c r="G363" s="81"/>
      <c r="H363"/>
    </row>
    <row r="364" spans="6:8" x14ac:dyDescent="0.3">
      <c r="F364"/>
      <c r="G364" s="81"/>
      <c r="H364"/>
    </row>
    <row r="365" spans="6:8" x14ac:dyDescent="0.3">
      <c r="F365"/>
      <c r="G365" s="81"/>
      <c r="H365"/>
    </row>
    <row r="366" spans="6:8" x14ac:dyDescent="0.3">
      <c r="F366"/>
      <c r="G366" s="81"/>
      <c r="H366"/>
    </row>
    <row r="367" spans="6:8" x14ac:dyDescent="0.3">
      <c r="F367"/>
      <c r="G367" s="81"/>
      <c r="H367"/>
    </row>
    <row r="368" spans="6:8" x14ac:dyDescent="0.3">
      <c r="F368"/>
      <c r="G368" s="81"/>
      <c r="H368"/>
    </row>
    <row r="369" spans="6:8" x14ac:dyDescent="0.3">
      <c r="F369"/>
      <c r="G369" s="81"/>
      <c r="H369"/>
    </row>
    <row r="370" spans="6:8" x14ac:dyDescent="0.3">
      <c r="F370"/>
      <c r="G370" s="81"/>
      <c r="H370"/>
    </row>
    <row r="371" spans="6:8" x14ac:dyDescent="0.3">
      <c r="F371"/>
      <c r="G371" s="81"/>
      <c r="H371"/>
    </row>
    <row r="372" spans="6:8" x14ac:dyDescent="0.3">
      <c r="F372"/>
      <c r="G372" s="81"/>
      <c r="H372"/>
    </row>
    <row r="373" spans="6:8" x14ac:dyDescent="0.3">
      <c r="F373"/>
      <c r="G373" s="81"/>
      <c r="H373"/>
    </row>
    <row r="374" spans="6:8" x14ac:dyDescent="0.3">
      <c r="F374"/>
      <c r="G374" s="81"/>
      <c r="H374"/>
    </row>
    <row r="375" spans="6:8" x14ac:dyDescent="0.3">
      <c r="F375"/>
      <c r="G375" s="81"/>
      <c r="H375"/>
    </row>
    <row r="376" spans="6:8" x14ac:dyDescent="0.3">
      <c r="F376"/>
      <c r="G376" s="81"/>
      <c r="H376"/>
    </row>
    <row r="377" spans="6:8" x14ac:dyDescent="0.3">
      <c r="F377"/>
      <c r="G377" s="81"/>
      <c r="H377"/>
    </row>
    <row r="378" spans="6:8" x14ac:dyDescent="0.3">
      <c r="F378"/>
      <c r="G378" s="81"/>
      <c r="H378"/>
    </row>
    <row r="379" spans="6:8" x14ac:dyDescent="0.3">
      <c r="F379"/>
      <c r="G379" s="81"/>
      <c r="H379"/>
    </row>
    <row r="380" spans="6:8" x14ac:dyDescent="0.3">
      <c r="F380"/>
      <c r="G380" s="81"/>
      <c r="H380"/>
    </row>
    <row r="381" spans="6:8" x14ac:dyDescent="0.3">
      <c r="F381"/>
      <c r="G381" s="81"/>
      <c r="H381"/>
    </row>
    <row r="382" spans="6:8" x14ac:dyDescent="0.3">
      <c r="F382"/>
      <c r="G382" s="81"/>
      <c r="H382"/>
    </row>
    <row r="383" spans="6:8" x14ac:dyDescent="0.3">
      <c r="F383"/>
      <c r="G383" s="81"/>
      <c r="H383"/>
    </row>
    <row r="384" spans="6:8" x14ac:dyDescent="0.3">
      <c r="F384"/>
      <c r="G384" s="81"/>
      <c r="H384"/>
    </row>
    <row r="385" spans="6:8" x14ac:dyDescent="0.3">
      <c r="F385"/>
      <c r="G385" s="81"/>
      <c r="H385"/>
    </row>
    <row r="386" spans="6:8" x14ac:dyDescent="0.3">
      <c r="F386"/>
      <c r="G386" s="81"/>
      <c r="H386"/>
    </row>
    <row r="387" spans="6:8" x14ac:dyDescent="0.3">
      <c r="F387"/>
      <c r="G387" s="81"/>
      <c r="H387"/>
    </row>
    <row r="388" spans="6:8" x14ac:dyDescent="0.3">
      <c r="F388"/>
      <c r="G388" s="81"/>
      <c r="H388"/>
    </row>
    <row r="389" spans="6:8" x14ac:dyDescent="0.3">
      <c r="F389"/>
      <c r="G389" s="81"/>
      <c r="H389"/>
    </row>
    <row r="390" spans="6:8" x14ac:dyDescent="0.3">
      <c r="F390"/>
      <c r="G390" s="81"/>
      <c r="H390"/>
    </row>
    <row r="391" spans="6:8" x14ac:dyDescent="0.3">
      <c r="F391"/>
      <c r="G391" s="81"/>
      <c r="H391"/>
    </row>
    <row r="392" spans="6:8" x14ac:dyDescent="0.3">
      <c r="F392"/>
      <c r="G392" s="81"/>
      <c r="H392"/>
    </row>
    <row r="393" spans="6:8" x14ac:dyDescent="0.3">
      <c r="F393"/>
      <c r="G393" s="81"/>
      <c r="H393"/>
    </row>
    <row r="394" spans="6:8" x14ac:dyDescent="0.3">
      <c r="F394"/>
      <c r="G394" s="81"/>
      <c r="H394"/>
    </row>
    <row r="395" spans="6:8" x14ac:dyDescent="0.3">
      <c r="F395"/>
      <c r="G395" s="81"/>
      <c r="H395"/>
    </row>
    <row r="396" spans="6:8" x14ac:dyDescent="0.3">
      <c r="F396"/>
      <c r="G396" s="81"/>
      <c r="H396"/>
    </row>
    <row r="397" spans="6:8" x14ac:dyDescent="0.3">
      <c r="F397"/>
      <c r="G397" s="81"/>
      <c r="H397"/>
    </row>
    <row r="398" spans="6:8" x14ac:dyDescent="0.3">
      <c r="F398"/>
      <c r="G398" s="81"/>
      <c r="H398"/>
    </row>
    <row r="399" spans="6:8" x14ac:dyDescent="0.3">
      <c r="F399"/>
      <c r="G399" s="81"/>
      <c r="H399"/>
    </row>
    <row r="400" spans="6:8" x14ac:dyDescent="0.3">
      <c r="F400"/>
      <c r="G400" s="81"/>
      <c r="H400"/>
    </row>
    <row r="401" spans="6:8" x14ac:dyDescent="0.3">
      <c r="F401"/>
      <c r="G401" s="81"/>
      <c r="H401"/>
    </row>
    <row r="402" spans="6:8" x14ac:dyDescent="0.3">
      <c r="F402"/>
      <c r="G402" s="81"/>
      <c r="H402"/>
    </row>
    <row r="403" spans="6:8" x14ac:dyDescent="0.3">
      <c r="F403"/>
      <c r="G403" s="81"/>
      <c r="H403"/>
    </row>
    <row r="404" spans="6:8" x14ac:dyDescent="0.3">
      <c r="F404"/>
      <c r="G404" s="81"/>
      <c r="H404"/>
    </row>
    <row r="405" spans="6:8" x14ac:dyDescent="0.3">
      <c r="F405"/>
      <c r="G405" s="81"/>
      <c r="H405"/>
    </row>
    <row r="406" spans="6:8" x14ac:dyDescent="0.3">
      <c r="F406"/>
      <c r="G406" s="81"/>
      <c r="H406"/>
    </row>
    <row r="407" spans="6:8" x14ac:dyDescent="0.3">
      <c r="F407"/>
      <c r="G407" s="81"/>
      <c r="H407"/>
    </row>
    <row r="408" spans="6:8" x14ac:dyDescent="0.3">
      <c r="F408"/>
      <c r="G408" s="81"/>
      <c r="H408"/>
    </row>
    <row r="409" spans="6:8" x14ac:dyDescent="0.3">
      <c r="F409"/>
      <c r="G409" s="81"/>
      <c r="H409"/>
    </row>
    <row r="410" spans="6:8" x14ac:dyDescent="0.3">
      <c r="F410"/>
      <c r="G410" s="81"/>
      <c r="H410"/>
    </row>
    <row r="411" spans="6:8" x14ac:dyDescent="0.3">
      <c r="F411"/>
      <c r="G411" s="81"/>
      <c r="H411"/>
    </row>
    <row r="412" spans="6:8" x14ac:dyDescent="0.3">
      <c r="F412"/>
      <c r="G412" s="81"/>
      <c r="H412"/>
    </row>
    <row r="413" spans="6:8" x14ac:dyDescent="0.3">
      <c r="F413"/>
      <c r="G413" s="81"/>
      <c r="H413"/>
    </row>
    <row r="414" spans="6:8" x14ac:dyDescent="0.3">
      <c r="F414"/>
      <c r="G414" s="81"/>
      <c r="H414"/>
    </row>
    <row r="415" spans="6:8" x14ac:dyDescent="0.3">
      <c r="F415"/>
      <c r="G415" s="81"/>
      <c r="H415"/>
    </row>
    <row r="416" spans="6:8" x14ac:dyDescent="0.3">
      <c r="F416"/>
      <c r="G416" s="81"/>
      <c r="H416"/>
    </row>
    <row r="417" spans="6:8" x14ac:dyDescent="0.3">
      <c r="F417"/>
      <c r="G417" s="81"/>
      <c r="H417"/>
    </row>
    <row r="418" spans="6:8" x14ac:dyDescent="0.3">
      <c r="F418"/>
      <c r="G418" s="81"/>
      <c r="H418"/>
    </row>
    <row r="419" spans="6:8" x14ac:dyDescent="0.3">
      <c r="F419"/>
      <c r="G419" s="81"/>
      <c r="H419"/>
    </row>
    <row r="420" spans="6:8" x14ac:dyDescent="0.3">
      <c r="F420"/>
      <c r="G420" s="81"/>
      <c r="H420"/>
    </row>
    <row r="421" spans="6:8" x14ac:dyDescent="0.3">
      <c r="F421"/>
      <c r="G421" s="81"/>
      <c r="H421"/>
    </row>
    <row r="422" spans="6:8" x14ac:dyDescent="0.3">
      <c r="F422"/>
      <c r="G422" s="81"/>
      <c r="H422"/>
    </row>
    <row r="423" spans="6:8" x14ac:dyDescent="0.3">
      <c r="F423"/>
      <c r="G423" s="81"/>
      <c r="H423"/>
    </row>
    <row r="424" spans="6:8" x14ac:dyDescent="0.3">
      <c r="F424"/>
      <c r="G424" s="81"/>
      <c r="H424"/>
    </row>
    <row r="425" spans="6:8" x14ac:dyDescent="0.3">
      <c r="F425"/>
      <c r="G425" s="81"/>
      <c r="H425"/>
    </row>
    <row r="426" spans="6:8" x14ac:dyDescent="0.3">
      <c r="F426"/>
      <c r="G426" s="81"/>
      <c r="H426"/>
    </row>
    <row r="427" spans="6:8" x14ac:dyDescent="0.3">
      <c r="F427"/>
      <c r="G427" s="81"/>
      <c r="H427"/>
    </row>
    <row r="428" spans="6:8" x14ac:dyDescent="0.3">
      <c r="F428"/>
      <c r="G428" s="81"/>
      <c r="H428"/>
    </row>
    <row r="429" spans="6:8" x14ac:dyDescent="0.3">
      <c r="F429"/>
      <c r="G429" s="81"/>
      <c r="H429"/>
    </row>
    <row r="430" spans="6:8" x14ac:dyDescent="0.3">
      <c r="F430"/>
      <c r="G430" s="81"/>
      <c r="H430"/>
    </row>
    <row r="431" spans="6:8" x14ac:dyDescent="0.3">
      <c r="F431"/>
      <c r="G431" s="81"/>
      <c r="H431"/>
    </row>
    <row r="432" spans="6:8" x14ac:dyDescent="0.3">
      <c r="F432"/>
      <c r="G432" s="81"/>
      <c r="H432"/>
    </row>
    <row r="433" spans="6:8" x14ac:dyDescent="0.3">
      <c r="F433"/>
      <c r="G433" s="81"/>
      <c r="H433"/>
    </row>
    <row r="434" spans="6:8" x14ac:dyDescent="0.3">
      <c r="F434"/>
      <c r="G434" s="81"/>
      <c r="H434"/>
    </row>
    <row r="435" spans="6:8" x14ac:dyDescent="0.3">
      <c r="F435"/>
      <c r="G435" s="81"/>
      <c r="H435"/>
    </row>
    <row r="436" spans="6:8" x14ac:dyDescent="0.3">
      <c r="F436"/>
      <c r="G436" s="81"/>
      <c r="H436"/>
    </row>
    <row r="437" spans="6:8" x14ac:dyDescent="0.3">
      <c r="F437"/>
      <c r="G437" s="81"/>
      <c r="H437"/>
    </row>
    <row r="438" spans="6:8" x14ac:dyDescent="0.3">
      <c r="F438"/>
      <c r="G438" s="81"/>
      <c r="H438"/>
    </row>
    <row r="439" spans="6:8" x14ac:dyDescent="0.3">
      <c r="F439"/>
      <c r="G439" s="81"/>
      <c r="H439"/>
    </row>
    <row r="440" spans="6:8" x14ac:dyDescent="0.3">
      <c r="F440"/>
      <c r="G440" s="81"/>
      <c r="H440"/>
    </row>
    <row r="441" spans="6:8" x14ac:dyDescent="0.3">
      <c r="F441"/>
      <c r="G441" s="81"/>
      <c r="H441"/>
    </row>
    <row r="442" spans="6:8" x14ac:dyDescent="0.3">
      <c r="F442"/>
      <c r="G442" s="81"/>
      <c r="H442"/>
    </row>
    <row r="443" spans="6:8" x14ac:dyDescent="0.3">
      <c r="F443"/>
      <c r="G443" s="81"/>
      <c r="H443"/>
    </row>
    <row r="444" spans="6:8" x14ac:dyDescent="0.3">
      <c r="F444"/>
      <c r="G444" s="81"/>
      <c r="H444"/>
    </row>
    <row r="445" spans="6:8" x14ac:dyDescent="0.3">
      <c r="F445"/>
      <c r="G445" s="81"/>
      <c r="H445"/>
    </row>
    <row r="446" spans="6:8" x14ac:dyDescent="0.3">
      <c r="F446"/>
      <c r="G446" s="81"/>
      <c r="H446"/>
    </row>
    <row r="447" spans="6:8" x14ac:dyDescent="0.3">
      <c r="F447"/>
      <c r="G447" s="81"/>
      <c r="H447"/>
    </row>
    <row r="448" spans="6:8" x14ac:dyDescent="0.3">
      <c r="F448"/>
      <c r="G448" s="81"/>
      <c r="H448"/>
    </row>
    <row r="449" spans="6:8" x14ac:dyDescent="0.3">
      <c r="F449"/>
      <c r="G449" s="81"/>
      <c r="H449"/>
    </row>
    <row r="450" spans="6:8" x14ac:dyDescent="0.3">
      <c r="F450"/>
      <c r="G450" s="81"/>
      <c r="H450"/>
    </row>
    <row r="451" spans="6:8" x14ac:dyDescent="0.3">
      <c r="F451"/>
      <c r="G451" s="81"/>
      <c r="H451"/>
    </row>
    <row r="452" spans="6:8" x14ac:dyDescent="0.3">
      <c r="F452"/>
      <c r="G452" s="81"/>
      <c r="H452"/>
    </row>
    <row r="453" spans="6:8" x14ac:dyDescent="0.3">
      <c r="F453"/>
      <c r="G453" s="81"/>
      <c r="H453"/>
    </row>
    <row r="454" spans="6:8" x14ac:dyDescent="0.3">
      <c r="F454"/>
      <c r="G454" s="81"/>
      <c r="H454"/>
    </row>
    <row r="455" spans="6:8" x14ac:dyDescent="0.3">
      <c r="F455"/>
      <c r="G455" s="81"/>
      <c r="H455"/>
    </row>
    <row r="456" spans="6:8" x14ac:dyDescent="0.3">
      <c r="F456"/>
      <c r="G456" s="81"/>
      <c r="H456"/>
    </row>
    <row r="457" spans="6:8" x14ac:dyDescent="0.3">
      <c r="F457"/>
      <c r="G457" s="81"/>
      <c r="H457"/>
    </row>
    <row r="458" spans="6:8" x14ac:dyDescent="0.3">
      <c r="F458"/>
      <c r="G458" s="81"/>
      <c r="H458"/>
    </row>
    <row r="459" spans="6:8" x14ac:dyDescent="0.3">
      <c r="F459"/>
      <c r="G459" s="81"/>
      <c r="H459"/>
    </row>
    <row r="460" spans="6:8" x14ac:dyDescent="0.3">
      <c r="F460"/>
      <c r="G460" s="81"/>
      <c r="H460"/>
    </row>
    <row r="461" spans="6:8" x14ac:dyDescent="0.3">
      <c r="F461"/>
      <c r="G461" s="81"/>
      <c r="H461"/>
    </row>
    <row r="462" spans="6:8" x14ac:dyDescent="0.3">
      <c r="F462"/>
      <c r="G462" s="81"/>
      <c r="H462"/>
    </row>
    <row r="463" spans="6:8" x14ac:dyDescent="0.3">
      <c r="F463"/>
      <c r="G463" s="81"/>
      <c r="H463"/>
    </row>
    <row r="464" spans="6:8" x14ac:dyDescent="0.3">
      <c r="F464"/>
      <c r="G464" s="81"/>
      <c r="H464"/>
    </row>
    <row r="465" spans="6:8" x14ac:dyDescent="0.3">
      <c r="F465"/>
      <c r="G465" s="81"/>
      <c r="H465"/>
    </row>
    <row r="466" spans="6:8" x14ac:dyDescent="0.3">
      <c r="F466"/>
      <c r="G466" s="81"/>
      <c r="H466"/>
    </row>
    <row r="467" spans="6:8" x14ac:dyDescent="0.3">
      <c r="F467"/>
      <c r="G467" s="81"/>
      <c r="H467"/>
    </row>
    <row r="468" spans="6:8" x14ac:dyDescent="0.3">
      <c r="F468"/>
      <c r="G468" s="81"/>
      <c r="H468"/>
    </row>
    <row r="469" spans="6:8" x14ac:dyDescent="0.3">
      <c r="F469"/>
      <c r="G469" s="81"/>
      <c r="H469"/>
    </row>
    <row r="470" spans="6:8" x14ac:dyDescent="0.3">
      <c r="F470"/>
      <c r="G470" s="81"/>
      <c r="H470"/>
    </row>
    <row r="471" spans="6:8" x14ac:dyDescent="0.3">
      <c r="F471"/>
      <c r="G471" s="81"/>
      <c r="H471"/>
    </row>
    <row r="472" spans="6:8" x14ac:dyDescent="0.3">
      <c r="F472"/>
      <c r="G472" s="81"/>
      <c r="H472"/>
    </row>
    <row r="473" spans="6:8" x14ac:dyDescent="0.3">
      <c r="F473"/>
      <c r="G473" s="81"/>
      <c r="H473"/>
    </row>
    <row r="474" spans="6:8" x14ac:dyDescent="0.3">
      <c r="F474"/>
      <c r="G474" s="81"/>
      <c r="H474"/>
    </row>
    <row r="475" spans="6:8" x14ac:dyDescent="0.3">
      <c r="F475"/>
      <c r="G475" s="81"/>
      <c r="H475"/>
    </row>
    <row r="476" spans="6:8" x14ac:dyDescent="0.3">
      <c r="F476"/>
      <c r="G476" s="81"/>
      <c r="H476"/>
    </row>
    <row r="477" spans="6:8" x14ac:dyDescent="0.3">
      <c r="F477"/>
      <c r="G477" s="81"/>
      <c r="H477"/>
    </row>
    <row r="478" spans="6:8" x14ac:dyDescent="0.3">
      <c r="F478"/>
      <c r="G478" s="81"/>
      <c r="H478"/>
    </row>
    <row r="479" spans="6:8" x14ac:dyDescent="0.3">
      <c r="F479"/>
      <c r="G479" s="81"/>
      <c r="H479"/>
    </row>
    <row r="480" spans="6:8" x14ac:dyDescent="0.3">
      <c r="F480"/>
      <c r="G480" s="81"/>
      <c r="H480"/>
    </row>
    <row r="481" spans="6:8" x14ac:dyDescent="0.3">
      <c r="F481"/>
      <c r="G481" s="81"/>
      <c r="H481"/>
    </row>
    <row r="482" spans="6:8" x14ac:dyDescent="0.3">
      <c r="F482"/>
      <c r="G482" s="81"/>
      <c r="H482"/>
    </row>
    <row r="483" spans="6:8" x14ac:dyDescent="0.3">
      <c r="F483"/>
      <c r="G483" s="81"/>
      <c r="H483"/>
    </row>
    <row r="484" spans="6:8" x14ac:dyDescent="0.3">
      <c r="F484"/>
      <c r="G484" s="81"/>
      <c r="H484"/>
    </row>
    <row r="485" spans="6:8" x14ac:dyDescent="0.3">
      <c r="F485"/>
      <c r="G485" s="81"/>
      <c r="H485"/>
    </row>
    <row r="486" spans="6:8" x14ac:dyDescent="0.3">
      <c r="F486"/>
      <c r="G486" s="81"/>
      <c r="H486"/>
    </row>
    <row r="487" spans="6:8" x14ac:dyDescent="0.3">
      <c r="F487"/>
      <c r="G487" s="81"/>
      <c r="H487"/>
    </row>
    <row r="488" spans="6:8" x14ac:dyDescent="0.3">
      <c r="F488"/>
      <c r="G488" s="81"/>
      <c r="H488"/>
    </row>
    <row r="489" spans="6:8" x14ac:dyDescent="0.3">
      <c r="F489"/>
      <c r="G489" s="81"/>
      <c r="H489"/>
    </row>
    <row r="490" spans="6:8" x14ac:dyDescent="0.3">
      <c r="F490"/>
      <c r="G490" s="81"/>
      <c r="H490"/>
    </row>
    <row r="491" spans="6:8" x14ac:dyDescent="0.3">
      <c r="F491"/>
      <c r="G491" s="81"/>
      <c r="H491"/>
    </row>
    <row r="492" spans="6:8" x14ac:dyDescent="0.3">
      <c r="F492"/>
      <c r="G492" s="81"/>
      <c r="H492"/>
    </row>
    <row r="493" spans="6:8" x14ac:dyDescent="0.3">
      <c r="F493"/>
      <c r="G493" s="81"/>
      <c r="H493"/>
    </row>
    <row r="494" spans="6:8" x14ac:dyDescent="0.3">
      <c r="F494"/>
      <c r="G494" s="81"/>
      <c r="H494"/>
    </row>
    <row r="495" spans="6:8" x14ac:dyDescent="0.3">
      <c r="F495"/>
      <c r="G495" s="81"/>
      <c r="H495"/>
    </row>
    <row r="496" spans="6:8" x14ac:dyDescent="0.3">
      <c r="F496"/>
      <c r="G496" s="81"/>
      <c r="H496"/>
    </row>
    <row r="497" spans="6:8" x14ac:dyDescent="0.3">
      <c r="F497"/>
      <c r="G497" s="81"/>
      <c r="H497"/>
    </row>
    <row r="498" spans="6:8" x14ac:dyDescent="0.3">
      <c r="F498"/>
      <c r="G498" s="81"/>
      <c r="H498"/>
    </row>
    <row r="499" spans="6:8" x14ac:dyDescent="0.3">
      <c r="F499"/>
      <c r="G499" s="81"/>
      <c r="H499"/>
    </row>
    <row r="500" spans="6:8" x14ac:dyDescent="0.3">
      <c r="F500"/>
      <c r="G500" s="81"/>
      <c r="H500"/>
    </row>
    <row r="501" spans="6:8" x14ac:dyDescent="0.3">
      <c r="F501"/>
      <c r="G501" s="81"/>
      <c r="H501"/>
    </row>
    <row r="502" spans="6:8" x14ac:dyDescent="0.3">
      <c r="F502"/>
      <c r="G502" s="81"/>
      <c r="H502"/>
    </row>
    <row r="503" spans="6:8" x14ac:dyDescent="0.3">
      <c r="F503"/>
      <c r="G503" s="81"/>
      <c r="H503"/>
    </row>
    <row r="504" spans="6:8" x14ac:dyDescent="0.3">
      <c r="F504"/>
      <c r="G504" s="81"/>
      <c r="H504"/>
    </row>
    <row r="505" spans="6:8" x14ac:dyDescent="0.3">
      <c r="F505"/>
      <c r="G505" s="81"/>
      <c r="H505"/>
    </row>
    <row r="506" spans="6:8" x14ac:dyDescent="0.3">
      <c r="F506"/>
      <c r="G506" s="81"/>
      <c r="H506"/>
    </row>
    <row r="507" spans="6:8" x14ac:dyDescent="0.3">
      <c r="F507"/>
      <c r="G507" s="81"/>
      <c r="H507"/>
    </row>
    <row r="508" spans="6:8" x14ac:dyDescent="0.3">
      <c r="F508"/>
      <c r="G508" s="81"/>
      <c r="H508"/>
    </row>
    <row r="509" spans="6:8" x14ac:dyDescent="0.3">
      <c r="F509"/>
      <c r="G509" s="81"/>
      <c r="H509"/>
    </row>
    <row r="510" spans="6:8" x14ac:dyDescent="0.3">
      <c r="F510"/>
      <c r="G510" s="81"/>
      <c r="H510"/>
    </row>
    <row r="511" spans="6:8" x14ac:dyDescent="0.3">
      <c r="F511"/>
      <c r="G511" s="81"/>
      <c r="H511"/>
    </row>
    <row r="512" spans="6:8" x14ac:dyDescent="0.3">
      <c r="F512"/>
      <c r="G512" s="81"/>
      <c r="H512"/>
    </row>
    <row r="513" spans="6:8" x14ac:dyDescent="0.3">
      <c r="F513"/>
      <c r="G513" s="81"/>
      <c r="H513"/>
    </row>
    <row r="514" spans="6:8" x14ac:dyDescent="0.3">
      <c r="F514"/>
      <c r="G514" s="81"/>
      <c r="H514"/>
    </row>
    <row r="515" spans="6:8" x14ac:dyDescent="0.3">
      <c r="F515"/>
      <c r="G515" s="81"/>
      <c r="H515"/>
    </row>
    <row r="516" spans="6:8" x14ac:dyDescent="0.3">
      <c r="F516"/>
      <c r="G516" s="81"/>
      <c r="H516"/>
    </row>
    <row r="517" spans="6:8" x14ac:dyDescent="0.3">
      <c r="F517"/>
      <c r="G517" s="81"/>
      <c r="H517"/>
    </row>
    <row r="518" spans="6:8" x14ac:dyDescent="0.3">
      <c r="F518"/>
      <c r="G518" s="81"/>
      <c r="H518"/>
    </row>
    <row r="519" spans="6:8" x14ac:dyDescent="0.3">
      <c r="F519"/>
      <c r="G519" s="81"/>
      <c r="H519"/>
    </row>
    <row r="520" spans="6:8" x14ac:dyDescent="0.3">
      <c r="F520"/>
      <c r="G520" s="81"/>
      <c r="H520"/>
    </row>
    <row r="521" spans="6:8" x14ac:dyDescent="0.3">
      <c r="F521"/>
      <c r="G521" s="81"/>
      <c r="H521"/>
    </row>
    <row r="522" spans="6:8" x14ac:dyDescent="0.3">
      <c r="F522"/>
      <c r="G522" s="81"/>
      <c r="H522"/>
    </row>
    <row r="523" spans="6:8" x14ac:dyDescent="0.3">
      <c r="F523"/>
      <c r="G523" s="81"/>
      <c r="H523"/>
    </row>
    <row r="524" spans="6:8" x14ac:dyDescent="0.3">
      <c r="F524"/>
      <c r="G524" s="81"/>
      <c r="H524"/>
    </row>
    <row r="525" spans="6:8" x14ac:dyDescent="0.3">
      <c r="F525"/>
      <c r="G525" s="81"/>
      <c r="H525"/>
    </row>
    <row r="526" spans="6:8" x14ac:dyDescent="0.3">
      <c r="F526"/>
      <c r="G526" s="81"/>
      <c r="H526"/>
    </row>
    <row r="527" spans="6:8" x14ac:dyDescent="0.3">
      <c r="F527"/>
      <c r="G527" s="81"/>
      <c r="H527"/>
    </row>
    <row r="528" spans="6:8" x14ac:dyDescent="0.3">
      <c r="F528"/>
      <c r="G528" s="81"/>
      <c r="H528"/>
    </row>
    <row r="529" spans="6:8" x14ac:dyDescent="0.3">
      <c r="F529"/>
      <c r="G529" s="81"/>
      <c r="H529"/>
    </row>
    <row r="530" spans="6:8" x14ac:dyDescent="0.3">
      <c r="F530"/>
      <c r="G530" s="81"/>
      <c r="H530"/>
    </row>
    <row r="531" spans="6:8" x14ac:dyDescent="0.3">
      <c r="F531"/>
      <c r="G531" s="81"/>
      <c r="H531"/>
    </row>
    <row r="532" spans="6:8" x14ac:dyDescent="0.3">
      <c r="F532"/>
      <c r="G532" s="81"/>
      <c r="H532"/>
    </row>
    <row r="533" spans="6:8" x14ac:dyDescent="0.3">
      <c r="F533"/>
      <c r="G533" s="81"/>
      <c r="H533"/>
    </row>
    <row r="534" spans="6:8" x14ac:dyDescent="0.3">
      <c r="F534"/>
      <c r="G534" s="81"/>
      <c r="H534"/>
    </row>
    <row r="535" spans="6:8" x14ac:dyDescent="0.3">
      <c r="F535"/>
      <c r="G535" s="81"/>
      <c r="H535"/>
    </row>
    <row r="536" spans="6:8" x14ac:dyDescent="0.3">
      <c r="F536"/>
      <c r="G536" s="81"/>
      <c r="H536"/>
    </row>
    <row r="537" spans="6:8" x14ac:dyDescent="0.3">
      <c r="F537"/>
      <c r="G537" s="81"/>
      <c r="H537"/>
    </row>
    <row r="538" spans="6:8" x14ac:dyDescent="0.3">
      <c r="F538"/>
      <c r="G538" s="81"/>
      <c r="H538"/>
    </row>
    <row r="539" spans="6:8" x14ac:dyDescent="0.3">
      <c r="F539"/>
      <c r="G539" s="81"/>
      <c r="H539"/>
    </row>
    <row r="540" spans="6:8" x14ac:dyDescent="0.3">
      <c r="F540"/>
      <c r="G540" s="81"/>
      <c r="H540"/>
    </row>
    <row r="541" spans="6:8" x14ac:dyDescent="0.3">
      <c r="F541"/>
      <c r="G541" s="81"/>
      <c r="H541"/>
    </row>
    <row r="542" spans="6:8" x14ac:dyDescent="0.3">
      <c r="F542"/>
      <c r="G542" s="81"/>
      <c r="H542"/>
    </row>
    <row r="543" spans="6:8" x14ac:dyDescent="0.3">
      <c r="F543"/>
      <c r="G543" s="81"/>
      <c r="H543"/>
    </row>
    <row r="544" spans="6:8" x14ac:dyDescent="0.3">
      <c r="F544"/>
      <c r="G544" s="81"/>
      <c r="H544"/>
    </row>
    <row r="545" spans="6:8" x14ac:dyDescent="0.3">
      <c r="F545"/>
      <c r="G545" s="81"/>
      <c r="H545"/>
    </row>
    <row r="546" spans="6:8" x14ac:dyDescent="0.3">
      <c r="F546"/>
      <c r="G546" s="81"/>
      <c r="H546"/>
    </row>
    <row r="547" spans="6:8" x14ac:dyDescent="0.3">
      <c r="F547"/>
      <c r="G547" s="81"/>
      <c r="H547"/>
    </row>
    <row r="548" spans="6:8" x14ac:dyDescent="0.3">
      <c r="F548"/>
      <c r="G548" s="81"/>
      <c r="H548"/>
    </row>
    <row r="549" spans="6:8" x14ac:dyDescent="0.3">
      <c r="F549"/>
      <c r="G549" s="81"/>
      <c r="H549"/>
    </row>
    <row r="550" spans="6:8" x14ac:dyDescent="0.3">
      <c r="F550"/>
      <c r="G550" s="81"/>
      <c r="H550"/>
    </row>
    <row r="551" spans="6:8" x14ac:dyDescent="0.3">
      <c r="F551"/>
      <c r="G551" s="81"/>
      <c r="H551"/>
    </row>
    <row r="552" spans="6:8" x14ac:dyDescent="0.3">
      <c r="F552"/>
      <c r="G552" s="81"/>
      <c r="H552"/>
    </row>
    <row r="553" spans="6:8" x14ac:dyDescent="0.3">
      <c r="F553"/>
      <c r="G553" s="81"/>
      <c r="H553"/>
    </row>
    <row r="554" spans="6:8" x14ac:dyDescent="0.3">
      <c r="F554"/>
      <c r="G554" s="81"/>
      <c r="H554"/>
    </row>
    <row r="555" spans="6:8" x14ac:dyDescent="0.3">
      <c r="F555"/>
      <c r="G555" s="81"/>
      <c r="H555"/>
    </row>
    <row r="556" spans="6:8" x14ac:dyDescent="0.3">
      <c r="F556"/>
      <c r="G556" s="81"/>
      <c r="H556"/>
    </row>
    <row r="557" spans="6:8" x14ac:dyDescent="0.3">
      <c r="F557"/>
      <c r="G557" s="81"/>
      <c r="H557"/>
    </row>
    <row r="558" spans="6:8" x14ac:dyDescent="0.3">
      <c r="F558"/>
      <c r="G558" s="81"/>
      <c r="H558"/>
    </row>
    <row r="559" spans="6:8" x14ac:dyDescent="0.3">
      <c r="F559"/>
      <c r="G559" s="81"/>
      <c r="H559"/>
    </row>
    <row r="560" spans="6:8" x14ac:dyDescent="0.3">
      <c r="F560"/>
      <c r="G560" s="81"/>
      <c r="H560"/>
    </row>
    <row r="561" spans="6:8" x14ac:dyDescent="0.3">
      <c r="F561"/>
      <c r="G561" s="81"/>
      <c r="H561"/>
    </row>
    <row r="562" spans="6:8" x14ac:dyDescent="0.3">
      <c r="F562"/>
      <c r="G562" s="81"/>
      <c r="H562"/>
    </row>
    <row r="563" spans="6:8" x14ac:dyDescent="0.3">
      <c r="F563"/>
      <c r="G563" s="81"/>
      <c r="H563"/>
    </row>
    <row r="564" spans="6:8" x14ac:dyDescent="0.3">
      <c r="F564"/>
      <c r="G564" s="81"/>
      <c r="H564"/>
    </row>
    <row r="565" spans="6:8" x14ac:dyDescent="0.3">
      <c r="F565"/>
      <c r="G565" s="81"/>
      <c r="H565"/>
    </row>
    <row r="566" spans="6:8" x14ac:dyDescent="0.3">
      <c r="F566"/>
      <c r="G566" s="81"/>
      <c r="H566"/>
    </row>
    <row r="567" spans="6:8" x14ac:dyDescent="0.3">
      <c r="F567"/>
      <c r="G567" s="81"/>
      <c r="H567"/>
    </row>
    <row r="568" spans="6:8" x14ac:dyDescent="0.3">
      <c r="F568"/>
      <c r="G568" s="81"/>
      <c r="H568"/>
    </row>
    <row r="569" spans="6:8" x14ac:dyDescent="0.3">
      <c r="F569"/>
      <c r="G569" s="81"/>
      <c r="H569"/>
    </row>
    <row r="570" spans="6:8" x14ac:dyDescent="0.3">
      <c r="F570"/>
      <c r="G570" s="81"/>
      <c r="H570"/>
    </row>
    <row r="571" spans="6:8" x14ac:dyDescent="0.3">
      <c r="F571"/>
      <c r="G571" s="81"/>
      <c r="H571"/>
    </row>
    <row r="572" spans="6:8" x14ac:dyDescent="0.3">
      <c r="F572"/>
      <c r="G572" s="81"/>
      <c r="H572"/>
    </row>
    <row r="573" spans="6:8" x14ac:dyDescent="0.3">
      <c r="F573"/>
      <c r="G573" s="81"/>
      <c r="H573"/>
    </row>
    <row r="574" spans="6:8" x14ac:dyDescent="0.3">
      <c r="F574"/>
      <c r="G574" s="81"/>
      <c r="H574"/>
    </row>
    <row r="575" spans="6:8" x14ac:dyDescent="0.3">
      <c r="F575"/>
      <c r="G575" s="81"/>
      <c r="H575"/>
    </row>
    <row r="576" spans="6:8" x14ac:dyDescent="0.3">
      <c r="F576"/>
      <c r="G576" s="81"/>
      <c r="H576"/>
    </row>
    <row r="577" spans="6:8" x14ac:dyDescent="0.3">
      <c r="F577"/>
      <c r="G577" s="81"/>
      <c r="H577"/>
    </row>
    <row r="578" spans="6:8" x14ac:dyDescent="0.3">
      <c r="F578"/>
      <c r="G578" s="81"/>
      <c r="H578"/>
    </row>
    <row r="579" spans="6:8" x14ac:dyDescent="0.3">
      <c r="F579"/>
      <c r="G579" s="81"/>
      <c r="H579"/>
    </row>
    <row r="580" spans="6:8" x14ac:dyDescent="0.3">
      <c r="F580"/>
      <c r="G580" s="81"/>
      <c r="H580"/>
    </row>
    <row r="581" spans="6:8" x14ac:dyDescent="0.3">
      <c r="F581"/>
      <c r="G581" s="81"/>
      <c r="H581"/>
    </row>
    <row r="582" spans="6:8" x14ac:dyDescent="0.3">
      <c r="F582"/>
      <c r="G582" s="81"/>
      <c r="H582"/>
    </row>
    <row r="583" spans="6:8" x14ac:dyDescent="0.3">
      <c r="F583"/>
      <c r="G583" s="81"/>
      <c r="H583"/>
    </row>
    <row r="584" spans="6:8" x14ac:dyDescent="0.3">
      <c r="F584"/>
      <c r="G584" s="81"/>
      <c r="H584"/>
    </row>
    <row r="585" spans="6:8" x14ac:dyDescent="0.3">
      <c r="F585"/>
      <c r="G585" s="81"/>
      <c r="H585"/>
    </row>
    <row r="586" spans="6:8" x14ac:dyDescent="0.3">
      <c r="F586"/>
      <c r="G586" s="81"/>
      <c r="H586"/>
    </row>
    <row r="587" spans="6:8" x14ac:dyDescent="0.3">
      <c r="F587"/>
      <c r="G587" s="81"/>
      <c r="H587"/>
    </row>
    <row r="588" spans="6:8" x14ac:dyDescent="0.3">
      <c r="F588"/>
      <c r="G588" s="81"/>
      <c r="H588"/>
    </row>
    <row r="589" spans="6:8" x14ac:dyDescent="0.3">
      <c r="F589"/>
      <c r="G589" s="81"/>
      <c r="H589"/>
    </row>
    <row r="590" spans="6:8" x14ac:dyDescent="0.3">
      <c r="F590"/>
      <c r="G590" s="81"/>
      <c r="H590"/>
    </row>
    <row r="591" spans="6:8" x14ac:dyDescent="0.3">
      <c r="F591"/>
      <c r="G591" s="81"/>
      <c r="H591"/>
    </row>
    <row r="592" spans="6:8" x14ac:dyDescent="0.3">
      <c r="F592"/>
      <c r="G592" s="81"/>
      <c r="H592"/>
    </row>
    <row r="593" spans="6:8" x14ac:dyDescent="0.3">
      <c r="F593"/>
      <c r="G593" s="81"/>
      <c r="H593"/>
    </row>
    <row r="594" spans="6:8" x14ac:dyDescent="0.3">
      <c r="F594"/>
      <c r="G594" s="81"/>
      <c r="H594"/>
    </row>
    <row r="595" spans="6:8" x14ac:dyDescent="0.3">
      <c r="F595"/>
      <c r="G595" s="81"/>
      <c r="H595"/>
    </row>
    <row r="596" spans="6:8" x14ac:dyDescent="0.3">
      <c r="F596"/>
      <c r="G596" s="81"/>
      <c r="H596"/>
    </row>
    <row r="597" spans="6:8" x14ac:dyDescent="0.3">
      <c r="F597"/>
      <c r="G597" s="81"/>
      <c r="H597"/>
    </row>
    <row r="598" spans="6:8" x14ac:dyDescent="0.3">
      <c r="F598"/>
      <c r="G598" s="81"/>
      <c r="H598"/>
    </row>
    <row r="599" spans="6:8" x14ac:dyDescent="0.3">
      <c r="F599"/>
      <c r="G599" s="81"/>
      <c r="H599"/>
    </row>
    <row r="600" spans="6:8" x14ac:dyDescent="0.3">
      <c r="F600"/>
      <c r="G600" s="81"/>
      <c r="H600"/>
    </row>
    <row r="601" spans="6:8" x14ac:dyDescent="0.3">
      <c r="F601"/>
      <c r="G601" s="81"/>
      <c r="H601"/>
    </row>
    <row r="602" spans="6:8" x14ac:dyDescent="0.3">
      <c r="F602"/>
      <c r="G602" s="81"/>
      <c r="H602"/>
    </row>
    <row r="603" spans="6:8" x14ac:dyDescent="0.3">
      <c r="F603"/>
      <c r="G603" s="81"/>
      <c r="H603"/>
    </row>
    <row r="604" spans="6:8" x14ac:dyDescent="0.3">
      <c r="F604"/>
      <c r="G604" s="81"/>
      <c r="H604"/>
    </row>
    <row r="605" spans="6:8" x14ac:dyDescent="0.3">
      <c r="F605"/>
      <c r="G605" s="81"/>
      <c r="H605"/>
    </row>
    <row r="606" spans="6:8" x14ac:dyDescent="0.3">
      <c r="F606"/>
      <c r="G606" s="81"/>
      <c r="H606"/>
    </row>
    <row r="607" spans="6:8" x14ac:dyDescent="0.3">
      <c r="F607"/>
      <c r="G607" s="81"/>
      <c r="H607"/>
    </row>
    <row r="608" spans="6:8" x14ac:dyDescent="0.3">
      <c r="F608"/>
      <c r="G608" s="81"/>
      <c r="H608"/>
    </row>
    <row r="609" spans="6:8" x14ac:dyDescent="0.3">
      <c r="F609"/>
      <c r="G609" s="81"/>
      <c r="H609"/>
    </row>
    <row r="610" spans="6:8" x14ac:dyDescent="0.3">
      <c r="F610"/>
      <c r="G610" s="81"/>
      <c r="H610"/>
    </row>
    <row r="611" spans="6:8" x14ac:dyDescent="0.3">
      <c r="F611"/>
      <c r="G611" s="81"/>
      <c r="H611"/>
    </row>
    <row r="612" spans="6:8" x14ac:dyDescent="0.3">
      <c r="F612"/>
      <c r="G612" s="81"/>
      <c r="H612"/>
    </row>
    <row r="613" spans="6:8" x14ac:dyDescent="0.3">
      <c r="F613"/>
      <c r="G613" s="81"/>
      <c r="H613"/>
    </row>
    <row r="614" spans="6:8" x14ac:dyDescent="0.3">
      <c r="F614"/>
      <c r="G614" s="81"/>
      <c r="H614"/>
    </row>
    <row r="615" spans="6:8" x14ac:dyDescent="0.3">
      <c r="F615"/>
      <c r="G615" s="81"/>
      <c r="H615"/>
    </row>
    <row r="616" spans="6:8" x14ac:dyDescent="0.3">
      <c r="F616"/>
      <c r="G616" s="81"/>
      <c r="H616"/>
    </row>
    <row r="617" spans="6:8" x14ac:dyDescent="0.3">
      <c r="F617"/>
      <c r="G617" s="81"/>
      <c r="H617"/>
    </row>
    <row r="618" spans="6:8" x14ac:dyDescent="0.3">
      <c r="F618"/>
      <c r="G618" s="81"/>
      <c r="H618"/>
    </row>
    <row r="619" spans="6:8" x14ac:dyDescent="0.3">
      <c r="F619"/>
      <c r="G619" s="81"/>
      <c r="H619"/>
    </row>
    <row r="620" spans="6:8" x14ac:dyDescent="0.3">
      <c r="F620"/>
      <c r="G620" s="81"/>
      <c r="H620"/>
    </row>
    <row r="621" spans="6:8" x14ac:dyDescent="0.3">
      <c r="F621"/>
      <c r="G621" s="81"/>
      <c r="H621"/>
    </row>
    <row r="622" spans="6:8" x14ac:dyDescent="0.3">
      <c r="F622"/>
      <c r="G622" s="81"/>
      <c r="H622"/>
    </row>
    <row r="623" spans="6:8" x14ac:dyDescent="0.3">
      <c r="F623"/>
      <c r="G623" s="81"/>
      <c r="H623"/>
    </row>
    <row r="624" spans="6:8" x14ac:dyDescent="0.3">
      <c r="F624"/>
      <c r="G624" s="81"/>
      <c r="H624"/>
    </row>
    <row r="625" spans="6:8" x14ac:dyDescent="0.3">
      <c r="F625"/>
      <c r="G625" s="81"/>
      <c r="H625"/>
    </row>
    <row r="626" spans="6:8" x14ac:dyDescent="0.3">
      <c r="F626"/>
      <c r="G626" s="81"/>
      <c r="H626"/>
    </row>
    <row r="627" spans="6:8" x14ac:dyDescent="0.3">
      <c r="F627"/>
      <c r="G627" s="81"/>
      <c r="H627"/>
    </row>
    <row r="628" spans="6:8" x14ac:dyDescent="0.3">
      <c r="F628"/>
      <c r="G628" s="81"/>
      <c r="H628"/>
    </row>
    <row r="629" spans="6:8" x14ac:dyDescent="0.3">
      <c r="F629"/>
      <c r="G629" s="81"/>
      <c r="H629"/>
    </row>
    <row r="630" spans="6:8" x14ac:dyDescent="0.3">
      <c r="F630"/>
      <c r="G630" s="81"/>
      <c r="H630"/>
    </row>
    <row r="631" spans="6:8" x14ac:dyDescent="0.3">
      <c r="F631"/>
      <c r="G631" s="81"/>
      <c r="H631"/>
    </row>
    <row r="632" spans="6:8" x14ac:dyDescent="0.3">
      <c r="F632"/>
      <c r="G632" s="81"/>
      <c r="H632"/>
    </row>
    <row r="633" spans="6:8" x14ac:dyDescent="0.3">
      <c r="F633"/>
      <c r="G633" s="81"/>
      <c r="H633"/>
    </row>
    <row r="634" spans="6:8" x14ac:dyDescent="0.3">
      <c r="F634"/>
      <c r="G634" s="81"/>
      <c r="H634"/>
    </row>
    <row r="635" spans="6:8" x14ac:dyDescent="0.3">
      <c r="F635"/>
      <c r="G635" s="81"/>
      <c r="H635"/>
    </row>
    <row r="636" spans="6:8" x14ac:dyDescent="0.3">
      <c r="F636"/>
      <c r="G636" s="81"/>
      <c r="H636"/>
    </row>
    <row r="637" spans="6:8" x14ac:dyDescent="0.3">
      <c r="F637"/>
      <c r="G637" s="81"/>
      <c r="H637"/>
    </row>
    <row r="638" spans="6:8" x14ac:dyDescent="0.3">
      <c r="F638"/>
      <c r="G638" s="81"/>
      <c r="H638"/>
    </row>
    <row r="639" spans="6:8" x14ac:dyDescent="0.3">
      <c r="F639"/>
      <c r="G639" s="81"/>
      <c r="H639"/>
    </row>
    <row r="640" spans="6:8" x14ac:dyDescent="0.3">
      <c r="F640"/>
      <c r="G640" s="81"/>
      <c r="H640"/>
    </row>
    <row r="641" spans="6:8" x14ac:dyDescent="0.3">
      <c r="F641"/>
      <c r="G641" s="81"/>
      <c r="H641"/>
    </row>
    <row r="642" spans="6:8" x14ac:dyDescent="0.3">
      <c r="F642"/>
      <c r="G642" s="81"/>
      <c r="H642"/>
    </row>
    <row r="643" spans="6:8" x14ac:dyDescent="0.3">
      <c r="F643"/>
      <c r="G643" s="81"/>
      <c r="H643"/>
    </row>
    <row r="644" spans="6:8" x14ac:dyDescent="0.3">
      <c r="F644"/>
      <c r="G644" s="81"/>
      <c r="H644"/>
    </row>
    <row r="645" spans="6:8" x14ac:dyDescent="0.3">
      <c r="F645"/>
      <c r="G645" s="81"/>
      <c r="H645"/>
    </row>
    <row r="646" spans="6:8" x14ac:dyDescent="0.3">
      <c r="F646"/>
      <c r="G646" s="81"/>
      <c r="H646"/>
    </row>
    <row r="647" spans="6:8" x14ac:dyDescent="0.3">
      <c r="F647"/>
      <c r="G647" s="81"/>
      <c r="H647"/>
    </row>
    <row r="648" spans="6:8" x14ac:dyDescent="0.3">
      <c r="F648"/>
      <c r="G648" s="81"/>
      <c r="H648"/>
    </row>
    <row r="649" spans="6:8" x14ac:dyDescent="0.3">
      <c r="F649"/>
      <c r="G649" s="81"/>
      <c r="H649"/>
    </row>
    <row r="650" spans="6:8" x14ac:dyDescent="0.3">
      <c r="F650"/>
      <c r="G650" s="81"/>
      <c r="H650"/>
    </row>
    <row r="651" spans="6:8" x14ac:dyDescent="0.3">
      <c r="F651"/>
      <c r="G651" s="81"/>
      <c r="H651"/>
    </row>
    <row r="652" spans="6:8" x14ac:dyDescent="0.3">
      <c r="F652"/>
      <c r="G652" s="81"/>
      <c r="H652"/>
    </row>
    <row r="653" spans="6:8" x14ac:dyDescent="0.3">
      <c r="F653"/>
      <c r="G653" s="81"/>
      <c r="H653"/>
    </row>
    <row r="654" spans="6:8" x14ac:dyDescent="0.3">
      <c r="F654"/>
      <c r="G654" s="81"/>
      <c r="H654"/>
    </row>
    <row r="655" spans="6:8" x14ac:dyDescent="0.3">
      <c r="F655"/>
      <c r="G655" s="81"/>
      <c r="H655"/>
    </row>
    <row r="656" spans="6:8" x14ac:dyDescent="0.3">
      <c r="F656"/>
      <c r="G656" s="81"/>
      <c r="H656"/>
    </row>
    <row r="657" spans="6:8" x14ac:dyDescent="0.3">
      <c r="F657"/>
      <c r="G657" s="81"/>
      <c r="H657"/>
    </row>
    <row r="658" spans="6:8" x14ac:dyDescent="0.3">
      <c r="F658"/>
      <c r="G658" s="81"/>
      <c r="H658"/>
    </row>
    <row r="659" spans="6:8" x14ac:dyDescent="0.3">
      <c r="F659"/>
      <c r="G659" s="81"/>
      <c r="H659"/>
    </row>
    <row r="660" spans="6:8" x14ac:dyDescent="0.3">
      <c r="F660"/>
      <c r="G660" s="81"/>
      <c r="H660"/>
    </row>
    <row r="661" spans="6:8" x14ac:dyDescent="0.3">
      <c r="F661"/>
      <c r="G661" s="81"/>
      <c r="H661"/>
    </row>
    <row r="662" spans="6:8" x14ac:dyDescent="0.3">
      <c r="F662"/>
      <c r="G662" s="81"/>
      <c r="H662"/>
    </row>
    <row r="663" spans="6:8" x14ac:dyDescent="0.3">
      <c r="F663"/>
      <c r="G663" s="81"/>
      <c r="H663"/>
    </row>
    <row r="664" spans="6:8" x14ac:dyDescent="0.3">
      <c r="F664"/>
      <c r="G664" s="81"/>
      <c r="H664"/>
    </row>
    <row r="665" spans="6:8" x14ac:dyDescent="0.3">
      <c r="F665"/>
      <c r="G665" s="81"/>
      <c r="H665"/>
    </row>
    <row r="666" spans="6:8" x14ac:dyDescent="0.3">
      <c r="F666"/>
      <c r="G666" s="81"/>
      <c r="H666"/>
    </row>
    <row r="667" spans="6:8" x14ac:dyDescent="0.3">
      <c r="F667"/>
      <c r="G667" s="81"/>
      <c r="H667"/>
    </row>
    <row r="668" spans="6:8" x14ac:dyDescent="0.3">
      <c r="F668"/>
      <c r="G668" s="81"/>
      <c r="H668"/>
    </row>
    <row r="669" spans="6:8" x14ac:dyDescent="0.3">
      <c r="F669"/>
      <c r="G669" s="81"/>
      <c r="H669"/>
    </row>
    <row r="670" spans="6:8" x14ac:dyDescent="0.3">
      <c r="F670"/>
      <c r="G670" s="81"/>
      <c r="H670"/>
    </row>
    <row r="671" spans="6:8" x14ac:dyDescent="0.3">
      <c r="F671"/>
      <c r="G671" s="81"/>
      <c r="H671"/>
    </row>
    <row r="672" spans="6:8" x14ac:dyDescent="0.3">
      <c r="F672"/>
      <c r="G672" s="81"/>
      <c r="H672"/>
    </row>
    <row r="673" spans="6:8" x14ac:dyDescent="0.3">
      <c r="F673"/>
      <c r="G673" s="81"/>
      <c r="H673"/>
    </row>
    <row r="674" spans="6:8" x14ac:dyDescent="0.3">
      <c r="F674"/>
      <c r="G674" s="81"/>
      <c r="H674"/>
    </row>
    <row r="675" spans="6:8" x14ac:dyDescent="0.3">
      <c r="F675"/>
      <c r="G675" s="81"/>
      <c r="H675"/>
    </row>
    <row r="676" spans="6:8" x14ac:dyDescent="0.3">
      <c r="F676"/>
      <c r="G676" s="81"/>
      <c r="H676"/>
    </row>
    <row r="677" spans="6:8" x14ac:dyDescent="0.3">
      <c r="F677"/>
      <c r="G677" s="81"/>
      <c r="H677"/>
    </row>
    <row r="678" spans="6:8" x14ac:dyDescent="0.3">
      <c r="F678"/>
      <c r="G678" s="81"/>
      <c r="H678"/>
    </row>
    <row r="679" spans="6:8" x14ac:dyDescent="0.3">
      <c r="F679"/>
      <c r="G679" s="81"/>
      <c r="H679"/>
    </row>
    <row r="680" spans="6:8" x14ac:dyDescent="0.3">
      <c r="F680"/>
      <c r="G680" s="81"/>
      <c r="H680"/>
    </row>
    <row r="681" spans="6:8" x14ac:dyDescent="0.3">
      <c r="F681"/>
      <c r="G681" s="81"/>
      <c r="H681"/>
    </row>
    <row r="682" spans="6:8" x14ac:dyDescent="0.3">
      <c r="F682"/>
      <c r="G682" s="81"/>
      <c r="H682"/>
    </row>
    <row r="683" spans="6:8" x14ac:dyDescent="0.3">
      <c r="F683"/>
      <c r="G683" s="81"/>
      <c r="H683"/>
    </row>
    <row r="684" spans="6:8" x14ac:dyDescent="0.3">
      <c r="F684"/>
      <c r="G684" s="81"/>
      <c r="H684"/>
    </row>
    <row r="685" spans="6:8" x14ac:dyDescent="0.3">
      <c r="F685"/>
      <c r="G685" s="81"/>
      <c r="H685"/>
    </row>
    <row r="686" spans="6:8" x14ac:dyDescent="0.3">
      <c r="F686"/>
      <c r="G686" s="81"/>
      <c r="H686"/>
    </row>
    <row r="687" spans="6:8" x14ac:dyDescent="0.3">
      <c r="F687"/>
      <c r="G687" s="81"/>
      <c r="H687"/>
    </row>
    <row r="688" spans="6:8" x14ac:dyDescent="0.3">
      <c r="F688"/>
      <c r="G688" s="81"/>
      <c r="H688"/>
    </row>
    <row r="689" spans="6:8" x14ac:dyDescent="0.3">
      <c r="F689"/>
      <c r="G689" s="81"/>
      <c r="H689"/>
    </row>
    <row r="690" spans="6:8" x14ac:dyDescent="0.3">
      <c r="F690"/>
      <c r="G690" s="81"/>
      <c r="H690"/>
    </row>
    <row r="691" spans="6:8" x14ac:dyDescent="0.3">
      <c r="F691"/>
      <c r="G691" s="81"/>
      <c r="H691"/>
    </row>
    <row r="692" spans="6:8" x14ac:dyDescent="0.3">
      <c r="F692"/>
      <c r="G692" s="81"/>
      <c r="H692"/>
    </row>
    <row r="693" spans="6:8" x14ac:dyDescent="0.3">
      <c r="F693"/>
      <c r="G693" s="81"/>
      <c r="H693"/>
    </row>
    <row r="694" spans="6:8" x14ac:dyDescent="0.3">
      <c r="F694"/>
      <c r="G694" s="81"/>
      <c r="H694"/>
    </row>
    <row r="695" spans="6:8" x14ac:dyDescent="0.3">
      <c r="F695"/>
      <c r="G695" s="81"/>
      <c r="H695"/>
    </row>
    <row r="696" spans="6:8" x14ac:dyDescent="0.3">
      <c r="F696"/>
      <c r="G696" s="81"/>
      <c r="H696"/>
    </row>
    <row r="697" spans="6:8" x14ac:dyDescent="0.3">
      <c r="F697"/>
      <c r="G697" s="81"/>
      <c r="H697"/>
    </row>
    <row r="698" spans="6:8" x14ac:dyDescent="0.3">
      <c r="F698"/>
      <c r="G698" s="81"/>
      <c r="H698"/>
    </row>
    <row r="699" spans="6:8" x14ac:dyDescent="0.3">
      <c r="F699"/>
      <c r="G699" s="81"/>
      <c r="H699"/>
    </row>
    <row r="700" spans="6:8" x14ac:dyDescent="0.3">
      <c r="F700"/>
      <c r="G700" s="81"/>
      <c r="H700"/>
    </row>
    <row r="701" spans="6:8" x14ac:dyDescent="0.3">
      <c r="F701"/>
      <c r="G701" s="81"/>
      <c r="H701"/>
    </row>
    <row r="702" spans="6:8" x14ac:dyDescent="0.3">
      <c r="F702"/>
      <c r="G702" s="81"/>
      <c r="H702"/>
    </row>
    <row r="703" spans="6:8" x14ac:dyDescent="0.3">
      <c r="F703"/>
      <c r="G703" s="81"/>
      <c r="H703"/>
    </row>
    <row r="704" spans="6:8" x14ac:dyDescent="0.3">
      <c r="F704"/>
      <c r="G704" s="81"/>
      <c r="H704"/>
    </row>
    <row r="705" spans="6:8" x14ac:dyDescent="0.3">
      <c r="F705"/>
      <c r="G705" s="81"/>
      <c r="H705"/>
    </row>
    <row r="706" spans="6:8" x14ac:dyDescent="0.3">
      <c r="F706"/>
      <c r="G706" s="81"/>
      <c r="H706"/>
    </row>
    <row r="707" spans="6:8" x14ac:dyDescent="0.3">
      <c r="F707"/>
      <c r="G707" s="81"/>
      <c r="H707"/>
    </row>
    <row r="708" spans="6:8" x14ac:dyDescent="0.3">
      <c r="F708"/>
      <c r="G708" s="81"/>
      <c r="H708"/>
    </row>
    <row r="709" spans="6:8" x14ac:dyDescent="0.3">
      <c r="F709"/>
      <c r="G709" s="81"/>
      <c r="H709"/>
    </row>
    <row r="710" spans="6:8" x14ac:dyDescent="0.3">
      <c r="F710"/>
      <c r="G710" s="81"/>
      <c r="H710"/>
    </row>
    <row r="711" spans="6:8" x14ac:dyDescent="0.3">
      <c r="F711"/>
      <c r="G711" s="81"/>
      <c r="H711"/>
    </row>
    <row r="712" spans="6:8" x14ac:dyDescent="0.3">
      <c r="F712"/>
      <c r="G712" s="81"/>
      <c r="H712"/>
    </row>
    <row r="713" spans="6:8" x14ac:dyDescent="0.3">
      <c r="F713"/>
      <c r="G713" s="81"/>
      <c r="H713"/>
    </row>
    <row r="714" spans="6:8" x14ac:dyDescent="0.3">
      <c r="F714"/>
      <c r="G714" s="81"/>
      <c r="H714"/>
    </row>
    <row r="715" spans="6:8" x14ac:dyDescent="0.3">
      <c r="F715"/>
      <c r="G715" s="81"/>
      <c r="H715"/>
    </row>
    <row r="716" spans="6:8" x14ac:dyDescent="0.3">
      <c r="F716"/>
      <c r="G716" s="81"/>
      <c r="H716"/>
    </row>
    <row r="717" spans="6:8" x14ac:dyDescent="0.3">
      <c r="F717"/>
      <c r="G717" s="81"/>
      <c r="H717"/>
    </row>
    <row r="718" spans="6:8" x14ac:dyDescent="0.3">
      <c r="F718"/>
      <c r="G718" s="81"/>
      <c r="H718"/>
    </row>
    <row r="719" spans="6:8" x14ac:dyDescent="0.3">
      <c r="F719"/>
      <c r="G719" s="81"/>
      <c r="H719"/>
    </row>
    <row r="720" spans="6:8" x14ac:dyDescent="0.3">
      <c r="F720"/>
      <c r="G720" s="81"/>
      <c r="H720"/>
    </row>
    <row r="721" spans="6:8" x14ac:dyDescent="0.3">
      <c r="F721"/>
      <c r="G721" s="81"/>
      <c r="H721"/>
    </row>
    <row r="722" spans="6:8" x14ac:dyDescent="0.3">
      <c r="F722"/>
      <c r="G722" s="81"/>
      <c r="H722"/>
    </row>
    <row r="723" spans="6:8" x14ac:dyDescent="0.3">
      <c r="F723"/>
      <c r="G723" s="81"/>
      <c r="H723"/>
    </row>
    <row r="724" spans="6:8" x14ac:dyDescent="0.3">
      <c r="F724"/>
      <c r="G724" s="81"/>
      <c r="H724"/>
    </row>
    <row r="725" spans="6:8" x14ac:dyDescent="0.3">
      <c r="F725"/>
      <c r="G725" s="81"/>
      <c r="H725"/>
    </row>
    <row r="726" spans="6:8" x14ac:dyDescent="0.3">
      <c r="F726"/>
      <c r="G726" s="81"/>
      <c r="H726"/>
    </row>
    <row r="727" spans="6:8" x14ac:dyDescent="0.3">
      <c r="F727"/>
      <c r="G727" s="81"/>
      <c r="H727"/>
    </row>
    <row r="728" spans="6:8" x14ac:dyDescent="0.3">
      <c r="F728"/>
      <c r="G728" s="81"/>
      <c r="H728"/>
    </row>
    <row r="729" spans="6:8" x14ac:dyDescent="0.3">
      <c r="F729"/>
      <c r="G729" s="81"/>
      <c r="H729"/>
    </row>
    <row r="730" spans="6:8" x14ac:dyDescent="0.3">
      <c r="F730"/>
      <c r="G730" s="81"/>
      <c r="H730"/>
    </row>
    <row r="731" spans="6:8" x14ac:dyDescent="0.3">
      <c r="F731"/>
      <c r="G731" s="81"/>
      <c r="H731"/>
    </row>
    <row r="732" spans="6:8" x14ac:dyDescent="0.3">
      <c r="F732"/>
      <c r="G732" s="81"/>
      <c r="H732"/>
    </row>
    <row r="733" spans="6:8" x14ac:dyDescent="0.3">
      <c r="F733"/>
      <c r="G733" s="81"/>
      <c r="H733"/>
    </row>
    <row r="734" spans="6:8" x14ac:dyDescent="0.3">
      <c r="F734"/>
      <c r="G734" s="81"/>
      <c r="H734"/>
    </row>
    <row r="735" spans="6:8" x14ac:dyDescent="0.3">
      <c r="F735"/>
      <c r="G735" s="81"/>
      <c r="H735"/>
    </row>
    <row r="736" spans="6:8" x14ac:dyDescent="0.3">
      <c r="F736"/>
      <c r="G736" s="81"/>
      <c r="H736"/>
    </row>
    <row r="737" spans="6:8" x14ac:dyDescent="0.3">
      <c r="F737"/>
      <c r="G737" s="81"/>
      <c r="H737"/>
    </row>
    <row r="738" spans="6:8" x14ac:dyDescent="0.3">
      <c r="F738"/>
      <c r="G738" s="81"/>
      <c r="H738"/>
    </row>
    <row r="739" spans="6:8" x14ac:dyDescent="0.3">
      <c r="F739"/>
      <c r="G739" s="81"/>
      <c r="H739"/>
    </row>
    <row r="740" spans="6:8" x14ac:dyDescent="0.3">
      <c r="F740"/>
      <c r="G740" s="81"/>
      <c r="H740"/>
    </row>
    <row r="741" spans="6:8" x14ac:dyDescent="0.3">
      <c r="F741"/>
      <c r="G741" s="81"/>
      <c r="H741"/>
    </row>
    <row r="742" spans="6:8" x14ac:dyDescent="0.3">
      <c r="F742"/>
      <c r="G742" s="81"/>
      <c r="H742"/>
    </row>
    <row r="743" spans="6:8" x14ac:dyDescent="0.3">
      <c r="F743"/>
      <c r="G743" s="81"/>
      <c r="H743"/>
    </row>
    <row r="744" spans="6:8" x14ac:dyDescent="0.3">
      <c r="F744"/>
      <c r="G744" s="81"/>
      <c r="H744"/>
    </row>
    <row r="745" spans="6:8" x14ac:dyDescent="0.3">
      <c r="F745"/>
      <c r="G745" s="81"/>
      <c r="H745"/>
    </row>
    <row r="746" spans="6:8" x14ac:dyDescent="0.3">
      <c r="F746"/>
      <c r="G746" s="81"/>
      <c r="H746"/>
    </row>
    <row r="747" spans="6:8" x14ac:dyDescent="0.3">
      <c r="F747"/>
      <c r="G747" s="81"/>
      <c r="H747"/>
    </row>
    <row r="748" spans="6:8" x14ac:dyDescent="0.3">
      <c r="F748"/>
      <c r="G748" s="81"/>
      <c r="H748"/>
    </row>
    <row r="749" spans="6:8" x14ac:dyDescent="0.3">
      <c r="F749"/>
      <c r="G749" s="81"/>
      <c r="H749"/>
    </row>
    <row r="750" spans="6:8" x14ac:dyDescent="0.3">
      <c r="F750"/>
      <c r="G750" s="81"/>
      <c r="H750"/>
    </row>
    <row r="751" spans="6:8" x14ac:dyDescent="0.3">
      <c r="F751"/>
      <c r="G751" s="81"/>
      <c r="H751"/>
    </row>
    <row r="752" spans="6:8" x14ac:dyDescent="0.3">
      <c r="F752"/>
      <c r="G752" s="81"/>
      <c r="H752"/>
    </row>
    <row r="753" spans="6:8" x14ac:dyDescent="0.3">
      <c r="F753"/>
      <c r="G753" s="81"/>
      <c r="H753"/>
    </row>
    <row r="754" spans="6:8" x14ac:dyDescent="0.3">
      <c r="F754"/>
      <c r="G754" s="81"/>
      <c r="H754"/>
    </row>
    <row r="755" spans="6:8" x14ac:dyDescent="0.3">
      <c r="F755"/>
      <c r="G755" s="81"/>
      <c r="H755"/>
    </row>
    <row r="756" spans="6:8" x14ac:dyDescent="0.3">
      <c r="F756"/>
      <c r="G756" s="81"/>
      <c r="H756"/>
    </row>
    <row r="757" spans="6:8" x14ac:dyDescent="0.3">
      <c r="F757"/>
      <c r="G757" s="81"/>
      <c r="H757"/>
    </row>
    <row r="758" spans="6:8" x14ac:dyDescent="0.3">
      <c r="F758"/>
      <c r="G758" s="81"/>
      <c r="H758"/>
    </row>
    <row r="759" spans="6:8" x14ac:dyDescent="0.3">
      <c r="F759"/>
      <c r="G759" s="81"/>
      <c r="H759"/>
    </row>
    <row r="760" spans="6:8" x14ac:dyDescent="0.3">
      <c r="F760"/>
      <c r="G760" s="81"/>
      <c r="H760"/>
    </row>
    <row r="761" spans="6:8" x14ac:dyDescent="0.3">
      <c r="F761"/>
      <c r="G761" s="81"/>
      <c r="H761"/>
    </row>
    <row r="762" spans="6:8" x14ac:dyDescent="0.3">
      <c r="F762"/>
      <c r="G762" s="81"/>
      <c r="H762"/>
    </row>
    <row r="763" spans="6:8" x14ac:dyDescent="0.3">
      <c r="F763"/>
      <c r="G763" s="81"/>
      <c r="H763"/>
    </row>
    <row r="764" spans="6:8" x14ac:dyDescent="0.3">
      <c r="F764"/>
      <c r="G764" s="81"/>
      <c r="H764"/>
    </row>
    <row r="765" spans="6:8" x14ac:dyDescent="0.3">
      <c r="F765"/>
      <c r="G765" s="81"/>
      <c r="H765"/>
    </row>
    <row r="766" spans="6:8" x14ac:dyDescent="0.3">
      <c r="F766"/>
      <c r="G766" s="81"/>
      <c r="H766"/>
    </row>
    <row r="767" spans="6:8" x14ac:dyDescent="0.3">
      <c r="F767"/>
      <c r="G767" s="81"/>
      <c r="H767"/>
    </row>
    <row r="768" spans="6:8" x14ac:dyDescent="0.3">
      <c r="F768"/>
      <c r="G768" s="81"/>
      <c r="H768"/>
    </row>
    <row r="769" spans="6:8" x14ac:dyDescent="0.3">
      <c r="F769"/>
      <c r="G769" s="81"/>
      <c r="H769"/>
    </row>
    <row r="770" spans="6:8" x14ac:dyDescent="0.3">
      <c r="F770"/>
      <c r="G770" s="81"/>
      <c r="H770"/>
    </row>
    <row r="771" spans="6:8" x14ac:dyDescent="0.3">
      <c r="F771"/>
      <c r="G771" s="81"/>
      <c r="H771"/>
    </row>
    <row r="772" spans="6:8" x14ac:dyDescent="0.3">
      <c r="F772"/>
      <c r="G772" s="81"/>
      <c r="H772"/>
    </row>
    <row r="773" spans="6:8" x14ac:dyDescent="0.3">
      <c r="F773"/>
      <c r="G773" s="81"/>
      <c r="H773"/>
    </row>
    <row r="774" spans="6:8" x14ac:dyDescent="0.3">
      <c r="F774"/>
      <c r="G774" s="81"/>
      <c r="H774"/>
    </row>
    <row r="775" spans="6:8" x14ac:dyDescent="0.3">
      <c r="F775"/>
      <c r="G775" s="81"/>
      <c r="H775"/>
    </row>
    <row r="776" spans="6:8" x14ac:dyDescent="0.3">
      <c r="F776"/>
      <c r="G776" s="81"/>
      <c r="H776"/>
    </row>
    <row r="777" spans="6:8" x14ac:dyDescent="0.3">
      <c r="F777"/>
      <c r="G777" s="81"/>
      <c r="H777"/>
    </row>
    <row r="778" spans="6:8" x14ac:dyDescent="0.3">
      <c r="F778"/>
      <c r="G778" s="81"/>
      <c r="H778"/>
    </row>
    <row r="779" spans="6:8" x14ac:dyDescent="0.3">
      <c r="F779"/>
      <c r="G779" s="81"/>
      <c r="H779"/>
    </row>
    <row r="780" spans="6:8" x14ac:dyDescent="0.3">
      <c r="F780"/>
      <c r="G780" s="81"/>
      <c r="H780"/>
    </row>
    <row r="781" spans="6:8" x14ac:dyDescent="0.3">
      <c r="F781"/>
      <c r="G781" s="81"/>
      <c r="H781"/>
    </row>
    <row r="782" spans="6:8" x14ac:dyDescent="0.3">
      <c r="F782"/>
      <c r="G782" s="81"/>
      <c r="H782"/>
    </row>
    <row r="783" spans="6:8" x14ac:dyDescent="0.3">
      <c r="F783"/>
      <c r="G783" s="81"/>
      <c r="H783"/>
    </row>
    <row r="784" spans="6:8" x14ac:dyDescent="0.3">
      <c r="F784"/>
      <c r="G784" s="81"/>
      <c r="H784"/>
    </row>
    <row r="785" spans="6:8" x14ac:dyDescent="0.3">
      <c r="F785"/>
      <c r="G785" s="81"/>
      <c r="H785"/>
    </row>
    <row r="786" spans="6:8" x14ac:dyDescent="0.3">
      <c r="F786"/>
      <c r="G786" s="81"/>
      <c r="H786"/>
    </row>
    <row r="787" spans="6:8" x14ac:dyDescent="0.3">
      <c r="F787"/>
      <c r="G787" s="81"/>
      <c r="H787"/>
    </row>
    <row r="788" spans="6:8" x14ac:dyDescent="0.3">
      <c r="F788"/>
      <c r="G788" s="81"/>
      <c r="H788"/>
    </row>
    <row r="789" spans="6:8" x14ac:dyDescent="0.3">
      <c r="F789"/>
      <c r="G789" s="81"/>
      <c r="H789"/>
    </row>
    <row r="790" spans="6:8" x14ac:dyDescent="0.3">
      <c r="F790"/>
      <c r="G790" s="81"/>
      <c r="H790"/>
    </row>
    <row r="791" spans="6:8" x14ac:dyDescent="0.3">
      <c r="F791"/>
      <c r="G791" s="81"/>
      <c r="H791"/>
    </row>
    <row r="792" spans="6:8" x14ac:dyDescent="0.3">
      <c r="F792"/>
      <c r="G792" s="81"/>
      <c r="H792"/>
    </row>
    <row r="793" spans="6:8" x14ac:dyDescent="0.3">
      <c r="F793"/>
      <c r="G793" s="81"/>
      <c r="H793"/>
    </row>
    <row r="794" spans="6:8" x14ac:dyDescent="0.3">
      <c r="F794"/>
      <c r="G794" s="81"/>
      <c r="H794"/>
    </row>
    <row r="795" spans="6:8" x14ac:dyDescent="0.3">
      <c r="F795"/>
      <c r="G795" s="81"/>
      <c r="H795"/>
    </row>
    <row r="796" spans="6:8" x14ac:dyDescent="0.3">
      <c r="F796"/>
      <c r="G796" s="81"/>
      <c r="H796"/>
    </row>
    <row r="797" spans="6:8" x14ac:dyDescent="0.3">
      <c r="F797"/>
      <c r="G797" s="81"/>
      <c r="H797"/>
    </row>
    <row r="798" spans="6:8" x14ac:dyDescent="0.3">
      <c r="F798"/>
      <c r="G798" s="81"/>
      <c r="H798"/>
    </row>
    <row r="799" spans="6:8" x14ac:dyDescent="0.3">
      <c r="F799"/>
      <c r="G799" s="81"/>
      <c r="H799"/>
    </row>
    <row r="800" spans="6:8" x14ac:dyDescent="0.3">
      <c r="F800"/>
      <c r="G800" s="81"/>
      <c r="H800"/>
    </row>
    <row r="801" spans="6:8" x14ac:dyDescent="0.3">
      <c r="F801"/>
      <c r="G801" s="81"/>
      <c r="H801"/>
    </row>
    <row r="802" spans="6:8" x14ac:dyDescent="0.3">
      <c r="F802"/>
      <c r="G802" s="81"/>
      <c r="H802"/>
    </row>
    <row r="803" spans="6:8" x14ac:dyDescent="0.3">
      <c r="F803"/>
      <c r="G803" s="81"/>
      <c r="H803"/>
    </row>
    <row r="804" spans="6:8" x14ac:dyDescent="0.3">
      <c r="F804"/>
      <c r="G804" s="81"/>
      <c r="H804"/>
    </row>
    <row r="805" spans="6:8" x14ac:dyDescent="0.3">
      <c r="F805"/>
      <c r="G805" s="81"/>
      <c r="H805"/>
    </row>
    <row r="806" spans="6:8" x14ac:dyDescent="0.3">
      <c r="F806"/>
      <c r="G806" s="81"/>
      <c r="H806"/>
    </row>
    <row r="807" spans="6:8" x14ac:dyDescent="0.3">
      <c r="F807"/>
      <c r="G807" s="81"/>
      <c r="H807"/>
    </row>
    <row r="808" spans="6:8" x14ac:dyDescent="0.3">
      <c r="F808"/>
      <c r="G808" s="81"/>
      <c r="H808"/>
    </row>
    <row r="809" spans="6:8" x14ac:dyDescent="0.3">
      <c r="F809"/>
      <c r="G809" s="81"/>
      <c r="H809"/>
    </row>
    <row r="810" spans="6:8" x14ac:dyDescent="0.3">
      <c r="F810"/>
      <c r="G810" s="81"/>
      <c r="H810"/>
    </row>
    <row r="811" spans="6:8" x14ac:dyDescent="0.3">
      <c r="F811"/>
      <c r="G811" s="81"/>
      <c r="H811"/>
    </row>
    <row r="812" spans="6:8" x14ac:dyDescent="0.3">
      <c r="F812"/>
      <c r="G812" s="81"/>
      <c r="H812"/>
    </row>
    <row r="813" spans="6:8" x14ac:dyDescent="0.3">
      <c r="F813"/>
      <c r="G813" s="81"/>
      <c r="H813"/>
    </row>
    <row r="814" spans="6:8" x14ac:dyDescent="0.3">
      <c r="F814"/>
      <c r="G814" s="81"/>
      <c r="H814"/>
    </row>
    <row r="815" spans="6:8" x14ac:dyDescent="0.3">
      <c r="F815"/>
      <c r="G815" s="81"/>
      <c r="H815"/>
    </row>
    <row r="816" spans="6:8" x14ac:dyDescent="0.3">
      <c r="F816"/>
      <c r="G816" s="81"/>
      <c r="H816"/>
    </row>
    <row r="817" spans="6:8" x14ac:dyDescent="0.3">
      <c r="F817"/>
      <c r="G817" s="81"/>
      <c r="H817"/>
    </row>
    <row r="818" spans="6:8" x14ac:dyDescent="0.3">
      <c r="F818"/>
      <c r="G818" s="81"/>
      <c r="H818"/>
    </row>
    <row r="819" spans="6:8" x14ac:dyDescent="0.3">
      <c r="F819"/>
      <c r="G819" s="81"/>
      <c r="H819"/>
    </row>
    <row r="820" spans="6:8" x14ac:dyDescent="0.3">
      <c r="F820"/>
      <c r="G820" s="81"/>
      <c r="H820"/>
    </row>
    <row r="821" spans="6:8" x14ac:dyDescent="0.3">
      <c r="F821"/>
      <c r="G821" s="81"/>
      <c r="H821"/>
    </row>
    <row r="822" spans="6:8" x14ac:dyDescent="0.3">
      <c r="F822"/>
      <c r="G822" s="81"/>
      <c r="H822"/>
    </row>
    <row r="823" spans="6:8" x14ac:dyDescent="0.3">
      <c r="F823"/>
      <c r="G823" s="81"/>
      <c r="H823"/>
    </row>
    <row r="824" spans="6:8" x14ac:dyDescent="0.3">
      <c r="F824"/>
      <c r="G824" s="81"/>
      <c r="H824"/>
    </row>
    <row r="825" spans="6:8" x14ac:dyDescent="0.3">
      <c r="F825"/>
      <c r="G825" s="81"/>
      <c r="H825"/>
    </row>
    <row r="826" spans="6:8" x14ac:dyDescent="0.3">
      <c r="F826"/>
      <c r="G826" s="81"/>
      <c r="H826"/>
    </row>
    <row r="827" spans="6:8" x14ac:dyDescent="0.3">
      <c r="F827"/>
      <c r="G827" s="81"/>
      <c r="H827"/>
    </row>
    <row r="828" spans="6:8" x14ac:dyDescent="0.3">
      <c r="F828"/>
      <c r="G828" s="81"/>
      <c r="H828"/>
    </row>
    <row r="829" spans="6:8" x14ac:dyDescent="0.3">
      <c r="F829"/>
      <c r="G829" s="81"/>
      <c r="H829"/>
    </row>
    <row r="830" spans="6:8" x14ac:dyDescent="0.3">
      <c r="F830"/>
      <c r="G830" s="81"/>
      <c r="H830"/>
    </row>
    <row r="831" spans="6:8" x14ac:dyDescent="0.3">
      <c r="F831"/>
      <c r="G831" s="81"/>
      <c r="H831"/>
    </row>
    <row r="832" spans="6:8" x14ac:dyDescent="0.3">
      <c r="F832"/>
      <c r="G832" s="81"/>
      <c r="H832"/>
    </row>
    <row r="833" spans="6:8" x14ac:dyDescent="0.3">
      <c r="F833"/>
      <c r="G833" s="81"/>
      <c r="H833"/>
    </row>
    <row r="834" spans="6:8" x14ac:dyDescent="0.3">
      <c r="F834"/>
      <c r="G834" s="81"/>
      <c r="H834"/>
    </row>
    <row r="835" spans="6:8" x14ac:dyDescent="0.3">
      <c r="F835"/>
      <c r="G835" s="81"/>
      <c r="H835"/>
    </row>
    <row r="836" spans="6:8" x14ac:dyDescent="0.3">
      <c r="F836"/>
      <c r="G836" s="81"/>
      <c r="H836"/>
    </row>
    <row r="837" spans="6:8" x14ac:dyDescent="0.3">
      <c r="F837"/>
      <c r="G837" s="81"/>
      <c r="H837"/>
    </row>
    <row r="838" spans="6:8" x14ac:dyDescent="0.3">
      <c r="F838"/>
      <c r="G838" s="81"/>
      <c r="H838"/>
    </row>
    <row r="839" spans="6:8" x14ac:dyDescent="0.3">
      <c r="F839"/>
      <c r="G839" s="81"/>
      <c r="H839"/>
    </row>
    <row r="840" spans="6:8" x14ac:dyDescent="0.3">
      <c r="F840"/>
      <c r="G840" s="81"/>
      <c r="H840"/>
    </row>
    <row r="841" spans="6:8" x14ac:dyDescent="0.3">
      <c r="F841"/>
      <c r="G841" s="81"/>
      <c r="H841"/>
    </row>
    <row r="842" spans="6:8" x14ac:dyDescent="0.3">
      <c r="F842"/>
      <c r="G842" s="81"/>
      <c r="H842"/>
    </row>
    <row r="843" spans="6:8" x14ac:dyDescent="0.3">
      <c r="F843"/>
      <c r="G843" s="81"/>
      <c r="H843"/>
    </row>
    <row r="844" spans="6:8" x14ac:dyDescent="0.3">
      <c r="F844"/>
      <c r="G844" s="81"/>
      <c r="H844"/>
    </row>
    <row r="845" spans="6:8" x14ac:dyDescent="0.3">
      <c r="F845"/>
      <c r="G845" s="81"/>
      <c r="H845"/>
    </row>
    <row r="846" spans="6:8" x14ac:dyDescent="0.3">
      <c r="F846"/>
      <c r="G846" s="81"/>
      <c r="H846"/>
    </row>
    <row r="847" spans="6:8" x14ac:dyDescent="0.3">
      <c r="F847"/>
      <c r="G847" s="81"/>
      <c r="H847"/>
    </row>
    <row r="848" spans="6:8" x14ac:dyDescent="0.3">
      <c r="F848"/>
      <c r="G848" s="81"/>
      <c r="H848"/>
    </row>
    <row r="849" spans="6:8" x14ac:dyDescent="0.3">
      <c r="F849"/>
      <c r="G849" s="81"/>
      <c r="H849"/>
    </row>
    <row r="850" spans="6:8" x14ac:dyDescent="0.3">
      <c r="F850"/>
      <c r="G850" s="81"/>
      <c r="H850"/>
    </row>
    <row r="851" spans="6:8" x14ac:dyDescent="0.3">
      <c r="F851"/>
      <c r="G851" s="81"/>
      <c r="H851"/>
    </row>
    <row r="852" spans="6:8" x14ac:dyDescent="0.3">
      <c r="F852"/>
      <c r="G852" s="81"/>
      <c r="H852"/>
    </row>
    <row r="853" spans="6:8" x14ac:dyDescent="0.3">
      <c r="F853"/>
      <c r="G853" s="81"/>
      <c r="H853"/>
    </row>
    <row r="854" spans="6:8" x14ac:dyDescent="0.3">
      <c r="F854"/>
      <c r="G854" s="81"/>
      <c r="H854"/>
    </row>
    <row r="855" spans="6:8" x14ac:dyDescent="0.3">
      <c r="F855"/>
      <c r="G855" s="81"/>
      <c r="H855"/>
    </row>
    <row r="856" spans="6:8" x14ac:dyDescent="0.3">
      <c r="F856"/>
      <c r="G856" s="81"/>
      <c r="H856"/>
    </row>
    <row r="857" spans="6:8" x14ac:dyDescent="0.3">
      <c r="F857"/>
      <c r="G857" s="81"/>
      <c r="H857"/>
    </row>
    <row r="858" spans="6:8" x14ac:dyDescent="0.3">
      <c r="F858"/>
      <c r="G858" s="81"/>
      <c r="H858"/>
    </row>
    <row r="859" spans="6:8" x14ac:dyDescent="0.3">
      <c r="F859"/>
      <c r="G859" s="81"/>
      <c r="H859"/>
    </row>
    <row r="860" spans="6:8" x14ac:dyDescent="0.3">
      <c r="F860"/>
      <c r="G860" s="81"/>
      <c r="H860"/>
    </row>
    <row r="861" spans="6:8" x14ac:dyDescent="0.3">
      <c r="F861"/>
      <c r="G861" s="81"/>
      <c r="H861"/>
    </row>
    <row r="862" spans="6:8" x14ac:dyDescent="0.3">
      <c r="F862"/>
      <c r="G862" s="81"/>
      <c r="H862"/>
    </row>
    <row r="863" spans="6:8" x14ac:dyDescent="0.3">
      <c r="F863"/>
      <c r="G863" s="81"/>
      <c r="H863"/>
    </row>
    <row r="864" spans="6:8" x14ac:dyDescent="0.3">
      <c r="F864"/>
      <c r="G864" s="81"/>
      <c r="H864"/>
    </row>
    <row r="865" spans="6:8" x14ac:dyDescent="0.3">
      <c r="F865"/>
      <c r="G865" s="81"/>
      <c r="H865"/>
    </row>
    <row r="866" spans="6:8" x14ac:dyDescent="0.3">
      <c r="F866"/>
      <c r="G866" s="81"/>
      <c r="H866"/>
    </row>
    <row r="867" spans="6:8" x14ac:dyDescent="0.3">
      <c r="F867"/>
      <c r="G867" s="81"/>
      <c r="H867"/>
    </row>
    <row r="868" spans="6:8" x14ac:dyDescent="0.3">
      <c r="F868"/>
      <c r="G868" s="81"/>
      <c r="H868"/>
    </row>
    <row r="869" spans="6:8" x14ac:dyDescent="0.3">
      <c r="F869"/>
      <c r="G869" s="81"/>
      <c r="H869"/>
    </row>
    <row r="870" spans="6:8" x14ac:dyDescent="0.3">
      <c r="F870"/>
      <c r="G870" s="81"/>
      <c r="H870"/>
    </row>
    <row r="871" spans="6:8" x14ac:dyDescent="0.3">
      <c r="F871"/>
      <c r="G871" s="81"/>
      <c r="H871"/>
    </row>
    <row r="872" spans="6:8" x14ac:dyDescent="0.3">
      <c r="F872"/>
      <c r="G872" s="81"/>
      <c r="H872"/>
    </row>
    <row r="873" spans="6:8" x14ac:dyDescent="0.3">
      <c r="F873"/>
      <c r="G873" s="81"/>
      <c r="H873"/>
    </row>
    <row r="874" spans="6:8" x14ac:dyDescent="0.3">
      <c r="F874"/>
      <c r="G874" s="81"/>
      <c r="H874"/>
    </row>
    <row r="875" spans="6:8" x14ac:dyDescent="0.3">
      <c r="F875"/>
      <c r="G875" s="81"/>
      <c r="H875"/>
    </row>
    <row r="876" spans="6:8" x14ac:dyDescent="0.3">
      <c r="F876"/>
      <c r="G876" s="81"/>
      <c r="H876"/>
    </row>
    <row r="877" spans="6:8" x14ac:dyDescent="0.3">
      <c r="F877"/>
      <c r="G877" s="81"/>
      <c r="H877"/>
    </row>
    <row r="878" spans="6:8" x14ac:dyDescent="0.3">
      <c r="F878"/>
      <c r="G878" s="81"/>
      <c r="H878"/>
    </row>
    <row r="879" spans="6:8" x14ac:dyDescent="0.3">
      <c r="F879"/>
      <c r="G879" s="81"/>
      <c r="H879"/>
    </row>
    <row r="880" spans="6:8" x14ac:dyDescent="0.3">
      <c r="F880"/>
      <c r="G880" s="81"/>
      <c r="H880"/>
    </row>
    <row r="881" spans="6:8" x14ac:dyDescent="0.3">
      <c r="F881"/>
      <c r="G881" s="81"/>
      <c r="H881"/>
    </row>
    <row r="882" spans="6:8" x14ac:dyDescent="0.3">
      <c r="F882"/>
      <c r="G882" s="81"/>
      <c r="H882"/>
    </row>
    <row r="883" spans="6:8" x14ac:dyDescent="0.3">
      <c r="F883"/>
      <c r="G883" s="81"/>
      <c r="H883"/>
    </row>
    <row r="884" spans="6:8" x14ac:dyDescent="0.3">
      <c r="F884"/>
      <c r="G884" s="81"/>
      <c r="H884"/>
    </row>
    <row r="885" spans="6:8" x14ac:dyDescent="0.3">
      <c r="F885"/>
      <c r="G885" s="81"/>
      <c r="H885"/>
    </row>
    <row r="886" spans="6:8" x14ac:dyDescent="0.3">
      <c r="F886"/>
      <c r="G886" s="81"/>
      <c r="H886"/>
    </row>
    <row r="887" spans="6:8" x14ac:dyDescent="0.3">
      <c r="F887"/>
      <c r="G887" s="81"/>
      <c r="H887"/>
    </row>
    <row r="888" spans="6:8" x14ac:dyDescent="0.3">
      <c r="F888"/>
      <c r="G888" s="81"/>
      <c r="H888"/>
    </row>
    <row r="889" spans="6:8" x14ac:dyDescent="0.3">
      <c r="F889"/>
      <c r="G889" s="81"/>
      <c r="H889"/>
    </row>
    <row r="890" spans="6:8" x14ac:dyDescent="0.3">
      <c r="F890"/>
      <c r="G890" s="81"/>
      <c r="H890"/>
    </row>
    <row r="891" spans="6:8" x14ac:dyDescent="0.3">
      <c r="F891"/>
      <c r="G891" s="81"/>
      <c r="H891"/>
    </row>
    <row r="892" spans="6:8" x14ac:dyDescent="0.3">
      <c r="F892"/>
      <c r="G892" s="81"/>
      <c r="H892"/>
    </row>
    <row r="893" spans="6:8" x14ac:dyDescent="0.3">
      <c r="F893"/>
      <c r="G893" s="81"/>
      <c r="H893"/>
    </row>
    <row r="894" spans="6:8" x14ac:dyDescent="0.3">
      <c r="F894"/>
      <c r="G894" s="81"/>
      <c r="H894"/>
    </row>
    <row r="895" spans="6:8" x14ac:dyDescent="0.3">
      <c r="F895"/>
      <c r="G895" s="81"/>
      <c r="H895"/>
    </row>
    <row r="896" spans="6:8" x14ac:dyDescent="0.3">
      <c r="F896"/>
      <c r="G896" s="81"/>
      <c r="H896"/>
    </row>
    <row r="897" spans="6:8" x14ac:dyDescent="0.3">
      <c r="F897"/>
      <c r="G897" s="81"/>
      <c r="H897"/>
    </row>
    <row r="898" spans="6:8" x14ac:dyDescent="0.3">
      <c r="F898"/>
      <c r="G898" s="81"/>
      <c r="H898"/>
    </row>
    <row r="899" spans="6:8" x14ac:dyDescent="0.3">
      <c r="F899"/>
      <c r="G899" s="81"/>
      <c r="H899"/>
    </row>
    <row r="900" spans="6:8" x14ac:dyDescent="0.3">
      <c r="F900"/>
      <c r="G900" s="81"/>
      <c r="H900"/>
    </row>
    <row r="901" spans="6:8" x14ac:dyDescent="0.3">
      <c r="F901"/>
      <c r="G901" s="81"/>
      <c r="H901"/>
    </row>
    <row r="902" spans="6:8" x14ac:dyDescent="0.3">
      <c r="F902"/>
      <c r="G902" s="81"/>
      <c r="H902"/>
    </row>
    <row r="903" spans="6:8" x14ac:dyDescent="0.3">
      <c r="F903"/>
      <c r="G903" s="81"/>
      <c r="H903"/>
    </row>
    <row r="904" spans="6:8" x14ac:dyDescent="0.3">
      <c r="F904"/>
      <c r="G904" s="81"/>
      <c r="H904"/>
    </row>
    <row r="905" spans="6:8" x14ac:dyDescent="0.3">
      <c r="F905"/>
      <c r="G905" s="81"/>
      <c r="H905"/>
    </row>
    <row r="906" spans="6:8" x14ac:dyDescent="0.3">
      <c r="F906"/>
      <c r="G906" s="81"/>
      <c r="H906"/>
    </row>
    <row r="907" spans="6:8" x14ac:dyDescent="0.3">
      <c r="F907"/>
      <c r="G907" s="81"/>
      <c r="H907"/>
    </row>
    <row r="908" spans="6:8" x14ac:dyDescent="0.3">
      <c r="F908"/>
      <c r="G908" s="81"/>
      <c r="H908"/>
    </row>
    <row r="909" spans="6:8" x14ac:dyDescent="0.3">
      <c r="F909"/>
      <c r="G909" s="81"/>
      <c r="H909"/>
    </row>
    <row r="910" spans="6:8" x14ac:dyDescent="0.3">
      <c r="F910"/>
      <c r="G910" s="81"/>
      <c r="H910"/>
    </row>
    <row r="911" spans="6:8" x14ac:dyDescent="0.3">
      <c r="F911"/>
      <c r="G911" s="81"/>
      <c r="H911"/>
    </row>
    <row r="912" spans="6:8" x14ac:dyDescent="0.3">
      <c r="F912"/>
      <c r="G912" s="81"/>
      <c r="H912"/>
    </row>
    <row r="913" spans="6:8" x14ac:dyDescent="0.3">
      <c r="F913"/>
      <c r="G913" s="81"/>
      <c r="H913"/>
    </row>
    <row r="914" spans="6:8" x14ac:dyDescent="0.3">
      <c r="F914"/>
      <c r="G914" s="81"/>
      <c r="H914"/>
    </row>
    <row r="915" spans="6:8" x14ac:dyDescent="0.3">
      <c r="F915"/>
      <c r="G915" s="81"/>
      <c r="H915"/>
    </row>
    <row r="916" spans="6:8" x14ac:dyDescent="0.3">
      <c r="F916"/>
      <c r="G916" s="81"/>
      <c r="H916"/>
    </row>
    <row r="917" spans="6:8" x14ac:dyDescent="0.3">
      <c r="F917"/>
      <c r="G917" s="81"/>
      <c r="H917"/>
    </row>
    <row r="918" spans="6:8" x14ac:dyDescent="0.3">
      <c r="F918"/>
      <c r="G918" s="81"/>
      <c r="H918"/>
    </row>
    <row r="919" spans="6:8" x14ac:dyDescent="0.3">
      <c r="F919"/>
      <c r="G919" s="81"/>
      <c r="H919"/>
    </row>
    <row r="920" spans="6:8" x14ac:dyDescent="0.3">
      <c r="F920"/>
      <c r="G920" s="81"/>
      <c r="H920"/>
    </row>
    <row r="921" spans="6:8" x14ac:dyDescent="0.3">
      <c r="F921"/>
      <c r="G921" s="81"/>
      <c r="H921"/>
    </row>
    <row r="922" spans="6:8" x14ac:dyDescent="0.3">
      <c r="F922"/>
      <c r="G922" s="81"/>
      <c r="H922"/>
    </row>
    <row r="923" spans="6:8" x14ac:dyDescent="0.3">
      <c r="F923"/>
      <c r="G923" s="81"/>
      <c r="H923"/>
    </row>
    <row r="924" spans="6:8" x14ac:dyDescent="0.3">
      <c r="F924"/>
      <c r="G924" s="81"/>
      <c r="H924"/>
    </row>
    <row r="925" spans="6:8" x14ac:dyDescent="0.3">
      <c r="F925"/>
      <c r="G925" s="81"/>
      <c r="H925"/>
    </row>
    <row r="926" spans="6:8" x14ac:dyDescent="0.3">
      <c r="F926"/>
      <c r="G926" s="81"/>
      <c r="H926"/>
    </row>
    <row r="927" spans="6:8" x14ac:dyDescent="0.3">
      <c r="F927"/>
      <c r="G927" s="81"/>
      <c r="H927"/>
    </row>
    <row r="928" spans="6:8" x14ac:dyDescent="0.3">
      <c r="F928"/>
      <c r="G928" s="81"/>
      <c r="H928"/>
    </row>
    <row r="929" spans="6:8" x14ac:dyDescent="0.3">
      <c r="F929"/>
      <c r="G929" s="81"/>
      <c r="H929"/>
    </row>
    <row r="930" spans="6:8" x14ac:dyDescent="0.3">
      <c r="F930"/>
      <c r="G930" s="81"/>
      <c r="H930"/>
    </row>
    <row r="931" spans="6:8" x14ac:dyDescent="0.3">
      <c r="F931"/>
      <c r="G931" s="81"/>
      <c r="H931"/>
    </row>
    <row r="932" spans="6:8" x14ac:dyDescent="0.3">
      <c r="F932"/>
      <c r="G932" s="81"/>
      <c r="H932"/>
    </row>
    <row r="933" spans="6:8" x14ac:dyDescent="0.3">
      <c r="F933"/>
      <c r="G933" s="81"/>
      <c r="H933"/>
    </row>
    <row r="934" spans="6:8" x14ac:dyDescent="0.3">
      <c r="F934"/>
      <c r="G934" s="81"/>
      <c r="H934"/>
    </row>
    <row r="935" spans="6:8" x14ac:dyDescent="0.3">
      <c r="F935"/>
      <c r="G935" s="81"/>
      <c r="H935"/>
    </row>
    <row r="936" spans="6:8" x14ac:dyDescent="0.3">
      <c r="F936"/>
      <c r="G936" s="81"/>
      <c r="H936"/>
    </row>
    <row r="937" spans="6:8" x14ac:dyDescent="0.3">
      <c r="F937"/>
      <c r="G937" s="81"/>
      <c r="H937"/>
    </row>
    <row r="938" spans="6:8" x14ac:dyDescent="0.3">
      <c r="F938"/>
      <c r="G938" s="81"/>
      <c r="H938"/>
    </row>
    <row r="939" spans="6:8" x14ac:dyDescent="0.3">
      <c r="F939"/>
      <c r="G939" s="81"/>
      <c r="H939"/>
    </row>
    <row r="940" spans="6:8" x14ac:dyDescent="0.3">
      <c r="F940"/>
      <c r="G940" s="81"/>
      <c r="H940"/>
    </row>
    <row r="941" spans="6:8" x14ac:dyDescent="0.3">
      <c r="F941"/>
      <c r="G941" s="81"/>
      <c r="H941"/>
    </row>
    <row r="942" spans="6:8" x14ac:dyDescent="0.3">
      <c r="F942"/>
      <c r="G942" s="81"/>
      <c r="H942"/>
    </row>
    <row r="943" spans="6:8" x14ac:dyDescent="0.3">
      <c r="F943"/>
      <c r="G943" s="81"/>
      <c r="H943"/>
    </row>
    <row r="944" spans="6:8" x14ac:dyDescent="0.3">
      <c r="F944"/>
      <c r="G944" s="81"/>
      <c r="H944"/>
    </row>
    <row r="945" spans="6:8" x14ac:dyDescent="0.3">
      <c r="F945"/>
      <c r="G945" s="81"/>
      <c r="H945"/>
    </row>
    <row r="946" spans="6:8" x14ac:dyDescent="0.3">
      <c r="F946"/>
      <c r="G946" s="81"/>
      <c r="H946"/>
    </row>
    <row r="947" spans="6:8" x14ac:dyDescent="0.3">
      <c r="F947"/>
      <c r="G947" s="81"/>
      <c r="H947"/>
    </row>
    <row r="948" spans="6:8" x14ac:dyDescent="0.3">
      <c r="F948"/>
      <c r="G948" s="81"/>
      <c r="H948"/>
    </row>
    <row r="949" spans="6:8" x14ac:dyDescent="0.3">
      <c r="F949"/>
      <c r="G949" s="81"/>
      <c r="H949"/>
    </row>
    <row r="950" spans="6:8" x14ac:dyDescent="0.3">
      <c r="F950"/>
      <c r="G950" s="81"/>
      <c r="H950"/>
    </row>
    <row r="951" spans="6:8" x14ac:dyDescent="0.3">
      <c r="F951"/>
      <c r="G951" s="81"/>
      <c r="H951"/>
    </row>
    <row r="952" spans="6:8" x14ac:dyDescent="0.3">
      <c r="F952"/>
      <c r="G952" s="81"/>
      <c r="H952"/>
    </row>
    <row r="953" spans="6:8" x14ac:dyDescent="0.3">
      <c r="F953"/>
      <c r="G953" s="81"/>
      <c r="H953"/>
    </row>
    <row r="954" spans="6:8" x14ac:dyDescent="0.3">
      <c r="F954"/>
      <c r="G954" s="81"/>
      <c r="H954"/>
    </row>
    <row r="955" spans="6:8" x14ac:dyDescent="0.3">
      <c r="F955"/>
      <c r="G955" s="81"/>
      <c r="H955"/>
    </row>
    <row r="956" spans="6:8" x14ac:dyDescent="0.3">
      <c r="F956"/>
      <c r="G956" s="81"/>
      <c r="H956"/>
    </row>
    <row r="957" spans="6:8" x14ac:dyDescent="0.3">
      <c r="F957"/>
      <c r="G957" s="81"/>
      <c r="H957"/>
    </row>
    <row r="958" spans="6:8" x14ac:dyDescent="0.3">
      <c r="F958"/>
      <c r="G958" s="81"/>
      <c r="H958"/>
    </row>
    <row r="959" spans="6:8" x14ac:dyDescent="0.3">
      <c r="F959"/>
      <c r="G959" s="81"/>
      <c r="H959"/>
    </row>
    <row r="960" spans="6:8" x14ac:dyDescent="0.3">
      <c r="F960"/>
      <c r="G960" s="81"/>
      <c r="H960"/>
    </row>
    <row r="961" spans="6:8" x14ac:dyDescent="0.3">
      <c r="F961"/>
      <c r="G961" s="81"/>
      <c r="H961"/>
    </row>
    <row r="962" spans="6:8" x14ac:dyDescent="0.3">
      <c r="F962"/>
      <c r="G962" s="81"/>
      <c r="H962"/>
    </row>
    <row r="963" spans="6:8" x14ac:dyDescent="0.3">
      <c r="F963"/>
      <c r="G963" s="81"/>
      <c r="H963"/>
    </row>
    <row r="964" spans="6:8" x14ac:dyDescent="0.3">
      <c r="F964"/>
      <c r="G964" s="81"/>
      <c r="H964"/>
    </row>
    <row r="965" spans="6:8" x14ac:dyDescent="0.3">
      <c r="F965"/>
      <c r="G965" s="81"/>
      <c r="H965"/>
    </row>
    <row r="966" spans="6:8" x14ac:dyDescent="0.3">
      <c r="F966"/>
      <c r="G966" s="81"/>
      <c r="H966"/>
    </row>
    <row r="967" spans="6:8" x14ac:dyDescent="0.3">
      <c r="F967"/>
      <c r="G967" s="81"/>
      <c r="H967"/>
    </row>
    <row r="968" spans="6:8" x14ac:dyDescent="0.3">
      <c r="F968"/>
      <c r="G968" s="81"/>
      <c r="H968"/>
    </row>
    <row r="969" spans="6:8" x14ac:dyDescent="0.3">
      <c r="F969"/>
      <c r="G969" s="81"/>
      <c r="H969"/>
    </row>
    <row r="970" spans="6:8" x14ac:dyDescent="0.3">
      <c r="F970"/>
      <c r="G970" s="81"/>
      <c r="H970"/>
    </row>
    <row r="971" spans="6:8" x14ac:dyDescent="0.3">
      <c r="F971"/>
      <c r="G971" s="81"/>
      <c r="H971"/>
    </row>
    <row r="972" spans="6:8" x14ac:dyDescent="0.3">
      <c r="F972"/>
      <c r="G972" s="81"/>
      <c r="H972"/>
    </row>
    <row r="973" spans="6:8" x14ac:dyDescent="0.3">
      <c r="F973"/>
      <c r="G973" s="81"/>
      <c r="H973"/>
    </row>
    <row r="974" spans="6:8" x14ac:dyDescent="0.3">
      <c r="F974"/>
      <c r="G974" s="81"/>
      <c r="H974"/>
    </row>
    <row r="975" spans="6:8" x14ac:dyDescent="0.3">
      <c r="F975"/>
      <c r="G975" s="81"/>
      <c r="H975"/>
    </row>
    <row r="976" spans="6:8" x14ac:dyDescent="0.3">
      <c r="F976"/>
      <c r="G976" s="81"/>
      <c r="H976"/>
    </row>
    <row r="977" spans="6:8" x14ac:dyDescent="0.3">
      <c r="F977"/>
      <c r="G977" s="81"/>
      <c r="H977"/>
    </row>
    <row r="978" spans="6:8" x14ac:dyDescent="0.3">
      <c r="F978"/>
      <c r="G978" s="81"/>
      <c r="H978"/>
    </row>
    <row r="979" spans="6:8" x14ac:dyDescent="0.3">
      <c r="F979"/>
      <c r="G979" s="81"/>
      <c r="H979"/>
    </row>
    <row r="980" spans="6:8" x14ac:dyDescent="0.3">
      <c r="F980"/>
      <c r="G980" s="81"/>
      <c r="H980"/>
    </row>
    <row r="981" spans="6:8" x14ac:dyDescent="0.3">
      <c r="F981"/>
      <c r="G981" s="81"/>
      <c r="H981"/>
    </row>
    <row r="982" spans="6:8" x14ac:dyDescent="0.3">
      <c r="F982"/>
      <c r="G982" s="81"/>
      <c r="H982"/>
    </row>
    <row r="983" spans="6:8" x14ac:dyDescent="0.3">
      <c r="F983"/>
      <c r="G983" s="81"/>
      <c r="H983"/>
    </row>
    <row r="984" spans="6:8" x14ac:dyDescent="0.3">
      <c r="F984"/>
      <c r="G984" s="81"/>
      <c r="H984"/>
    </row>
    <row r="985" spans="6:8" x14ac:dyDescent="0.3">
      <c r="F985"/>
      <c r="G985" s="81"/>
      <c r="H985"/>
    </row>
    <row r="986" spans="6:8" x14ac:dyDescent="0.3">
      <c r="F986"/>
      <c r="G986" s="81"/>
      <c r="H986"/>
    </row>
    <row r="987" spans="6:8" x14ac:dyDescent="0.3">
      <c r="F987"/>
      <c r="G987" s="81"/>
      <c r="H987"/>
    </row>
    <row r="988" spans="6:8" x14ac:dyDescent="0.3">
      <c r="F988"/>
      <c r="G988" s="81"/>
      <c r="H988"/>
    </row>
    <row r="989" spans="6:8" x14ac:dyDescent="0.3">
      <c r="F989"/>
      <c r="G989" s="81"/>
      <c r="H989"/>
    </row>
    <row r="990" spans="6:8" x14ac:dyDescent="0.3">
      <c r="F990"/>
      <c r="G990" s="81"/>
      <c r="H990"/>
    </row>
    <row r="991" spans="6:8" x14ac:dyDescent="0.3">
      <c r="F991"/>
      <c r="G991" s="81"/>
      <c r="H991"/>
    </row>
    <row r="992" spans="6:8" x14ac:dyDescent="0.3">
      <c r="F992"/>
      <c r="G992" s="81"/>
      <c r="H992"/>
    </row>
    <row r="993" spans="6:8" x14ac:dyDescent="0.3">
      <c r="F993"/>
      <c r="G993" s="81"/>
      <c r="H993"/>
    </row>
    <row r="994" spans="6:8" x14ac:dyDescent="0.3">
      <c r="F994"/>
      <c r="G994" s="81"/>
      <c r="H994"/>
    </row>
    <row r="995" spans="6:8" x14ac:dyDescent="0.3">
      <c r="F995"/>
      <c r="G995" s="81"/>
      <c r="H995"/>
    </row>
    <row r="996" spans="6:8" x14ac:dyDescent="0.3">
      <c r="F996"/>
      <c r="G996" s="81"/>
      <c r="H996"/>
    </row>
    <row r="997" spans="6:8" x14ac:dyDescent="0.3">
      <c r="F997"/>
      <c r="G997" s="81"/>
      <c r="H997"/>
    </row>
    <row r="998" spans="6:8" x14ac:dyDescent="0.3">
      <c r="F998"/>
      <c r="G998" s="81"/>
      <c r="H998"/>
    </row>
    <row r="999" spans="6:8" x14ac:dyDescent="0.3">
      <c r="F999"/>
      <c r="G999" s="81"/>
      <c r="H999"/>
    </row>
    <row r="1000" spans="6:8" x14ac:dyDescent="0.3">
      <c r="F1000"/>
      <c r="G1000" s="81"/>
      <c r="H1000"/>
    </row>
    <row r="1001" spans="6:8" x14ac:dyDescent="0.3">
      <c r="F1001"/>
      <c r="G1001" s="81"/>
      <c r="H1001"/>
    </row>
    <row r="1002" spans="6:8" x14ac:dyDescent="0.3">
      <c r="F1002"/>
      <c r="G1002" s="81"/>
      <c r="H1002"/>
    </row>
    <row r="1003" spans="6:8" x14ac:dyDescent="0.3">
      <c r="F1003"/>
      <c r="G1003" s="81"/>
      <c r="H1003"/>
    </row>
    <row r="1004" spans="6:8" x14ac:dyDescent="0.3">
      <c r="F1004"/>
      <c r="G1004" s="81"/>
      <c r="H1004"/>
    </row>
    <row r="1005" spans="6:8" x14ac:dyDescent="0.3">
      <c r="F1005"/>
      <c r="G1005" s="81"/>
      <c r="H1005"/>
    </row>
    <row r="1006" spans="6:8" x14ac:dyDescent="0.3">
      <c r="F1006"/>
      <c r="G1006" s="81"/>
      <c r="H1006"/>
    </row>
    <row r="1007" spans="6:8" x14ac:dyDescent="0.3">
      <c r="F1007"/>
      <c r="G1007" s="81"/>
      <c r="H1007"/>
    </row>
    <row r="1008" spans="6:8" x14ac:dyDescent="0.3">
      <c r="F1008"/>
      <c r="G1008" s="81"/>
      <c r="H1008"/>
    </row>
    <row r="1009" spans="6:8" x14ac:dyDescent="0.3">
      <c r="F1009"/>
      <c r="G1009" s="81"/>
      <c r="H1009"/>
    </row>
    <row r="1010" spans="6:8" x14ac:dyDescent="0.3">
      <c r="F1010"/>
      <c r="G1010" s="81"/>
      <c r="H1010"/>
    </row>
    <row r="1011" spans="6:8" x14ac:dyDescent="0.3">
      <c r="F1011"/>
      <c r="G1011" s="81"/>
      <c r="H1011"/>
    </row>
    <row r="1012" spans="6:8" x14ac:dyDescent="0.3">
      <c r="F1012"/>
      <c r="G1012" s="81"/>
      <c r="H1012"/>
    </row>
    <row r="1013" spans="6:8" x14ac:dyDescent="0.3">
      <c r="F1013"/>
      <c r="G1013" s="81"/>
      <c r="H1013"/>
    </row>
    <row r="1014" spans="6:8" x14ac:dyDescent="0.3">
      <c r="F1014"/>
      <c r="G1014" s="81"/>
      <c r="H1014"/>
    </row>
    <row r="1015" spans="6:8" x14ac:dyDescent="0.3">
      <c r="F1015"/>
      <c r="G1015" s="81"/>
      <c r="H1015"/>
    </row>
    <row r="1016" spans="6:8" x14ac:dyDescent="0.3">
      <c r="F1016"/>
      <c r="G1016" s="81"/>
      <c r="H1016"/>
    </row>
    <row r="1017" spans="6:8" x14ac:dyDescent="0.3">
      <c r="F1017"/>
      <c r="G1017" s="81"/>
      <c r="H1017"/>
    </row>
    <row r="1018" spans="6:8" x14ac:dyDescent="0.3">
      <c r="F1018"/>
      <c r="G1018" s="81"/>
      <c r="H1018"/>
    </row>
    <row r="1019" spans="6:8" x14ac:dyDescent="0.3">
      <c r="F1019"/>
      <c r="G1019" s="81"/>
      <c r="H1019"/>
    </row>
    <row r="1020" spans="6:8" x14ac:dyDescent="0.3">
      <c r="F1020"/>
      <c r="G1020" s="81"/>
      <c r="H1020"/>
    </row>
    <row r="1021" spans="6:8" x14ac:dyDescent="0.3">
      <c r="F1021"/>
      <c r="G1021" s="81"/>
      <c r="H1021"/>
    </row>
    <row r="1022" spans="6:8" x14ac:dyDescent="0.3">
      <c r="F1022"/>
      <c r="G1022" s="81"/>
      <c r="H1022"/>
    </row>
    <row r="1023" spans="6:8" x14ac:dyDescent="0.3">
      <c r="F1023"/>
      <c r="G1023" s="81"/>
      <c r="H1023"/>
    </row>
    <row r="1024" spans="6:8" x14ac:dyDescent="0.3">
      <c r="F1024"/>
      <c r="G1024" s="81"/>
      <c r="H1024"/>
    </row>
    <row r="1025" spans="6:8" x14ac:dyDescent="0.3">
      <c r="F1025"/>
      <c r="G1025" s="81"/>
      <c r="H1025"/>
    </row>
    <row r="1026" spans="6:8" x14ac:dyDescent="0.3">
      <c r="F1026"/>
      <c r="G1026" s="81"/>
      <c r="H1026"/>
    </row>
    <row r="1027" spans="6:8" x14ac:dyDescent="0.3">
      <c r="F1027"/>
      <c r="G1027" s="81"/>
      <c r="H1027"/>
    </row>
    <row r="1028" spans="6:8" x14ac:dyDescent="0.3">
      <c r="F1028"/>
      <c r="G1028" s="81"/>
      <c r="H1028"/>
    </row>
    <row r="1029" spans="6:8" x14ac:dyDescent="0.3">
      <c r="F1029"/>
      <c r="G1029" s="81"/>
      <c r="H1029"/>
    </row>
    <row r="1030" spans="6:8" x14ac:dyDescent="0.3">
      <c r="F1030"/>
      <c r="G1030" s="81"/>
      <c r="H1030"/>
    </row>
    <row r="1031" spans="6:8" x14ac:dyDescent="0.3">
      <c r="F1031"/>
      <c r="G1031" s="81"/>
      <c r="H1031"/>
    </row>
    <row r="1032" spans="6:8" x14ac:dyDescent="0.3">
      <c r="F1032"/>
      <c r="G1032" s="81"/>
      <c r="H1032"/>
    </row>
    <row r="1033" spans="6:8" x14ac:dyDescent="0.3">
      <c r="F1033"/>
      <c r="G1033" s="81"/>
      <c r="H1033"/>
    </row>
    <row r="1034" spans="6:8" x14ac:dyDescent="0.3">
      <c r="F1034"/>
      <c r="G1034" s="81"/>
      <c r="H1034"/>
    </row>
    <row r="1035" spans="6:8" x14ac:dyDescent="0.3">
      <c r="F1035"/>
      <c r="G1035" s="81"/>
      <c r="H1035"/>
    </row>
    <row r="1036" spans="6:8" x14ac:dyDescent="0.3">
      <c r="F1036"/>
      <c r="G1036" s="81"/>
      <c r="H1036"/>
    </row>
    <row r="1037" spans="6:8" x14ac:dyDescent="0.3">
      <c r="F1037"/>
      <c r="G1037" s="81"/>
      <c r="H1037"/>
    </row>
    <row r="1038" spans="6:8" x14ac:dyDescent="0.3">
      <c r="F1038"/>
      <c r="G1038" s="81"/>
      <c r="H1038"/>
    </row>
    <row r="1039" spans="6:8" x14ac:dyDescent="0.3">
      <c r="F1039"/>
      <c r="G1039" s="81"/>
      <c r="H1039"/>
    </row>
    <row r="1040" spans="6:8" x14ac:dyDescent="0.3">
      <c r="F1040"/>
      <c r="G1040" s="81"/>
      <c r="H1040"/>
    </row>
    <row r="1041" spans="6:8" x14ac:dyDescent="0.3">
      <c r="F1041"/>
      <c r="G1041" s="81"/>
      <c r="H1041"/>
    </row>
    <row r="1042" spans="6:8" x14ac:dyDescent="0.3">
      <c r="F1042"/>
      <c r="G1042" s="81"/>
      <c r="H1042"/>
    </row>
    <row r="1043" spans="6:8" x14ac:dyDescent="0.3">
      <c r="F1043"/>
      <c r="G1043" s="81"/>
      <c r="H1043"/>
    </row>
    <row r="1044" spans="6:8" x14ac:dyDescent="0.3">
      <c r="F1044"/>
      <c r="G1044" s="81"/>
      <c r="H1044"/>
    </row>
    <row r="1045" spans="6:8" x14ac:dyDescent="0.3">
      <c r="F1045"/>
      <c r="G1045" s="81"/>
      <c r="H1045"/>
    </row>
    <row r="1046" spans="6:8" x14ac:dyDescent="0.3">
      <c r="F1046"/>
      <c r="G1046" s="81"/>
      <c r="H1046"/>
    </row>
    <row r="1047" spans="6:8" x14ac:dyDescent="0.3">
      <c r="F1047"/>
      <c r="G1047" s="81"/>
      <c r="H1047"/>
    </row>
    <row r="1048" spans="6:8" x14ac:dyDescent="0.3">
      <c r="F1048"/>
      <c r="G1048" s="81"/>
      <c r="H1048"/>
    </row>
    <row r="1049" spans="6:8" x14ac:dyDescent="0.3">
      <c r="F1049"/>
      <c r="G1049" s="81"/>
      <c r="H1049"/>
    </row>
    <row r="1050" spans="6:8" x14ac:dyDescent="0.3">
      <c r="F1050"/>
      <c r="G1050" s="81"/>
      <c r="H1050"/>
    </row>
    <row r="1051" spans="6:8" x14ac:dyDescent="0.3">
      <c r="F1051"/>
      <c r="G1051" s="81"/>
      <c r="H1051"/>
    </row>
    <row r="1052" spans="6:8" x14ac:dyDescent="0.3">
      <c r="F1052"/>
      <c r="G1052" s="81"/>
      <c r="H1052"/>
    </row>
    <row r="1053" spans="6:8" x14ac:dyDescent="0.3">
      <c r="F1053"/>
      <c r="G1053" s="81"/>
      <c r="H1053"/>
    </row>
    <row r="1054" spans="6:8" x14ac:dyDescent="0.3">
      <c r="F1054"/>
      <c r="G1054" s="81"/>
      <c r="H1054"/>
    </row>
    <row r="1055" spans="6:8" x14ac:dyDescent="0.3">
      <c r="F1055"/>
      <c r="G1055" s="81"/>
      <c r="H1055"/>
    </row>
    <row r="1056" spans="6:8" x14ac:dyDescent="0.3">
      <c r="F1056"/>
      <c r="G1056" s="81"/>
      <c r="H1056"/>
    </row>
    <row r="1057" spans="6:8" x14ac:dyDescent="0.3">
      <c r="F1057"/>
      <c r="G1057" s="81"/>
      <c r="H1057"/>
    </row>
    <row r="1058" spans="6:8" x14ac:dyDescent="0.3">
      <c r="F1058"/>
      <c r="G1058" s="81"/>
      <c r="H1058"/>
    </row>
    <row r="1059" spans="6:8" x14ac:dyDescent="0.3">
      <c r="F1059"/>
      <c r="G1059" s="81"/>
      <c r="H1059"/>
    </row>
    <row r="1060" spans="6:8" x14ac:dyDescent="0.3">
      <c r="F1060"/>
      <c r="G1060" s="81"/>
      <c r="H1060"/>
    </row>
    <row r="1061" spans="6:8" x14ac:dyDescent="0.3">
      <c r="F1061"/>
      <c r="G1061" s="81"/>
      <c r="H1061"/>
    </row>
    <row r="1062" spans="6:8" x14ac:dyDescent="0.3">
      <c r="F1062"/>
      <c r="G1062" s="81"/>
      <c r="H1062"/>
    </row>
    <row r="1063" spans="6:8" x14ac:dyDescent="0.3">
      <c r="F1063"/>
      <c r="G1063" s="81"/>
      <c r="H1063"/>
    </row>
    <row r="1064" spans="6:8" x14ac:dyDescent="0.3">
      <c r="F1064"/>
      <c r="G1064" s="81"/>
      <c r="H1064"/>
    </row>
    <row r="1065" spans="6:8" x14ac:dyDescent="0.3">
      <c r="F1065"/>
      <c r="G1065" s="81"/>
      <c r="H1065"/>
    </row>
    <row r="1066" spans="6:8" x14ac:dyDescent="0.3">
      <c r="F1066"/>
      <c r="G1066" s="81"/>
      <c r="H1066"/>
    </row>
    <row r="1067" spans="6:8" x14ac:dyDescent="0.3">
      <c r="F1067"/>
      <c r="G1067" s="81"/>
      <c r="H1067"/>
    </row>
    <row r="1068" spans="6:8" x14ac:dyDescent="0.3">
      <c r="F1068"/>
      <c r="G1068" s="81"/>
      <c r="H1068"/>
    </row>
    <row r="1069" spans="6:8" x14ac:dyDescent="0.3">
      <c r="F1069"/>
      <c r="G1069" s="81"/>
      <c r="H1069"/>
    </row>
    <row r="1070" spans="6:8" x14ac:dyDescent="0.3">
      <c r="F1070"/>
      <c r="G1070" s="81"/>
      <c r="H1070"/>
    </row>
    <row r="1071" spans="6:8" x14ac:dyDescent="0.3">
      <c r="F1071"/>
      <c r="G1071" s="81"/>
      <c r="H1071"/>
    </row>
    <row r="1072" spans="6:8" x14ac:dyDescent="0.3">
      <c r="F1072"/>
      <c r="G1072" s="81"/>
      <c r="H1072"/>
    </row>
    <row r="1073" spans="6:8" x14ac:dyDescent="0.3">
      <c r="F1073"/>
      <c r="G1073" s="81"/>
      <c r="H1073"/>
    </row>
    <row r="1074" spans="6:8" x14ac:dyDescent="0.3">
      <c r="F1074"/>
      <c r="G1074" s="81"/>
      <c r="H1074"/>
    </row>
    <row r="1075" spans="6:8" x14ac:dyDescent="0.3">
      <c r="F1075"/>
      <c r="G1075" s="81"/>
      <c r="H1075"/>
    </row>
    <row r="1076" spans="6:8" x14ac:dyDescent="0.3">
      <c r="F1076"/>
      <c r="G1076" s="81"/>
      <c r="H1076"/>
    </row>
    <row r="1077" spans="6:8" x14ac:dyDescent="0.3">
      <c r="F1077"/>
      <c r="G1077" s="81"/>
      <c r="H1077"/>
    </row>
    <row r="1078" spans="6:8" x14ac:dyDescent="0.3">
      <c r="F1078"/>
      <c r="G1078" s="81"/>
      <c r="H1078"/>
    </row>
    <row r="1079" spans="6:8" x14ac:dyDescent="0.3">
      <c r="F1079"/>
      <c r="G1079" s="81"/>
      <c r="H1079"/>
    </row>
    <row r="1080" spans="6:8" x14ac:dyDescent="0.3">
      <c r="F1080"/>
      <c r="G1080" s="81"/>
      <c r="H1080"/>
    </row>
    <row r="1081" spans="6:8" x14ac:dyDescent="0.3">
      <c r="F1081"/>
      <c r="G1081" s="81"/>
      <c r="H1081"/>
    </row>
    <row r="1082" spans="6:8" x14ac:dyDescent="0.3">
      <c r="F1082"/>
      <c r="G1082" s="81"/>
      <c r="H1082"/>
    </row>
    <row r="1083" spans="6:8" x14ac:dyDescent="0.3">
      <c r="F1083"/>
      <c r="G1083" s="81"/>
      <c r="H1083"/>
    </row>
    <row r="1084" spans="6:8" x14ac:dyDescent="0.3">
      <c r="F1084"/>
      <c r="G1084" s="81"/>
      <c r="H1084"/>
    </row>
    <row r="1085" spans="6:8" x14ac:dyDescent="0.3">
      <c r="F1085"/>
      <c r="G1085" s="81"/>
      <c r="H1085"/>
    </row>
  </sheetData>
  <autoFilter ref="A1:A1085" xr:uid="{19BAA97E-3235-4F04-9672-C22EEF20D192}"/>
  <mergeCells count="2">
    <mergeCell ref="A1:C1"/>
    <mergeCell ref="F1:H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7729-BE46-4F82-837E-6FB97578D302}">
  <dimension ref="A1:M1085"/>
  <sheetViews>
    <sheetView workbookViewId="0">
      <selection activeCell="F2" sqref="F1:I1048576"/>
    </sheetView>
  </sheetViews>
  <sheetFormatPr baseColWidth="10" defaultRowHeight="14.4" x14ac:dyDescent="0.3"/>
  <cols>
    <col min="3" max="3" width="13.109375" customWidth="1"/>
    <col min="6" max="6" width="11.5546875" style="121"/>
    <col min="7" max="7" width="11.5546875" style="85"/>
    <col min="8" max="8" width="22.21875" style="121" customWidth="1"/>
  </cols>
  <sheetData>
    <row r="1" spans="1:13" x14ac:dyDescent="0.3">
      <c r="A1" s="492" t="s">
        <v>19</v>
      </c>
      <c r="B1" s="493"/>
      <c r="C1" s="494"/>
      <c r="F1" s="529" t="s">
        <v>19</v>
      </c>
      <c r="G1" s="531"/>
      <c r="H1" s="531"/>
    </row>
    <row r="2" spans="1:13" ht="28.8" x14ac:dyDescent="0.3">
      <c r="A2" s="3" t="s">
        <v>1</v>
      </c>
      <c r="B2" s="3" t="s">
        <v>2</v>
      </c>
      <c r="C2" s="3" t="s">
        <v>3</v>
      </c>
      <c r="F2" s="95" t="s">
        <v>1</v>
      </c>
      <c r="G2" s="97" t="s">
        <v>2</v>
      </c>
      <c r="H2" s="97" t="s">
        <v>3</v>
      </c>
    </row>
    <row r="3" spans="1:13" x14ac:dyDescent="0.3">
      <c r="A3" s="9">
        <v>37244</v>
      </c>
      <c r="B3" s="10">
        <v>57.78</v>
      </c>
      <c r="C3" s="10">
        <v>101.46</v>
      </c>
      <c r="F3" s="84">
        <v>40330</v>
      </c>
      <c r="G3" s="142">
        <v>66.87</v>
      </c>
      <c r="H3" s="143">
        <v>92.37</v>
      </c>
      <c r="I3">
        <f>G3+H3</f>
        <v>159.24</v>
      </c>
    </row>
    <row r="4" spans="1:13" x14ac:dyDescent="0.3">
      <c r="A4" s="9">
        <v>37246</v>
      </c>
      <c r="B4" s="10">
        <v>57.78</v>
      </c>
      <c r="C4" s="10">
        <v>101.46</v>
      </c>
      <c r="F4" s="84">
        <v>40513</v>
      </c>
      <c r="G4" s="142">
        <v>67.239999999999995</v>
      </c>
      <c r="H4" s="143">
        <v>92</v>
      </c>
      <c r="I4">
        <f t="shared" ref="I4:I34" si="0">G4+H4</f>
        <v>159.24</v>
      </c>
      <c r="K4" s="146"/>
      <c r="L4" s="147"/>
      <c r="M4" s="148"/>
    </row>
    <row r="5" spans="1:13" x14ac:dyDescent="0.3">
      <c r="A5" s="9">
        <v>37251</v>
      </c>
      <c r="B5" s="10">
        <v>57.78</v>
      </c>
      <c r="C5" s="10">
        <v>101.46</v>
      </c>
      <c r="F5" s="84">
        <v>40695</v>
      </c>
      <c r="G5" s="142">
        <v>67.94</v>
      </c>
      <c r="H5" s="143">
        <v>91.3</v>
      </c>
      <c r="I5">
        <f t="shared" si="0"/>
        <v>159.24</v>
      </c>
      <c r="K5" s="146"/>
      <c r="L5" s="147"/>
      <c r="M5" s="148"/>
    </row>
    <row r="6" spans="1:13" x14ac:dyDescent="0.3">
      <c r="A6" s="9">
        <v>37258</v>
      </c>
      <c r="B6" s="10">
        <v>57.8</v>
      </c>
      <c r="C6" s="10">
        <v>101.44</v>
      </c>
      <c r="F6" s="84">
        <v>40878</v>
      </c>
      <c r="G6" s="142">
        <v>67.400000000000006</v>
      </c>
      <c r="H6" s="143">
        <v>91.84</v>
      </c>
      <c r="I6">
        <f t="shared" si="0"/>
        <v>159.24</v>
      </c>
      <c r="K6" s="149"/>
      <c r="L6" s="147"/>
      <c r="M6" s="148"/>
    </row>
    <row r="7" spans="1:13" x14ac:dyDescent="0.3">
      <c r="A7" s="9">
        <v>37270</v>
      </c>
      <c r="B7" s="10">
        <v>57.9</v>
      </c>
      <c r="C7" s="10">
        <v>101.34</v>
      </c>
      <c r="F7" s="84">
        <v>41061</v>
      </c>
      <c r="G7" s="142">
        <v>68</v>
      </c>
      <c r="H7" s="143">
        <v>91.24</v>
      </c>
      <c r="I7">
        <f t="shared" si="0"/>
        <v>159.24</v>
      </c>
    </row>
    <row r="8" spans="1:13" x14ac:dyDescent="0.3">
      <c r="A8" s="9">
        <v>37280</v>
      </c>
      <c r="B8" s="10">
        <v>57.7</v>
      </c>
      <c r="C8" s="10">
        <v>101.54</v>
      </c>
      <c r="F8" s="84">
        <v>41244</v>
      </c>
      <c r="G8" s="142">
        <v>69.099999999999994</v>
      </c>
      <c r="H8" s="143">
        <v>90.14</v>
      </c>
      <c r="I8">
        <f t="shared" si="0"/>
        <v>159.24</v>
      </c>
    </row>
    <row r="9" spans="1:13" x14ac:dyDescent="0.3">
      <c r="A9" s="9">
        <v>37299</v>
      </c>
      <c r="B9" s="10">
        <v>58.19</v>
      </c>
      <c r="C9" s="10">
        <v>101.05</v>
      </c>
      <c r="F9" s="84">
        <v>41426</v>
      </c>
      <c r="G9" s="142">
        <v>69.790000000000006</v>
      </c>
      <c r="H9" s="143">
        <v>89.45</v>
      </c>
      <c r="I9">
        <f t="shared" si="0"/>
        <v>159.24</v>
      </c>
    </row>
    <row r="10" spans="1:13" x14ac:dyDescent="0.3">
      <c r="A10" s="9">
        <v>37305</v>
      </c>
      <c r="B10" s="10">
        <v>58.11</v>
      </c>
      <c r="C10" s="10">
        <v>101.13</v>
      </c>
      <c r="F10" s="84">
        <v>41609</v>
      </c>
      <c r="G10" s="142">
        <v>70.790000000000006</v>
      </c>
      <c r="H10" s="143">
        <v>88.45</v>
      </c>
      <c r="I10">
        <f t="shared" si="0"/>
        <v>159.24</v>
      </c>
    </row>
    <row r="11" spans="1:13" x14ac:dyDescent="0.3">
      <c r="A11" s="9">
        <v>37312</v>
      </c>
      <c r="B11" s="10">
        <v>58.35</v>
      </c>
      <c r="C11" s="10">
        <v>100.89</v>
      </c>
      <c r="F11" s="84">
        <v>41791</v>
      </c>
      <c r="G11" s="142">
        <v>71.52</v>
      </c>
      <c r="H11" s="143">
        <v>87.72</v>
      </c>
      <c r="I11">
        <f t="shared" si="0"/>
        <v>159.24</v>
      </c>
    </row>
    <row r="12" spans="1:13" x14ac:dyDescent="0.3">
      <c r="A12" s="9">
        <v>37321</v>
      </c>
      <c r="B12" s="10">
        <v>58.09</v>
      </c>
      <c r="C12" s="10">
        <v>101.15</v>
      </c>
      <c r="F12" s="84">
        <v>41974</v>
      </c>
      <c r="G12" s="142">
        <v>72.55</v>
      </c>
      <c r="H12" s="143">
        <v>86.69</v>
      </c>
      <c r="I12">
        <f t="shared" si="0"/>
        <v>159.24</v>
      </c>
    </row>
    <row r="13" spans="1:13" x14ac:dyDescent="0.3">
      <c r="A13" s="9">
        <v>37326</v>
      </c>
      <c r="B13" s="10">
        <v>58.24</v>
      </c>
      <c r="C13" s="10">
        <v>101</v>
      </c>
      <c r="F13" s="84">
        <v>42156</v>
      </c>
      <c r="G13" s="142">
        <v>73.5</v>
      </c>
      <c r="H13" s="143">
        <v>85.74</v>
      </c>
      <c r="I13">
        <f t="shared" si="0"/>
        <v>159.24</v>
      </c>
    </row>
    <row r="14" spans="1:13" x14ac:dyDescent="0.3">
      <c r="A14" s="9">
        <v>37333</v>
      </c>
      <c r="B14" s="10">
        <v>58.44</v>
      </c>
      <c r="C14" s="10">
        <v>100.8</v>
      </c>
      <c r="F14" s="84">
        <v>42339</v>
      </c>
      <c r="G14" s="142">
        <v>74.400000000000006</v>
      </c>
      <c r="H14" s="143">
        <v>84.84</v>
      </c>
      <c r="I14">
        <f t="shared" si="0"/>
        <v>159.24</v>
      </c>
    </row>
    <row r="15" spans="1:13" x14ac:dyDescent="0.3">
      <c r="A15" s="9">
        <v>37341</v>
      </c>
      <c r="B15" s="10">
        <v>58.5</v>
      </c>
      <c r="C15" s="10">
        <v>100.74</v>
      </c>
      <c r="F15" s="84">
        <v>42522</v>
      </c>
      <c r="G15" s="142">
        <v>75.44</v>
      </c>
      <c r="H15" s="143">
        <v>83.8</v>
      </c>
      <c r="I15">
        <f t="shared" si="0"/>
        <v>159.24</v>
      </c>
    </row>
    <row r="16" spans="1:13" x14ac:dyDescent="0.3">
      <c r="A16" s="9">
        <v>37348</v>
      </c>
      <c r="B16" s="10">
        <v>58.47</v>
      </c>
      <c r="C16" s="10">
        <v>100.77</v>
      </c>
      <c r="F16" s="84">
        <v>42705</v>
      </c>
      <c r="G16" s="142">
        <v>76.34</v>
      </c>
      <c r="H16" s="143">
        <v>82.9</v>
      </c>
      <c r="I16">
        <f t="shared" si="0"/>
        <v>159.24</v>
      </c>
    </row>
    <row r="17" spans="1:9" x14ac:dyDescent="0.3">
      <c r="A17" s="9">
        <v>37355</v>
      </c>
      <c r="B17" s="10">
        <v>58.63</v>
      </c>
      <c r="C17" s="10">
        <v>100.61</v>
      </c>
      <c r="F17" s="84">
        <v>42887</v>
      </c>
      <c r="G17" s="142">
        <v>75.77</v>
      </c>
      <c r="H17" s="143">
        <v>83.47</v>
      </c>
      <c r="I17">
        <f t="shared" si="0"/>
        <v>159.24</v>
      </c>
    </row>
    <row r="18" spans="1:9" x14ac:dyDescent="0.3">
      <c r="A18" s="9">
        <v>37382</v>
      </c>
      <c r="B18" s="10">
        <v>58.4</v>
      </c>
      <c r="C18" s="10">
        <v>100.84</v>
      </c>
      <c r="F18" s="84">
        <v>43070</v>
      </c>
      <c r="G18" s="76">
        <v>76.650000000000006</v>
      </c>
      <c r="H18" s="72">
        <f>159.24-G18</f>
        <v>82.59</v>
      </c>
      <c r="I18">
        <f t="shared" si="0"/>
        <v>159.24</v>
      </c>
    </row>
    <row r="19" spans="1:9" x14ac:dyDescent="0.3">
      <c r="A19" s="9">
        <v>37390</v>
      </c>
      <c r="B19" s="10">
        <v>58.67</v>
      </c>
      <c r="C19" s="10">
        <v>100.57</v>
      </c>
      <c r="F19" s="84">
        <v>43252</v>
      </c>
      <c r="G19" s="76">
        <v>77.56</v>
      </c>
      <c r="H19" s="72">
        <f t="shared" ref="H19:H20" si="1">159.24-G19</f>
        <v>81.680000000000007</v>
      </c>
      <c r="I19">
        <f t="shared" si="0"/>
        <v>159.24</v>
      </c>
    </row>
    <row r="20" spans="1:9" x14ac:dyDescent="0.3">
      <c r="A20" s="9">
        <v>37396</v>
      </c>
      <c r="B20" s="10">
        <v>58.41</v>
      </c>
      <c r="C20" s="10">
        <v>100.83</v>
      </c>
      <c r="F20" s="84">
        <v>43435</v>
      </c>
      <c r="G20" s="76">
        <v>78.459999999999994</v>
      </c>
      <c r="H20" s="72">
        <f t="shared" si="1"/>
        <v>80.780000000000015</v>
      </c>
      <c r="I20">
        <f t="shared" si="0"/>
        <v>159.24</v>
      </c>
    </row>
    <row r="21" spans="1:9" x14ac:dyDescent="0.3">
      <c r="A21" s="9">
        <v>37413</v>
      </c>
      <c r="B21" s="10">
        <v>58.61</v>
      </c>
      <c r="C21" s="10">
        <v>100.63</v>
      </c>
      <c r="F21" s="84">
        <v>43617</v>
      </c>
      <c r="G21" s="144">
        <v>79.36</v>
      </c>
      <c r="H21" s="142">
        <v>79.88</v>
      </c>
      <c r="I21">
        <f t="shared" si="0"/>
        <v>159.24</v>
      </c>
    </row>
    <row r="22" spans="1:9" x14ac:dyDescent="0.3">
      <c r="A22" s="9">
        <v>37421</v>
      </c>
      <c r="B22" s="10">
        <v>57.59</v>
      </c>
      <c r="C22" s="10">
        <v>101.65</v>
      </c>
      <c r="F22" s="84">
        <v>43800</v>
      </c>
      <c r="G22" s="76">
        <v>80.27</v>
      </c>
      <c r="H22" s="72">
        <f t="shared" ref="H22:H34" si="2">159.24-G22</f>
        <v>78.970000000000013</v>
      </c>
      <c r="I22">
        <f t="shared" si="0"/>
        <v>159.24</v>
      </c>
    </row>
    <row r="23" spans="1:9" x14ac:dyDescent="0.3">
      <c r="A23" s="9">
        <v>37424</v>
      </c>
      <c r="B23" s="10">
        <v>57.6</v>
      </c>
      <c r="C23" s="10">
        <v>101.64</v>
      </c>
      <c r="F23" s="84">
        <v>43983</v>
      </c>
      <c r="G23" s="76">
        <v>80.5</v>
      </c>
      <c r="H23" s="72">
        <f t="shared" si="2"/>
        <v>78.740000000000009</v>
      </c>
      <c r="I23">
        <f t="shared" si="0"/>
        <v>159.24</v>
      </c>
    </row>
    <row r="24" spans="1:9" x14ac:dyDescent="0.3">
      <c r="A24" s="9">
        <v>37431</v>
      </c>
      <c r="B24" s="10">
        <v>57.61</v>
      </c>
      <c r="C24" s="10">
        <v>101.63</v>
      </c>
      <c r="F24" s="84">
        <v>44166</v>
      </c>
      <c r="G24" s="11">
        <v>81.400000000000006</v>
      </c>
      <c r="H24" s="72">
        <f t="shared" si="2"/>
        <v>77.84</v>
      </c>
      <c r="I24">
        <f t="shared" si="0"/>
        <v>159.24</v>
      </c>
    </row>
    <row r="25" spans="1:9" x14ac:dyDescent="0.3">
      <c r="A25" s="9">
        <v>37440</v>
      </c>
      <c r="B25" s="10">
        <v>58.06</v>
      </c>
      <c r="C25" s="10">
        <v>101.18</v>
      </c>
      <c r="F25" s="84">
        <v>44348</v>
      </c>
      <c r="G25" s="11">
        <v>81.93</v>
      </c>
      <c r="H25" s="72">
        <f t="shared" si="2"/>
        <v>77.31</v>
      </c>
      <c r="I25">
        <f t="shared" si="0"/>
        <v>159.24</v>
      </c>
    </row>
    <row r="26" spans="1:9" x14ac:dyDescent="0.3">
      <c r="A26" s="9">
        <v>37379</v>
      </c>
      <c r="B26" s="10">
        <v>58.25</v>
      </c>
      <c r="C26" s="10">
        <v>100.99</v>
      </c>
      <c r="F26" s="84">
        <v>44531</v>
      </c>
      <c r="G26" s="76">
        <v>82.83</v>
      </c>
      <c r="H26" s="72">
        <f t="shared" si="2"/>
        <v>76.410000000000011</v>
      </c>
      <c r="I26">
        <f t="shared" si="0"/>
        <v>159.24</v>
      </c>
    </row>
    <row r="27" spans="1:9" x14ac:dyDescent="0.3">
      <c r="A27" s="9">
        <v>37453</v>
      </c>
      <c r="B27" s="10">
        <v>58.38</v>
      </c>
      <c r="C27" s="10">
        <v>100.86</v>
      </c>
      <c r="F27" s="84">
        <v>44713</v>
      </c>
      <c r="G27" s="93">
        <v>83.37</v>
      </c>
      <c r="H27" s="72">
        <f t="shared" si="2"/>
        <v>75.87</v>
      </c>
      <c r="I27">
        <f t="shared" si="0"/>
        <v>159.24</v>
      </c>
    </row>
    <row r="28" spans="1:9" x14ac:dyDescent="0.3">
      <c r="A28" s="9">
        <v>37459</v>
      </c>
      <c r="B28" s="10">
        <v>58.45</v>
      </c>
      <c r="C28" s="10">
        <v>100.79</v>
      </c>
      <c r="F28" s="84">
        <v>44896</v>
      </c>
      <c r="G28" s="126">
        <v>84.27</v>
      </c>
      <c r="H28" s="72">
        <f t="shared" si="2"/>
        <v>74.970000000000013</v>
      </c>
      <c r="I28">
        <f t="shared" si="0"/>
        <v>159.24</v>
      </c>
    </row>
    <row r="29" spans="1:9" x14ac:dyDescent="0.3">
      <c r="A29" s="9">
        <v>37466</v>
      </c>
      <c r="B29" s="10">
        <v>58.42</v>
      </c>
      <c r="C29" s="10">
        <v>100.82</v>
      </c>
      <c r="F29" s="84">
        <v>45078</v>
      </c>
      <c r="G29" s="111">
        <v>84.81</v>
      </c>
      <c r="H29" s="72">
        <f t="shared" si="2"/>
        <v>74.430000000000007</v>
      </c>
      <c r="I29">
        <f t="shared" si="0"/>
        <v>159.24</v>
      </c>
    </row>
    <row r="30" spans="1:9" x14ac:dyDescent="0.3">
      <c r="A30" s="9">
        <v>37474</v>
      </c>
      <c r="B30" s="10">
        <v>58.48</v>
      </c>
      <c r="C30" s="10">
        <v>100.76</v>
      </c>
      <c r="F30" s="84">
        <v>45261</v>
      </c>
      <c r="G30" s="124">
        <v>85.71</v>
      </c>
      <c r="H30" s="72">
        <f t="shared" si="2"/>
        <v>73.530000000000015</v>
      </c>
      <c r="I30">
        <f t="shared" si="0"/>
        <v>159.24</v>
      </c>
    </row>
    <row r="31" spans="1:9" x14ac:dyDescent="0.3">
      <c r="A31" s="9">
        <v>37480</v>
      </c>
      <c r="B31" s="10">
        <v>58.6</v>
      </c>
      <c r="C31" s="10">
        <v>100.64</v>
      </c>
      <c r="F31" s="84">
        <v>45444</v>
      </c>
      <c r="G31" s="111">
        <v>86.27</v>
      </c>
      <c r="H31" s="72">
        <f t="shared" si="2"/>
        <v>72.970000000000013</v>
      </c>
      <c r="I31">
        <f t="shared" si="0"/>
        <v>159.24</v>
      </c>
    </row>
    <row r="32" spans="1:9" x14ac:dyDescent="0.3">
      <c r="A32" s="9">
        <v>37488</v>
      </c>
      <c r="B32" s="10">
        <v>58.14</v>
      </c>
      <c r="C32" s="10">
        <v>101.1</v>
      </c>
      <c r="F32" s="84">
        <v>45627</v>
      </c>
      <c r="G32" s="93">
        <v>87.29</v>
      </c>
      <c r="H32" s="72">
        <f t="shared" si="2"/>
        <v>71.95</v>
      </c>
      <c r="I32">
        <f t="shared" si="0"/>
        <v>159.24</v>
      </c>
    </row>
    <row r="33" spans="1:9" x14ac:dyDescent="0.3">
      <c r="A33" s="9">
        <v>37494</v>
      </c>
      <c r="B33" s="10">
        <v>58.17</v>
      </c>
      <c r="C33" s="10">
        <v>101.07</v>
      </c>
      <c r="F33" s="84">
        <v>45809</v>
      </c>
      <c r="G33" s="96">
        <v>87.33</v>
      </c>
      <c r="H33" s="72">
        <f t="shared" si="2"/>
        <v>71.910000000000011</v>
      </c>
      <c r="I33">
        <f t="shared" si="0"/>
        <v>159.24</v>
      </c>
    </row>
    <row r="34" spans="1:9" x14ac:dyDescent="0.3">
      <c r="A34" s="9">
        <v>37502</v>
      </c>
      <c r="B34" s="10">
        <v>58.2</v>
      </c>
      <c r="C34" s="10">
        <v>101.04</v>
      </c>
      <c r="F34" s="84">
        <v>45992</v>
      </c>
      <c r="G34" s="111">
        <v>88.59</v>
      </c>
      <c r="H34" s="72">
        <f t="shared" si="2"/>
        <v>70.650000000000006</v>
      </c>
      <c r="I34">
        <f t="shared" si="0"/>
        <v>159.24</v>
      </c>
    </row>
    <row r="35" spans="1:9" x14ac:dyDescent="0.3">
      <c r="A35" s="9">
        <v>37510</v>
      </c>
      <c r="B35" s="10">
        <v>58.33</v>
      </c>
      <c r="C35" s="10">
        <v>100.91</v>
      </c>
      <c r="F35"/>
      <c r="G35" s="81"/>
      <c r="H35"/>
    </row>
    <row r="36" spans="1:9" x14ac:dyDescent="0.3">
      <c r="A36" s="9">
        <v>37515</v>
      </c>
      <c r="B36" s="11">
        <v>58.31</v>
      </c>
      <c r="C36" s="10">
        <v>100.93</v>
      </c>
      <c r="F36"/>
      <c r="G36" s="81"/>
      <c r="H36"/>
    </row>
    <row r="37" spans="1:9" x14ac:dyDescent="0.3">
      <c r="A37" s="9">
        <v>37526</v>
      </c>
      <c r="B37" s="10">
        <v>58.3</v>
      </c>
      <c r="C37" s="10">
        <v>100.94</v>
      </c>
      <c r="F37"/>
      <c r="G37" s="81"/>
      <c r="H37"/>
    </row>
    <row r="38" spans="1:9" x14ac:dyDescent="0.3">
      <c r="A38" s="9">
        <v>37530</v>
      </c>
      <c r="B38" s="10">
        <v>58.27</v>
      </c>
      <c r="C38" s="10">
        <v>100.97</v>
      </c>
      <c r="F38" s="115"/>
      <c r="G38" s="81"/>
      <c r="H38"/>
    </row>
    <row r="39" spans="1:9" x14ac:dyDescent="0.3">
      <c r="A39" s="9">
        <v>37537</v>
      </c>
      <c r="B39" s="10">
        <v>58.31</v>
      </c>
      <c r="C39" s="10">
        <v>100.93</v>
      </c>
      <c r="F39" s="115"/>
      <c r="G39" s="81"/>
      <c r="H39"/>
    </row>
    <row r="40" spans="1:9" x14ac:dyDescent="0.3">
      <c r="A40" s="9">
        <v>37545</v>
      </c>
      <c r="B40" s="10">
        <v>58.41</v>
      </c>
      <c r="C40" s="10">
        <v>100.83</v>
      </c>
      <c r="F40" s="115"/>
      <c r="G40" s="81"/>
      <c r="H40"/>
    </row>
    <row r="41" spans="1:9" x14ac:dyDescent="0.3">
      <c r="A41" s="9">
        <v>37550</v>
      </c>
      <c r="B41" s="10">
        <v>58.45</v>
      </c>
      <c r="C41" s="10">
        <v>100.79</v>
      </c>
      <c r="F41"/>
      <c r="G41" s="81"/>
      <c r="H41"/>
    </row>
    <row r="42" spans="1:9" x14ac:dyDescent="0.3">
      <c r="A42" s="9">
        <v>37558</v>
      </c>
      <c r="B42" s="10">
        <v>58.4</v>
      </c>
      <c r="C42" s="10">
        <v>100.84</v>
      </c>
      <c r="F42"/>
      <c r="G42" s="81"/>
      <c r="H42"/>
    </row>
    <row r="43" spans="1:9" x14ac:dyDescent="0.3">
      <c r="A43" s="9">
        <v>37575</v>
      </c>
      <c r="B43" s="10">
        <v>58.49</v>
      </c>
      <c r="C43" s="10">
        <v>100.75</v>
      </c>
      <c r="F43"/>
      <c r="G43" s="81"/>
      <c r="H43"/>
    </row>
    <row r="44" spans="1:9" x14ac:dyDescent="0.3">
      <c r="A44" s="9">
        <v>37579</v>
      </c>
      <c r="B44" s="10">
        <v>58.25</v>
      </c>
      <c r="C44" s="10">
        <v>100.99</v>
      </c>
      <c r="F44"/>
      <c r="G44" s="81"/>
      <c r="H44"/>
    </row>
    <row r="45" spans="1:9" x14ac:dyDescent="0.3">
      <c r="A45" s="9">
        <v>37586</v>
      </c>
      <c r="B45" s="10">
        <v>57.9</v>
      </c>
      <c r="C45" s="10">
        <v>101.34</v>
      </c>
      <c r="F45"/>
      <c r="G45" s="81"/>
      <c r="H45"/>
    </row>
    <row r="46" spans="1:9" x14ac:dyDescent="0.3">
      <c r="A46" s="9">
        <v>37593</v>
      </c>
      <c r="B46" s="10">
        <v>57.73</v>
      </c>
      <c r="C46" s="10">
        <v>101.51</v>
      </c>
      <c r="F46"/>
      <c r="G46" s="81"/>
      <c r="H46"/>
    </row>
    <row r="47" spans="1:9" x14ac:dyDescent="0.3">
      <c r="A47" s="9">
        <v>37635</v>
      </c>
      <c r="B47" s="10">
        <v>57.56</v>
      </c>
      <c r="C47" s="10">
        <v>101.68</v>
      </c>
      <c r="F47"/>
      <c r="G47" s="81"/>
      <c r="H47"/>
    </row>
    <row r="48" spans="1:9" x14ac:dyDescent="0.3">
      <c r="A48" s="9">
        <v>37642</v>
      </c>
      <c r="B48" s="10">
        <v>57.57</v>
      </c>
      <c r="C48" s="10">
        <v>101.67</v>
      </c>
      <c r="F48"/>
      <c r="G48" s="81"/>
      <c r="H48"/>
    </row>
    <row r="49" spans="1:8" x14ac:dyDescent="0.3">
      <c r="A49" s="9">
        <v>37657</v>
      </c>
      <c r="B49" s="10">
        <v>58.08</v>
      </c>
      <c r="C49" s="10">
        <v>101.16</v>
      </c>
      <c r="F49"/>
      <c r="G49" s="81"/>
      <c r="H49"/>
    </row>
    <row r="50" spans="1:8" x14ac:dyDescent="0.3">
      <c r="A50" s="9">
        <v>37733</v>
      </c>
      <c r="B50" s="10">
        <v>58.53</v>
      </c>
      <c r="C50" s="10">
        <v>100.71</v>
      </c>
      <c r="F50"/>
      <c r="G50" s="81"/>
      <c r="H50"/>
    </row>
    <row r="51" spans="1:8" x14ac:dyDescent="0.3">
      <c r="A51" s="9">
        <v>37748</v>
      </c>
      <c r="B51" s="10">
        <v>58.51</v>
      </c>
      <c r="C51" s="10">
        <v>100.73</v>
      </c>
      <c r="F51"/>
      <c r="G51" s="81"/>
      <c r="H51"/>
    </row>
    <row r="52" spans="1:8" x14ac:dyDescent="0.3">
      <c r="A52" s="9">
        <v>37749</v>
      </c>
      <c r="B52" s="10">
        <v>58.52</v>
      </c>
      <c r="C52" s="10">
        <v>100.72</v>
      </c>
      <c r="F52"/>
      <c r="G52" s="81"/>
      <c r="H52"/>
    </row>
    <row r="53" spans="1:8" x14ac:dyDescent="0.3">
      <c r="A53" s="9">
        <v>37750</v>
      </c>
      <c r="B53" s="10">
        <v>58.53</v>
      </c>
      <c r="C53" s="10">
        <v>100.71</v>
      </c>
      <c r="F53"/>
      <c r="G53" s="81"/>
      <c r="H53"/>
    </row>
    <row r="54" spans="1:8" x14ac:dyDescent="0.3">
      <c r="A54" s="9">
        <v>37755</v>
      </c>
      <c r="B54" s="10">
        <v>58.25</v>
      </c>
      <c r="C54" s="10">
        <v>100.99</v>
      </c>
      <c r="F54"/>
      <c r="G54" s="81"/>
      <c r="H54"/>
    </row>
    <row r="55" spans="1:8" x14ac:dyDescent="0.3">
      <c r="A55" s="9">
        <v>37758</v>
      </c>
      <c r="B55" s="10">
        <v>58.62</v>
      </c>
      <c r="C55" s="10">
        <v>100.62</v>
      </c>
      <c r="F55"/>
      <c r="G55" s="81"/>
      <c r="H55"/>
    </row>
    <row r="56" spans="1:8" x14ac:dyDescent="0.3">
      <c r="A56" s="9">
        <v>37768</v>
      </c>
      <c r="B56" s="10">
        <v>58.63</v>
      </c>
      <c r="C56" s="10">
        <v>100.61</v>
      </c>
      <c r="F56"/>
      <c r="G56" s="81"/>
      <c r="H56"/>
    </row>
    <row r="57" spans="1:8" x14ac:dyDescent="0.3">
      <c r="A57" s="9">
        <v>37796</v>
      </c>
      <c r="B57" s="10">
        <v>59.01</v>
      </c>
      <c r="C57" s="10">
        <v>100.23</v>
      </c>
      <c r="F57"/>
      <c r="G57" s="81"/>
      <c r="H57"/>
    </row>
    <row r="58" spans="1:8" x14ac:dyDescent="0.3">
      <c r="A58" s="9">
        <v>37811</v>
      </c>
      <c r="B58" s="10">
        <v>58.51</v>
      </c>
      <c r="C58" s="10">
        <v>100.73</v>
      </c>
      <c r="F58"/>
      <c r="G58" s="81"/>
      <c r="H58"/>
    </row>
    <row r="59" spans="1:8" x14ac:dyDescent="0.3">
      <c r="A59" s="9">
        <v>37817</v>
      </c>
      <c r="B59" s="10">
        <v>58.57</v>
      </c>
      <c r="C59" s="10">
        <v>100.67</v>
      </c>
      <c r="F59"/>
      <c r="G59" s="81"/>
      <c r="H59"/>
    </row>
    <row r="60" spans="1:8" x14ac:dyDescent="0.3">
      <c r="A60" s="9">
        <v>37819</v>
      </c>
      <c r="B60" s="10">
        <v>58.57</v>
      </c>
      <c r="C60" s="10">
        <v>100.67</v>
      </c>
      <c r="F60"/>
      <c r="G60" s="81"/>
      <c r="H60"/>
    </row>
    <row r="61" spans="1:8" x14ac:dyDescent="0.3">
      <c r="A61" s="69">
        <v>37824</v>
      </c>
      <c r="B61" s="10">
        <v>58.91</v>
      </c>
      <c r="C61" s="10">
        <v>100.33</v>
      </c>
      <c r="F61"/>
      <c r="G61" s="81"/>
      <c r="H61"/>
    </row>
    <row r="62" spans="1:8" x14ac:dyDescent="0.3">
      <c r="A62" s="69">
        <v>37831</v>
      </c>
      <c r="B62" s="10">
        <v>59.05</v>
      </c>
      <c r="C62" s="10">
        <v>100.19</v>
      </c>
      <c r="F62"/>
      <c r="G62" s="81"/>
      <c r="H62"/>
    </row>
    <row r="63" spans="1:8" x14ac:dyDescent="0.3">
      <c r="A63" s="69">
        <v>37837</v>
      </c>
      <c r="B63" s="10">
        <v>58.95</v>
      </c>
      <c r="C63" s="10">
        <v>100.29</v>
      </c>
      <c r="F63"/>
      <c r="G63" s="81"/>
      <c r="H63"/>
    </row>
    <row r="64" spans="1:8" x14ac:dyDescent="0.3">
      <c r="A64" s="69">
        <v>37846</v>
      </c>
      <c r="B64" s="10">
        <v>59.28</v>
      </c>
      <c r="C64" s="10">
        <v>99.96</v>
      </c>
      <c r="F64"/>
      <c r="G64" s="81"/>
      <c r="H64"/>
    </row>
    <row r="65" spans="1:8" x14ac:dyDescent="0.3">
      <c r="A65" s="69">
        <v>37853</v>
      </c>
      <c r="B65" s="10">
        <v>58.75</v>
      </c>
      <c r="C65" s="10">
        <v>100.49</v>
      </c>
      <c r="F65"/>
      <c r="G65" s="81"/>
      <c r="H65"/>
    </row>
    <row r="66" spans="1:8" x14ac:dyDescent="0.3">
      <c r="A66" s="69">
        <v>37859</v>
      </c>
      <c r="B66" s="10">
        <v>58.72</v>
      </c>
      <c r="C66" s="10">
        <v>100.52</v>
      </c>
      <c r="F66"/>
      <c r="G66" s="81"/>
      <c r="H66"/>
    </row>
    <row r="67" spans="1:8" x14ac:dyDescent="0.3">
      <c r="A67" s="69">
        <v>37873</v>
      </c>
      <c r="B67" s="10">
        <v>59.12</v>
      </c>
      <c r="C67" s="10">
        <v>100.12</v>
      </c>
      <c r="F67"/>
      <c r="G67" s="81"/>
      <c r="H67"/>
    </row>
    <row r="68" spans="1:8" x14ac:dyDescent="0.3">
      <c r="A68" s="69">
        <v>37895</v>
      </c>
      <c r="B68" s="10">
        <v>59.2</v>
      </c>
      <c r="C68" s="10">
        <v>100.04</v>
      </c>
      <c r="F68"/>
      <c r="G68" s="81"/>
      <c r="H68"/>
    </row>
    <row r="69" spans="1:8" x14ac:dyDescent="0.3">
      <c r="A69" s="69">
        <v>37900</v>
      </c>
      <c r="B69" s="10">
        <v>59.12</v>
      </c>
      <c r="C69" s="10">
        <v>100.12</v>
      </c>
      <c r="F69"/>
      <c r="G69" s="81"/>
      <c r="H69"/>
    </row>
    <row r="70" spans="1:8" x14ac:dyDescent="0.3">
      <c r="A70" s="69">
        <v>37931</v>
      </c>
      <c r="B70" s="10">
        <v>59.2</v>
      </c>
      <c r="C70" s="10">
        <v>100.04</v>
      </c>
      <c r="F70"/>
      <c r="G70" s="81"/>
      <c r="H70"/>
    </row>
    <row r="71" spans="1:8" x14ac:dyDescent="0.3">
      <c r="A71" s="69">
        <v>37937</v>
      </c>
      <c r="B71" s="10">
        <v>59.17</v>
      </c>
      <c r="C71" s="10">
        <v>100.07</v>
      </c>
      <c r="F71"/>
      <c r="G71" s="81"/>
      <c r="H71"/>
    </row>
    <row r="72" spans="1:8" x14ac:dyDescent="0.3">
      <c r="A72" s="69">
        <v>38009</v>
      </c>
      <c r="B72" s="10">
        <v>59.7</v>
      </c>
      <c r="C72" s="10">
        <v>99.54</v>
      </c>
      <c r="F72"/>
      <c r="G72" s="81"/>
      <c r="H72"/>
    </row>
    <row r="73" spans="1:8" x14ac:dyDescent="0.3">
      <c r="A73" s="69">
        <v>38050</v>
      </c>
      <c r="B73" s="10">
        <v>59.72</v>
      </c>
      <c r="C73" s="10">
        <v>99.52</v>
      </c>
      <c r="F73"/>
      <c r="G73" s="81"/>
      <c r="H73"/>
    </row>
    <row r="74" spans="1:8" x14ac:dyDescent="0.3">
      <c r="A74" s="30">
        <v>38107</v>
      </c>
      <c r="B74" s="11">
        <v>59.65</v>
      </c>
      <c r="C74" s="10">
        <v>99.59</v>
      </c>
      <c r="F74"/>
      <c r="G74" s="81"/>
      <c r="H74"/>
    </row>
    <row r="75" spans="1:8" x14ac:dyDescent="0.3">
      <c r="A75" s="71">
        <v>38124</v>
      </c>
      <c r="B75" s="72">
        <v>59.6</v>
      </c>
      <c r="C75" s="73">
        <v>99.64</v>
      </c>
      <c r="F75"/>
      <c r="G75" s="81"/>
      <c r="H75"/>
    </row>
    <row r="76" spans="1:8" x14ac:dyDescent="0.3">
      <c r="A76" s="71">
        <v>38133</v>
      </c>
      <c r="B76" s="72">
        <v>59.56</v>
      </c>
      <c r="C76" s="73">
        <v>99.68</v>
      </c>
      <c r="F76"/>
      <c r="G76" s="81"/>
      <c r="H76"/>
    </row>
    <row r="77" spans="1:8" x14ac:dyDescent="0.3">
      <c r="A77" s="71">
        <v>38147</v>
      </c>
      <c r="B77" s="72">
        <v>60</v>
      </c>
      <c r="C77" s="73">
        <v>99.24</v>
      </c>
      <c r="F77"/>
      <c r="G77" s="81"/>
      <c r="H77"/>
    </row>
    <row r="78" spans="1:8" x14ac:dyDescent="0.3">
      <c r="A78" s="71">
        <v>38161</v>
      </c>
      <c r="B78" s="72">
        <v>59.52</v>
      </c>
      <c r="C78" s="73">
        <v>99.72</v>
      </c>
      <c r="F78"/>
      <c r="G78" s="81"/>
      <c r="H78"/>
    </row>
    <row r="79" spans="1:8" x14ac:dyDescent="0.3">
      <c r="A79" s="71">
        <v>38170</v>
      </c>
      <c r="B79" s="72">
        <v>59.5</v>
      </c>
      <c r="C79" s="73">
        <v>99.74</v>
      </c>
      <c r="F79"/>
      <c r="G79" s="81"/>
      <c r="H79"/>
    </row>
    <row r="80" spans="1:8" x14ac:dyDescent="0.3">
      <c r="A80" s="71">
        <v>38189</v>
      </c>
      <c r="B80" s="72">
        <v>59.68</v>
      </c>
      <c r="C80" s="73">
        <v>99.56</v>
      </c>
      <c r="F80"/>
      <c r="G80" s="81"/>
      <c r="H80"/>
    </row>
    <row r="81" spans="1:8" x14ac:dyDescent="0.3">
      <c r="A81" s="71">
        <v>38197</v>
      </c>
      <c r="B81" s="72">
        <v>59.52</v>
      </c>
      <c r="C81" s="73">
        <v>99.72</v>
      </c>
      <c r="F81"/>
      <c r="G81" s="81"/>
      <c r="H81"/>
    </row>
    <row r="82" spans="1:8" x14ac:dyDescent="0.3">
      <c r="A82" s="71">
        <v>38203</v>
      </c>
      <c r="B82" s="72">
        <v>59.5</v>
      </c>
      <c r="C82" s="73">
        <v>99.74</v>
      </c>
      <c r="F82"/>
      <c r="G82" s="81"/>
      <c r="H82"/>
    </row>
    <row r="83" spans="1:8" x14ac:dyDescent="0.3">
      <c r="A83" s="71">
        <v>38216</v>
      </c>
      <c r="B83" s="72">
        <v>59.58</v>
      </c>
      <c r="C83" s="73">
        <v>99.66</v>
      </c>
      <c r="F83"/>
      <c r="G83" s="81"/>
      <c r="H83"/>
    </row>
    <row r="84" spans="1:8" x14ac:dyDescent="0.3">
      <c r="A84" s="71">
        <v>38226</v>
      </c>
      <c r="B84" s="72">
        <v>59.47</v>
      </c>
      <c r="C84" s="73">
        <v>99.77</v>
      </c>
      <c r="F84"/>
      <c r="G84" s="81"/>
      <c r="H84"/>
    </row>
    <row r="85" spans="1:8" x14ac:dyDescent="0.3">
      <c r="A85" s="71">
        <v>38231</v>
      </c>
      <c r="B85" s="72">
        <v>59.45</v>
      </c>
      <c r="C85" s="73">
        <v>99.79</v>
      </c>
      <c r="F85"/>
      <c r="G85" s="81"/>
      <c r="H85"/>
    </row>
    <row r="86" spans="1:8" x14ac:dyDescent="0.3">
      <c r="A86" s="71">
        <v>38246</v>
      </c>
      <c r="B86" s="72">
        <v>59.59</v>
      </c>
      <c r="C86" s="73">
        <v>99.65</v>
      </c>
      <c r="F86"/>
      <c r="G86" s="81"/>
      <c r="H86"/>
    </row>
    <row r="87" spans="1:8" x14ac:dyDescent="0.3">
      <c r="A87" s="71">
        <v>38251</v>
      </c>
      <c r="B87" s="72">
        <v>59.5</v>
      </c>
      <c r="C87" s="73">
        <v>99.74</v>
      </c>
      <c r="F87"/>
      <c r="G87" s="81"/>
      <c r="H87"/>
    </row>
    <row r="88" spans="1:8" x14ac:dyDescent="0.3">
      <c r="A88" s="71">
        <v>38286</v>
      </c>
      <c r="B88" s="72">
        <v>59.74</v>
      </c>
      <c r="C88" s="73">
        <v>99.5</v>
      </c>
      <c r="F88"/>
      <c r="G88" s="81"/>
      <c r="H88"/>
    </row>
    <row r="89" spans="1:8" x14ac:dyDescent="0.3">
      <c r="A89" s="71">
        <v>38308</v>
      </c>
      <c r="B89" s="72">
        <v>59.82</v>
      </c>
      <c r="C89" s="73">
        <v>99.42</v>
      </c>
      <c r="F89"/>
      <c r="G89" s="81"/>
      <c r="H89"/>
    </row>
    <row r="90" spans="1:8" x14ac:dyDescent="0.3">
      <c r="A90" s="71">
        <v>38313</v>
      </c>
      <c r="B90" s="72">
        <v>59.71</v>
      </c>
      <c r="C90" s="73">
        <v>99.53</v>
      </c>
      <c r="F90"/>
      <c r="G90" s="81"/>
      <c r="H90"/>
    </row>
    <row r="91" spans="1:8" x14ac:dyDescent="0.3">
      <c r="A91" s="71">
        <v>38378</v>
      </c>
      <c r="B91" s="72">
        <v>60</v>
      </c>
      <c r="C91" s="73">
        <v>99.24</v>
      </c>
      <c r="F91"/>
      <c r="G91" s="81"/>
      <c r="H91"/>
    </row>
    <row r="92" spans="1:8" x14ac:dyDescent="0.3">
      <c r="A92" s="71">
        <v>38399</v>
      </c>
      <c r="B92" s="72">
        <v>60.26</v>
      </c>
      <c r="C92" s="73">
        <v>98.98</v>
      </c>
      <c r="F92"/>
      <c r="G92" s="81"/>
      <c r="H92"/>
    </row>
    <row r="93" spans="1:8" x14ac:dyDescent="0.3">
      <c r="A93" s="71">
        <v>38404</v>
      </c>
      <c r="B93" s="72">
        <v>60.17</v>
      </c>
      <c r="C93" s="73">
        <v>99.07</v>
      </c>
      <c r="F93"/>
      <c r="G93" s="81"/>
      <c r="H93"/>
    </row>
    <row r="94" spans="1:8" x14ac:dyDescent="0.3">
      <c r="A94" s="71">
        <v>38427</v>
      </c>
      <c r="B94" s="72">
        <v>60.04</v>
      </c>
      <c r="C94" s="73">
        <v>99.2</v>
      </c>
      <c r="F94"/>
      <c r="G94" s="81"/>
      <c r="H94"/>
    </row>
    <row r="95" spans="1:8" x14ac:dyDescent="0.3">
      <c r="A95" s="71">
        <v>38439</v>
      </c>
      <c r="B95" s="72">
        <v>60.22</v>
      </c>
      <c r="C95" s="73">
        <v>99.02</v>
      </c>
      <c r="F95"/>
      <c r="G95" s="81"/>
      <c r="H95"/>
    </row>
    <row r="96" spans="1:8" x14ac:dyDescent="0.3">
      <c r="A96" s="71">
        <v>38446</v>
      </c>
      <c r="B96" s="72">
        <v>60.27</v>
      </c>
      <c r="C96" s="73">
        <v>98.97</v>
      </c>
      <c r="F96"/>
      <c r="G96" s="81"/>
      <c r="H96"/>
    </row>
    <row r="97" spans="1:8" x14ac:dyDescent="0.3">
      <c r="A97" s="71">
        <v>38453</v>
      </c>
      <c r="B97" s="72">
        <v>60.29</v>
      </c>
      <c r="C97" s="73">
        <v>98.95</v>
      </c>
      <c r="F97"/>
      <c r="G97" s="81"/>
      <c r="H97"/>
    </row>
    <row r="98" spans="1:8" x14ac:dyDescent="0.3">
      <c r="A98" s="71">
        <v>38461</v>
      </c>
      <c r="B98" s="72">
        <v>60.18</v>
      </c>
      <c r="C98" s="73">
        <v>99.06</v>
      </c>
      <c r="F98"/>
      <c r="G98" s="81"/>
      <c r="H98"/>
    </row>
    <row r="99" spans="1:8" x14ac:dyDescent="0.3">
      <c r="A99" s="71">
        <v>38467</v>
      </c>
      <c r="B99" s="72">
        <v>60.44</v>
      </c>
      <c r="C99" s="73">
        <v>98.8</v>
      </c>
      <c r="F99"/>
      <c r="G99" s="81"/>
      <c r="H99"/>
    </row>
    <row r="100" spans="1:8" x14ac:dyDescent="0.3">
      <c r="A100" s="71">
        <v>38474</v>
      </c>
      <c r="B100" s="72">
        <v>60</v>
      </c>
      <c r="C100" s="73">
        <v>99.24</v>
      </c>
      <c r="F100"/>
      <c r="G100" s="81"/>
      <c r="H100"/>
    </row>
    <row r="101" spans="1:8" x14ac:dyDescent="0.3">
      <c r="A101" s="71">
        <v>38485</v>
      </c>
      <c r="B101" s="72">
        <v>60.64</v>
      </c>
      <c r="C101" s="73">
        <v>98.6</v>
      </c>
      <c r="F101"/>
      <c r="G101" s="81"/>
      <c r="H101"/>
    </row>
    <row r="102" spans="1:8" x14ac:dyDescent="0.3">
      <c r="A102" s="71">
        <v>38524</v>
      </c>
      <c r="B102" s="72">
        <v>60.48</v>
      </c>
      <c r="C102" s="73">
        <v>98.76</v>
      </c>
      <c r="F102"/>
      <c r="G102" s="81"/>
      <c r="H102"/>
    </row>
    <row r="103" spans="1:8" x14ac:dyDescent="0.3">
      <c r="A103" s="71">
        <v>38596</v>
      </c>
      <c r="B103" s="72">
        <v>60.7</v>
      </c>
      <c r="C103" s="73">
        <v>98.54</v>
      </c>
      <c r="F103"/>
      <c r="G103" s="81"/>
      <c r="H103"/>
    </row>
    <row r="104" spans="1:8" x14ac:dyDescent="0.3">
      <c r="A104" s="71">
        <v>38629</v>
      </c>
      <c r="B104" s="72">
        <v>60.88</v>
      </c>
      <c r="C104" s="73">
        <v>98.36</v>
      </c>
      <c r="F104"/>
      <c r="G104" s="81"/>
      <c r="H104"/>
    </row>
    <row r="105" spans="1:8" x14ac:dyDescent="0.3">
      <c r="A105" s="71">
        <v>38653</v>
      </c>
      <c r="B105" s="72">
        <v>60.47</v>
      </c>
      <c r="C105" s="73">
        <v>98.77</v>
      </c>
      <c r="F105"/>
      <c r="G105" s="81"/>
      <c r="H105"/>
    </row>
    <row r="106" spans="1:8" x14ac:dyDescent="0.3">
      <c r="A106" s="71">
        <v>38665</v>
      </c>
      <c r="B106" s="72">
        <v>60.01</v>
      </c>
      <c r="C106" s="73">
        <v>99.23</v>
      </c>
      <c r="F106"/>
      <c r="G106" s="81"/>
      <c r="H106"/>
    </row>
    <row r="107" spans="1:8" x14ac:dyDescent="0.3">
      <c r="A107" s="71">
        <v>38687</v>
      </c>
      <c r="B107" s="72">
        <v>61</v>
      </c>
      <c r="C107" s="73">
        <v>98.24</v>
      </c>
      <c r="F107"/>
      <c r="G107" s="81"/>
      <c r="H107"/>
    </row>
    <row r="108" spans="1:8" x14ac:dyDescent="0.3">
      <c r="A108" s="71">
        <v>38754</v>
      </c>
      <c r="B108" s="72">
        <v>61.47</v>
      </c>
      <c r="C108" s="73">
        <v>97.77</v>
      </c>
      <c r="F108"/>
      <c r="G108" s="81"/>
      <c r="H108"/>
    </row>
    <row r="109" spans="1:8" x14ac:dyDescent="0.3">
      <c r="A109" s="71">
        <v>38779</v>
      </c>
      <c r="B109" s="72">
        <v>61.44</v>
      </c>
      <c r="C109" s="73">
        <v>97.8</v>
      </c>
      <c r="F109"/>
      <c r="G109" s="81"/>
      <c r="H109"/>
    </row>
    <row r="110" spans="1:8" x14ac:dyDescent="0.3">
      <c r="A110" s="71">
        <v>38817</v>
      </c>
      <c r="B110" s="72">
        <v>61.41</v>
      </c>
      <c r="C110" s="73">
        <v>97.83</v>
      </c>
      <c r="F110"/>
      <c r="G110" s="81"/>
      <c r="H110"/>
    </row>
    <row r="111" spans="1:8" x14ac:dyDescent="0.3">
      <c r="A111" s="71">
        <v>38825</v>
      </c>
      <c r="B111" s="72">
        <v>61.48</v>
      </c>
      <c r="C111" s="73">
        <v>97.76</v>
      </c>
      <c r="F111"/>
      <c r="G111" s="81"/>
      <c r="H111"/>
    </row>
    <row r="112" spans="1:8" x14ac:dyDescent="0.3">
      <c r="A112" s="71">
        <v>38833</v>
      </c>
      <c r="B112" s="72">
        <v>61.42</v>
      </c>
      <c r="C112" s="73">
        <v>97.82</v>
      </c>
      <c r="F112"/>
      <c r="G112" s="81"/>
      <c r="H112"/>
    </row>
    <row r="113" spans="1:8" x14ac:dyDescent="0.3">
      <c r="A113" s="71">
        <v>38844</v>
      </c>
      <c r="B113" s="72">
        <v>61.51</v>
      </c>
      <c r="C113" s="73">
        <v>97.73</v>
      </c>
      <c r="F113"/>
      <c r="G113" s="81"/>
      <c r="H113"/>
    </row>
    <row r="114" spans="1:8" x14ac:dyDescent="0.3">
      <c r="A114" s="71">
        <v>38849</v>
      </c>
      <c r="B114" s="72">
        <v>61.62</v>
      </c>
      <c r="C114" s="73">
        <v>97.62</v>
      </c>
      <c r="F114"/>
      <c r="G114" s="81"/>
      <c r="H114"/>
    </row>
    <row r="115" spans="1:8" x14ac:dyDescent="0.3">
      <c r="A115" s="71">
        <v>38860</v>
      </c>
      <c r="B115" s="72">
        <v>61.73</v>
      </c>
      <c r="C115" s="73">
        <v>97.51</v>
      </c>
      <c r="F115"/>
      <c r="G115" s="81"/>
      <c r="H115"/>
    </row>
    <row r="116" spans="1:8" x14ac:dyDescent="0.3">
      <c r="A116" s="71">
        <v>38909</v>
      </c>
      <c r="B116" s="72">
        <v>61.6</v>
      </c>
      <c r="C116" s="73">
        <v>97.64</v>
      </c>
      <c r="F116"/>
      <c r="G116" s="81"/>
      <c r="H116"/>
    </row>
    <row r="117" spans="1:8" x14ac:dyDescent="0.3">
      <c r="A117" s="71">
        <v>38929</v>
      </c>
      <c r="B117" s="72">
        <v>61.53</v>
      </c>
      <c r="C117" s="73">
        <v>97.71</v>
      </c>
      <c r="F117"/>
      <c r="G117" s="81"/>
      <c r="H117"/>
    </row>
    <row r="118" spans="1:8" x14ac:dyDescent="0.3">
      <c r="A118" s="71">
        <v>38960</v>
      </c>
      <c r="B118" s="72">
        <v>62.02</v>
      </c>
      <c r="C118" s="73">
        <v>97.22</v>
      </c>
      <c r="F118"/>
      <c r="G118" s="81"/>
      <c r="H118"/>
    </row>
    <row r="119" spans="1:8" x14ac:dyDescent="0.3">
      <c r="A119" s="71">
        <v>38974</v>
      </c>
      <c r="B119" s="72">
        <v>61.87</v>
      </c>
      <c r="C119" s="73">
        <v>97.37</v>
      </c>
      <c r="F119"/>
      <c r="G119" s="81"/>
      <c r="H119"/>
    </row>
    <row r="120" spans="1:8" x14ac:dyDescent="0.3">
      <c r="A120" s="71">
        <v>38999</v>
      </c>
      <c r="B120" s="72">
        <v>62.06</v>
      </c>
      <c r="C120" s="73">
        <v>97.18</v>
      </c>
      <c r="F120"/>
      <c r="G120" s="81"/>
      <c r="H120"/>
    </row>
    <row r="121" spans="1:8" x14ac:dyDescent="0.3">
      <c r="A121" s="71">
        <v>39085</v>
      </c>
      <c r="B121" s="72">
        <v>62.69</v>
      </c>
      <c r="C121" s="73">
        <v>96.55</v>
      </c>
      <c r="F121"/>
      <c r="G121" s="81"/>
      <c r="H121"/>
    </row>
    <row r="122" spans="1:8" x14ac:dyDescent="0.3">
      <c r="A122" s="71">
        <v>39107</v>
      </c>
      <c r="B122" s="72">
        <v>62.6</v>
      </c>
      <c r="C122" s="73">
        <v>96.64</v>
      </c>
      <c r="F122"/>
      <c r="G122" s="81"/>
      <c r="H122"/>
    </row>
    <row r="123" spans="1:8" x14ac:dyDescent="0.3">
      <c r="A123" s="71">
        <v>39140</v>
      </c>
      <c r="B123" s="72">
        <v>62.65</v>
      </c>
      <c r="C123" s="73">
        <v>96.59</v>
      </c>
      <c r="F123"/>
      <c r="G123" s="81"/>
      <c r="H123"/>
    </row>
    <row r="124" spans="1:8" x14ac:dyDescent="0.3">
      <c r="A124" s="71">
        <v>39184</v>
      </c>
      <c r="B124" s="72">
        <v>62.85</v>
      </c>
      <c r="C124" s="73">
        <v>96.39</v>
      </c>
      <c r="F124"/>
      <c r="G124" s="81"/>
      <c r="H124"/>
    </row>
    <row r="125" spans="1:8" x14ac:dyDescent="0.3">
      <c r="A125" s="71">
        <v>39213</v>
      </c>
      <c r="B125" s="72">
        <v>62.72</v>
      </c>
      <c r="C125" s="73">
        <v>96.52</v>
      </c>
      <c r="F125"/>
      <c r="G125" s="81"/>
      <c r="H125"/>
    </row>
    <row r="126" spans="1:8" x14ac:dyDescent="0.3">
      <c r="A126" s="71">
        <v>39231</v>
      </c>
      <c r="B126" s="72">
        <v>63.02</v>
      </c>
      <c r="C126" s="73">
        <v>96.22</v>
      </c>
      <c r="F126"/>
      <c r="G126" s="81"/>
      <c r="H126"/>
    </row>
    <row r="127" spans="1:8" x14ac:dyDescent="0.3">
      <c r="A127" s="71">
        <v>39253</v>
      </c>
      <c r="B127" s="72">
        <v>63.03</v>
      </c>
      <c r="C127" s="73">
        <v>96.21</v>
      </c>
      <c r="F127"/>
      <c r="G127" s="81"/>
      <c r="H127"/>
    </row>
    <row r="128" spans="1:8" x14ac:dyDescent="0.3">
      <c r="A128" s="71">
        <v>39346</v>
      </c>
      <c r="B128" s="72">
        <v>63.48</v>
      </c>
      <c r="C128" s="73">
        <v>95.76</v>
      </c>
      <c r="F128"/>
      <c r="G128" s="81"/>
      <c r="H128"/>
    </row>
    <row r="129" spans="1:8" x14ac:dyDescent="0.3">
      <c r="A129" s="71">
        <v>39374</v>
      </c>
      <c r="B129" s="72">
        <v>63.48</v>
      </c>
      <c r="C129" s="73">
        <v>95.76</v>
      </c>
      <c r="F129"/>
      <c r="G129" s="81"/>
      <c r="H129"/>
    </row>
    <row r="130" spans="1:8" x14ac:dyDescent="0.3">
      <c r="A130" s="71">
        <v>39471</v>
      </c>
      <c r="B130" s="72">
        <v>64.48</v>
      </c>
      <c r="C130" s="73">
        <v>94.76</v>
      </c>
      <c r="F130"/>
      <c r="G130" s="81"/>
      <c r="H130"/>
    </row>
    <row r="131" spans="1:8" x14ac:dyDescent="0.3">
      <c r="A131" s="71">
        <v>39492</v>
      </c>
      <c r="B131" s="72">
        <v>64.02</v>
      </c>
      <c r="C131" s="73">
        <v>95.22</v>
      </c>
      <c r="F131"/>
      <c r="G131" s="81"/>
      <c r="H131"/>
    </row>
    <row r="132" spans="1:8" x14ac:dyDescent="0.3">
      <c r="A132" s="71">
        <v>39507</v>
      </c>
      <c r="B132" s="72">
        <v>64</v>
      </c>
      <c r="C132" s="73">
        <v>95.24</v>
      </c>
      <c r="F132"/>
      <c r="G132" s="81"/>
      <c r="H132"/>
    </row>
    <row r="133" spans="1:8" x14ac:dyDescent="0.3">
      <c r="A133" s="71">
        <v>39538</v>
      </c>
      <c r="B133" s="72">
        <v>64.36</v>
      </c>
      <c r="C133" s="73">
        <v>94.88</v>
      </c>
      <c r="F133"/>
      <c r="G133" s="81"/>
      <c r="H133"/>
    </row>
    <row r="134" spans="1:8" x14ac:dyDescent="0.3">
      <c r="A134" s="71">
        <v>39643</v>
      </c>
      <c r="B134" s="72">
        <v>64.400000000000006</v>
      </c>
      <c r="C134" s="73">
        <v>94.84</v>
      </c>
      <c r="F134"/>
      <c r="G134" s="81"/>
      <c r="H134"/>
    </row>
    <row r="135" spans="1:8" x14ac:dyDescent="0.3">
      <c r="A135" s="71">
        <v>39714</v>
      </c>
      <c r="B135" s="72">
        <v>64.62</v>
      </c>
      <c r="C135" s="73">
        <v>94.62</v>
      </c>
      <c r="F135"/>
      <c r="G135" s="81"/>
      <c r="H135"/>
    </row>
    <row r="136" spans="1:8" x14ac:dyDescent="0.3">
      <c r="A136" s="71">
        <v>39805</v>
      </c>
      <c r="B136" s="72">
        <v>65.16</v>
      </c>
      <c r="C136" s="73">
        <v>94.08</v>
      </c>
      <c r="F136"/>
      <c r="G136" s="81"/>
      <c r="H136"/>
    </row>
    <row r="137" spans="1:8" x14ac:dyDescent="0.3">
      <c r="A137" s="71">
        <v>39847</v>
      </c>
      <c r="B137" s="72">
        <v>65.12</v>
      </c>
      <c r="C137" s="73">
        <v>94.12</v>
      </c>
      <c r="F137"/>
      <c r="G137" s="81"/>
      <c r="H137"/>
    </row>
    <row r="138" spans="1:8" x14ac:dyDescent="0.3">
      <c r="A138" s="71">
        <v>39881</v>
      </c>
      <c r="B138" s="72">
        <v>65.349999999999994</v>
      </c>
      <c r="C138" s="73">
        <v>93.89</v>
      </c>
      <c r="F138"/>
      <c r="G138" s="81"/>
      <c r="H138"/>
    </row>
    <row r="139" spans="1:8" x14ac:dyDescent="0.3">
      <c r="A139" s="71">
        <v>39939</v>
      </c>
      <c r="B139" s="72">
        <v>65.67</v>
      </c>
      <c r="C139" s="73">
        <v>93.57</v>
      </c>
      <c r="F139"/>
      <c r="G139" s="81"/>
      <c r="H139"/>
    </row>
    <row r="140" spans="1:8" x14ac:dyDescent="0.3">
      <c r="A140" s="71">
        <v>40011</v>
      </c>
      <c r="B140" s="72">
        <v>65.760000000000005</v>
      </c>
      <c r="C140" s="73">
        <v>93.48</v>
      </c>
      <c r="F140"/>
      <c r="G140" s="81"/>
      <c r="H140"/>
    </row>
    <row r="141" spans="1:8" x14ac:dyDescent="0.3">
      <c r="A141" s="71">
        <v>40049</v>
      </c>
      <c r="B141" s="72">
        <v>66.06</v>
      </c>
      <c r="C141" s="73">
        <v>93.18</v>
      </c>
      <c r="F141"/>
      <c r="G141" s="81"/>
      <c r="H141"/>
    </row>
    <row r="142" spans="1:8" x14ac:dyDescent="0.3">
      <c r="A142" s="71">
        <v>40099</v>
      </c>
      <c r="B142" s="72">
        <v>66.260000000000005</v>
      </c>
      <c r="C142" s="73">
        <v>92.98</v>
      </c>
      <c r="F142"/>
      <c r="G142" s="81"/>
      <c r="H142"/>
    </row>
    <row r="143" spans="1:8" x14ac:dyDescent="0.3">
      <c r="A143" s="71">
        <v>40190</v>
      </c>
      <c r="B143" s="72">
        <v>66.239999999999995</v>
      </c>
      <c r="C143" s="73">
        <v>93</v>
      </c>
      <c r="F143"/>
      <c r="G143" s="81"/>
      <c r="H143"/>
    </row>
    <row r="144" spans="1:8" x14ac:dyDescent="0.3">
      <c r="A144" s="71">
        <v>40235</v>
      </c>
      <c r="B144" s="72">
        <v>66.900000000000006</v>
      </c>
      <c r="C144" s="73">
        <v>92.34</v>
      </c>
      <c r="F144"/>
      <c r="G144" s="81"/>
      <c r="H144"/>
    </row>
    <row r="145" spans="1:8" x14ac:dyDescent="0.3">
      <c r="A145" s="71">
        <v>40287</v>
      </c>
      <c r="B145" s="72">
        <v>66.98</v>
      </c>
      <c r="C145" s="73">
        <v>92.26</v>
      </c>
      <c r="F145"/>
      <c r="G145" s="81"/>
      <c r="H145"/>
    </row>
    <row r="146" spans="1:8" x14ac:dyDescent="0.3">
      <c r="A146" s="71">
        <v>40305</v>
      </c>
      <c r="B146" s="72">
        <v>66.81</v>
      </c>
      <c r="C146" s="73">
        <v>92.43</v>
      </c>
      <c r="F146"/>
      <c r="G146" s="81"/>
      <c r="H146"/>
    </row>
    <row r="147" spans="1:8" x14ac:dyDescent="0.3">
      <c r="A147" s="71">
        <v>40331</v>
      </c>
      <c r="B147" s="72">
        <v>66.87</v>
      </c>
      <c r="C147" s="73">
        <v>92.37</v>
      </c>
      <c r="F147"/>
      <c r="G147" s="81"/>
      <c r="H147"/>
    </row>
    <row r="148" spans="1:8" x14ac:dyDescent="0.3">
      <c r="A148" s="71">
        <v>40393</v>
      </c>
      <c r="B148" s="72">
        <v>67.12</v>
      </c>
      <c r="C148" s="73">
        <v>92.12</v>
      </c>
      <c r="F148"/>
      <c r="G148" s="81"/>
      <c r="H148"/>
    </row>
    <row r="149" spans="1:8" x14ac:dyDescent="0.3">
      <c r="A149" s="71">
        <v>40575</v>
      </c>
      <c r="B149" s="72">
        <v>67.239999999999995</v>
      </c>
      <c r="C149" s="73">
        <v>92</v>
      </c>
      <c r="F149"/>
      <c r="G149" s="81"/>
      <c r="H149"/>
    </row>
    <row r="150" spans="1:8" x14ac:dyDescent="0.3">
      <c r="A150" s="71">
        <v>40679</v>
      </c>
      <c r="B150" s="72">
        <v>67.739999999999995</v>
      </c>
      <c r="C150" s="73">
        <v>91.5</v>
      </c>
      <c r="F150"/>
      <c r="G150" s="81"/>
      <c r="H150"/>
    </row>
    <row r="151" spans="1:8" x14ac:dyDescent="0.3">
      <c r="A151" s="71">
        <v>40745</v>
      </c>
      <c r="B151" s="72">
        <v>67.94</v>
      </c>
      <c r="C151" s="73">
        <v>91.3</v>
      </c>
      <c r="F151"/>
      <c r="G151" s="81"/>
      <c r="H151"/>
    </row>
    <row r="152" spans="1:8" x14ac:dyDescent="0.3">
      <c r="A152" s="71">
        <v>40777</v>
      </c>
      <c r="B152" s="72">
        <v>67.7</v>
      </c>
      <c r="C152" s="73">
        <v>91.54</v>
      </c>
      <c r="F152"/>
      <c r="G152" s="81"/>
      <c r="H152"/>
    </row>
    <row r="153" spans="1:8" x14ac:dyDescent="0.3">
      <c r="A153" s="71">
        <v>40800</v>
      </c>
      <c r="B153" s="72">
        <v>67.5</v>
      </c>
      <c r="C153" s="73">
        <v>91.74</v>
      </c>
      <c r="F153"/>
      <c r="G153" s="81"/>
      <c r="H153"/>
    </row>
    <row r="154" spans="1:8" x14ac:dyDescent="0.3">
      <c r="A154" s="71">
        <v>40814</v>
      </c>
      <c r="B154" s="72">
        <v>67.48</v>
      </c>
      <c r="C154" s="73">
        <v>91.76</v>
      </c>
      <c r="F154"/>
      <c r="G154" s="81"/>
      <c r="H154"/>
    </row>
    <row r="155" spans="1:8" x14ac:dyDescent="0.3">
      <c r="A155" s="71">
        <v>40834</v>
      </c>
      <c r="B155" s="72">
        <v>67.45</v>
      </c>
      <c r="C155" s="73">
        <v>91.79</v>
      </c>
      <c r="F155"/>
      <c r="G155" s="81"/>
      <c r="H155"/>
    </row>
    <row r="156" spans="1:8" x14ac:dyDescent="0.3">
      <c r="A156" s="71">
        <v>40864</v>
      </c>
      <c r="B156" s="72">
        <v>67.3</v>
      </c>
      <c r="C156" s="73">
        <v>91.94</v>
      </c>
      <c r="F156"/>
      <c r="G156" s="81"/>
      <c r="H156"/>
    </row>
    <row r="157" spans="1:8" x14ac:dyDescent="0.3">
      <c r="A157" s="71">
        <v>40911</v>
      </c>
      <c r="B157" s="72">
        <v>67.400000000000006</v>
      </c>
      <c r="C157" s="73">
        <v>91.84</v>
      </c>
      <c r="F157"/>
      <c r="G157" s="81"/>
      <c r="H157"/>
    </row>
    <row r="158" spans="1:8" x14ac:dyDescent="0.3">
      <c r="A158" s="71">
        <v>40934</v>
      </c>
      <c r="B158" s="72">
        <v>67.349999999999994</v>
      </c>
      <c r="C158" s="73">
        <v>91.89</v>
      </c>
      <c r="F158"/>
      <c r="G158" s="81"/>
      <c r="H158"/>
    </row>
    <row r="159" spans="1:8" x14ac:dyDescent="0.3">
      <c r="A159" s="71">
        <v>40967</v>
      </c>
      <c r="B159" s="72">
        <v>67.739999999999995</v>
      </c>
      <c r="C159" s="73">
        <v>91.5</v>
      </c>
      <c r="F159"/>
      <c r="G159" s="81"/>
      <c r="H159"/>
    </row>
    <row r="160" spans="1:8" x14ac:dyDescent="0.3">
      <c r="A160" s="71">
        <v>41023</v>
      </c>
      <c r="B160" s="72">
        <v>67.55</v>
      </c>
      <c r="C160" s="73">
        <v>91.69</v>
      </c>
      <c r="F160"/>
      <c r="G160" s="81"/>
      <c r="H160"/>
    </row>
    <row r="161" spans="1:8" x14ac:dyDescent="0.3">
      <c r="A161" s="71">
        <v>41059</v>
      </c>
      <c r="B161" s="72">
        <v>68</v>
      </c>
      <c r="C161" s="73">
        <v>91.24</v>
      </c>
      <c r="F161"/>
      <c r="G161" s="81"/>
      <c r="H161"/>
    </row>
    <row r="162" spans="1:8" x14ac:dyDescent="0.3">
      <c r="A162" s="71">
        <v>41072</v>
      </c>
      <c r="B162" s="72">
        <v>68</v>
      </c>
      <c r="C162" s="73">
        <v>91.24</v>
      </c>
      <c r="F162"/>
      <c r="G162" s="81"/>
      <c r="H162"/>
    </row>
    <row r="163" spans="1:8" x14ac:dyDescent="0.3">
      <c r="A163" s="71">
        <v>41098</v>
      </c>
      <c r="B163" s="72">
        <v>68.25</v>
      </c>
      <c r="C163" s="73">
        <v>90.99</v>
      </c>
      <c r="F163"/>
      <c r="G163" s="81"/>
      <c r="H163"/>
    </row>
    <row r="164" spans="1:8" x14ac:dyDescent="0.3">
      <c r="A164" s="71">
        <v>41235</v>
      </c>
      <c r="B164" s="72">
        <v>68.790000000000006</v>
      </c>
      <c r="C164" s="73">
        <v>90.45</v>
      </c>
      <c r="F164"/>
      <c r="G164" s="81"/>
      <c r="H164"/>
    </row>
    <row r="165" spans="1:8" x14ac:dyDescent="0.3">
      <c r="A165" s="71">
        <v>41278</v>
      </c>
      <c r="B165" s="72">
        <v>69.099999999999994</v>
      </c>
      <c r="C165" s="73">
        <v>90.14</v>
      </c>
      <c r="F165"/>
      <c r="G165" s="81"/>
      <c r="H165"/>
    </row>
    <row r="166" spans="1:8" x14ac:dyDescent="0.3">
      <c r="A166" s="71">
        <v>41368</v>
      </c>
      <c r="B166" s="72">
        <v>69.45</v>
      </c>
      <c r="C166" s="73">
        <v>89.79</v>
      </c>
      <c r="F166"/>
      <c r="G166" s="81"/>
      <c r="H166"/>
    </row>
    <row r="167" spans="1:8" x14ac:dyDescent="0.3">
      <c r="A167" s="71">
        <v>41401</v>
      </c>
      <c r="B167" s="72">
        <v>69.22</v>
      </c>
      <c r="C167" s="73">
        <v>90.02</v>
      </c>
      <c r="F167"/>
      <c r="G167" s="81"/>
      <c r="H167"/>
    </row>
    <row r="168" spans="1:8" x14ac:dyDescent="0.3">
      <c r="A168" s="71">
        <v>41437</v>
      </c>
      <c r="B168" s="72">
        <v>69.790000000000006</v>
      </c>
      <c r="C168" s="73">
        <v>89.45</v>
      </c>
      <c r="F168"/>
      <c r="G168" s="81"/>
      <c r="H168"/>
    </row>
    <row r="169" spans="1:8" x14ac:dyDescent="0.3">
      <c r="A169" s="71">
        <v>41471</v>
      </c>
      <c r="B169" s="72">
        <v>69.91</v>
      </c>
      <c r="C169" s="73">
        <v>89.33</v>
      </c>
      <c r="F169"/>
      <c r="G169" s="81"/>
      <c r="H169"/>
    </row>
    <row r="170" spans="1:8" x14ac:dyDescent="0.3">
      <c r="A170" s="71">
        <v>41506</v>
      </c>
      <c r="B170" s="72">
        <v>69.900000000000006</v>
      </c>
      <c r="C170" s="73">
        <v>89.34</v>
      </c>
      <c r="F170"/>
      <c r="G170" s="81"/>
      <c r="H170"/>
    </row>
    <row r="171" spans="1:8" x14ac:dyDescent="0.3">
      <c r="A171" s="71">
        <v>41555</v>
      </c>
      <c r="B171" s="72">
        <v>70.2</v>
      </c>
      <c r="C171" s="73">
        <v>89.04</v>
      </c>
      <c r="F171"/>
      <c r="G171" s="81"/>
      <c r="H171"/>
    </row>
    <row r="172" spans="1:8" x14ac:dyDescent="0.3">
      <c r="A172" s="71">
        <v>41556</v>
      </c>
      <c r="B172" s="72">
        <v>70.17</v>
      </c>
      <c r="C172" s="73">
        <v>89.07</v>
      </c>
      <c r="F172"/>
      <c r="G172" s="81"/>
      <c r="H172"/>
    </row>
    <row r="173" spans="1:8" x14ac:dyDescent="0.3">
      <c r="A173" s="71">
        <v>41617</v>
      </c>
      <c r="B173" s="72">
        <v>70.569999999999993</v>
      </c>
      <c r="C173" s="73">
        <v>88.67</v>
      </c>
      <c r="F173"/>
      <c r="G173" s="81"/>
      <c r="H173"/>
    </row>
    <row r="174" spans="1:8" x14ac:dyDescent="0.3">
      <c r="A174" s="71">
        <v>41659</v>
      </c>
      <c r="B174" s="72">
        <v>70.790000000000006</v>
      </c>
      <c r="C174" s="73">
        <v>88.45</v>
      </c>
      <c r="F174"/>
      <c r="G174" s="81"/>
      <c r="H174"/>
    </row>
    <row r="175" spans="1:8" x14ac:dyDescent="0.3">
      <c r="A175" s="71">
        <v>41683</v>
      </c>
      <c r="B175" s="72">
        <v>71.010000000000005</v>
      </c>
      <c r="C175" s="73">
        <v>88.23</v>
      </c>
      <c r="F175"/>
      <c r="G175" s="81"/>
      <c r="H175"/>
    </row>
    <row r="176" spans="1:8" x14ac:dyDescent="0.3">
      <c r="A176" s="71">
        <v>41731</v>
      </c>
      <c r="B176" s="72">
        <v>71.19</v>
      </c>
      <c r="C176" s="73">
        <v>88.05</v>
      </c>
      <c r="F176"/>
      <c r="G176" s="81"/>
      <c r="H176"/>
    </row>
    <row r="177" spans="1:8" x14ac:dyDescent="0.3">
      <c r="A177" s="71">
        <v>41647</v>
      </c>
      <c r="B177" s="72">
        <v>70.790000000000006</v>
      </c>
      <c r="C177" s="73">
        <v>88.45</v>
      </c>
      <c r="F177"/>
      <c r="G177" s="81"/>
      <c r="H177"/>
    </row>
    <row r="178" spans="1:8" x14ac:dyDescent="0.3">
      <c r="A178" s="71">
        <v>41683</v>
      </c>
      <c r="B178" s="72">
        <v>71.010000000000005</v>
      </c>
      <c r="C178" s="73">
        <v>88.23</v>
      </c>
      <c r="F178"/>
      <c r="G178" s="81"/>
      <c r="H178"/>
    </row>
    <row r="179" spans="1:8" x14ac:dyDescent="0.3">
      <c r="A179" s="71">
        <v>41731</v>
      </c>
      <c r="B179" s="72">
        <v>71.19</v>
      </c>
      <c r="C179" s="73">
        <v>88.05</v>
      </c>
      <c r="F179"/>
      <c r="G179" s="81"/>
      <c r="H179"/>
    </row>
    <row r="180" spans="1:8" x14ac:dyDescent="0.3">
      <c r="A180" s="71">
        <v>41764</v>
      </c>
      <c r="B180" s="72">
        <v>71.39</v>
      </c>
      <c r="C180" s="73">
        <v>87.85</v>
      </c>
      <c r="F180"/>
      <c r="G180" s="81"/>
      <c r="H180"/>
    </row>
    <row r="181" spans="1:8" x14ac:dyDescent="0.3">
      <c r="A181" s="74">
        <v>41793</v>
      </c>
      <c r="B181" s="72">
        <v>71.52</v>
      </c>
      <c r="C181" s="73">
        <v>87.72</v>
      </c>
      <c r="F181"/>
      <c r="G181" s="81"/>
      <c r="H181"/>
    </row>
    <row r="182" spans="1:8" x14ac:dyDescent="0.3">
      <c r="A182" s="74">
        <v>41830</v>
      </c>
      <c r="B182" s="72">
        <v>71.75</v>
      </c>
      <c r="C182" s="73">
        <v>87.49</v>
      </c>
      <c r="F182"/>
      <c r="G182" s="81"/>
      <c r="H182"/>
    </row>
    <row r="183" spans="1:8" x14ac:dyDescent="0.3">
      <c r="A183" s="71">
        <v>41936</v>
      </c>
      <c r="B183" s="72">
        <v>72.27</v>
      </c>
      <c r="C183" s="73">
        <v>86.97</v>
      </c>
      <c r="F183"/>
      <c r="G183" s="81"/>
      <c r="H183"/>
    </row>
    <row r="184" spans="1:8" x14ac:dyDescent="0.3">
      <c r="A184" s="71">
        <v>41976</v>
      </c>
      <c r="B184" s="72">
        <v>72.58</v>
      </c>
      <c r="C184" s="73">
        <v>86.66</v>
      </c>
      <c r="F184"/>
      <c r="G184" s="81"/>
      <c r="H184"/>
    </row>
    <row r="185" spans="1:8" x14ac:dyDescent="0.3">
      <c r="A185" s="71">
        <v>42009</v>
      </c>
      <c r="B185" s="72">
        <v>72.55</v>
      </c>
      <c r="C185" s="73">
        <v>86.69</v>
      </c>
      <c r="F185"/>
      <c r="G185" s="81"/>
      <c r="H185"/>
    </row>
    <row r="186" spans="1:8" x14ac:dyDescent="0.3">
      <c r="A186" s="74">
        <v>42157</v>
      </c>
      <c r="B186" s="72">
        <v>73.5</v>
      </c>
      <c r="C186" s="73">
        <v>85.74</v>
      </c>
      <c r="F186"/>
      <c r="G186" s="81"/>
      <c r="H186"/>
    </row>
    <row r="187" spans="1:8" x14ac:dyDescent="0.3">
      <c r="A187" s="71">
        <v>42220</v>
      </c>
      <c r="B187" s="72">
        <v>73.819999999999993</v>
      </c>
      <c r="C187" s="73">
        <v>85.42</v>
      </c>
      <c r="F187"/>
      <c r="G187" s="81"/>
      <c r="H187"/>
    </row>
    <row r="188" spans="1:8" x14ac:dyDescent="0.3">
      <c r="A188" s="74">
        <v>42353</v>
      </c>
      <c r="B188" s="72">
        <v>74.400000000000006</v>
      </c>
      <c r="C188" s="73">
        <v>84.84</v>
      </c>
      <c r="F188"/>
      <c r="G188" s="81"/>
      <c r="H188"/>
    </row>
    <row r="189" spans="1:8" x14ac:dyDescent="0.3">
      <c r="A189" s="74">
        <v>42429</v>
      </c>
      <c r="B189" s="72">
        <v>75.14</v>
      </c>
      <c r="C189" s="73">
        <v>84.1</v>
      </c>
      <c r="F189"/>
      <c r="G189" s="81"/>
      <c r="H189"/>
    </row>
    <row r="190" spans="1:8" x14ac:dyDescent="0.3">
      <c r="A190" s="74">
        <v>42591</v>
      </c>
      <c r="B190" s="72">
        <v>75.44</v>
      </c>
      <c r="C190" s="73">
        <v>83.8</v>
      </c>
      <c r="F190"/>
      <c r="G190" s="81"/>
      <c r="H190"/>
    </row>
    <row r="191" spans="1:8" x14ac:dyDescent="0.3">
      <c r="A191" s="74">
        <v>42781</v>
      </c>
      <c r="B191" s="72">
        <v>76.34</v>
      </c>
      <c r="C191" s="73">
        <v>82.9</v>
      </c>
      <c r="F191"/>
      <c r="G191" s="81"/>
      <c r="H191"/>
    </row>
    <row r="192" spans="1:8" x14ac:dyDescent="0.3">
      <c r="A192" s="71">
        <v>42865</v>
      </c>
      <c r="B192" s="72">
        <v>75.77</v>
      </c>
      <c r="C192" s="73">
        <v>83.47</v>
      </c>
      <c r="F192"/>
      <c r="G192" s="81"/>
      <c r="H192"/>
    </row>
    <row r="193" spans="1:8" x14ac:dyDescent="0.3">
      <c r="A193" s="75">
        <v>43559</v>
      </c>
      <c r="B193" s="76">
        <v>79.36</v>
      </c>
      <c r="C193" s="72">
        <v>79.88</v>
      </c>
      <c r="F193"/>
      <c r="G193" s="81"/>
      <c r="H193"/>
    </row>
    <row r="194" spans="1:8" x14ac:dyDescent="0.3">
      <c r="F194"/>
      <c r="G194" s="81"/>
      <c r="H194"/>
    </row>
    <row r="195" spans="1:8" x14ac:dyDescent="0.3">
      <c r="F195"/>
      <c r="G195" s="81"/>
      <c r="H195"/>
    </row>
    <row r="196" spans="1:8" x14ac:dyDescent="0.3">
      <c r="F196"/>
      <c r="G196" s="81"/>
      <c r="H196"/>
    </row>
    <row r="197" spans="1:8" x14ac:dyDescent="0.3">
      <c r="F197"/>
      <c r="G197" s="81"/>
      <c r="H197"/>
    </row>
    <row r="198" spans="1:8" x14ac:dyDescent="0.3">
      <c r="F198"/>
      <c r="G198" s="81"/>
      <c r="H198"/>
    </row>
    <row r="199" spans="1:8" x14ac:dyDescent="0.3">
      <c r="F199"/>
      <c r="G199" s="81"/>
      <c r="H199"/>
    </row>
    <row r="200" spans="1:8" x14ac:dyDescent="0.3">
      <c r="F200"/>
      <c r="G200" s="81"/>
      <c r="H200"/>
    </row>
    <row r="201" spans="1:8" x14ac:dyDescent="0.3">
      <c r="F201"/>
      <c r="G201" s="81"/>
      <c r="H201"/>
    </row>
    <row r="202" spans="1:8" x14ac:dyDescent="0.3">
      <c r="F202"/>
      <c r="G202" s="81"/>
      <c r="H202"/>
    </row>
    <row r="203" spans="1:8" x14ac:dyDescent="0.3">
      <c r="F203"/>
      <c r="G203" s="81"/>
      <c r="H203"/>
    </row>
    <row r="204" spans="1:8" x14ac:dyDescent="0.3">
      <c r="F204"/>
      <c r="G204" s="81"/>
      <c r="H204"/>
    </row>
    <row r="205" spans="1:8" x14ac:dyDescent="0.3">
      <c r="F205"/>
      <c r="G205" s="81"/>
      <c r="H205"/>
    </row>
    <row r="206" spans="1:8" x14ac:dyDescent="0.3">
      <c r="F206"/>
      <c r="G206" s="81"/>
      <c r="H206"/>
    </row>
    <row r="207" spans="1:8" x14ac:dyDescent="0.3">
      <c r="F207"/>
      <c r="G207" s="81"/>
      <c r="H207"/>
    </row>
    <row r="208" spans="1:8" x14ac:dyDescent="0.3">
      <c r="F208"/>
      <c r="G208" s="81"/>
      <c r="H208"/>
    </row>
    <row r="209" spans="6:8" x14ac:dyDescent="0.3">
      <c r="F209"/>
      <c r="G209" s="81"/>
      <c r="H209"/>
    </row>
    <row r="210" spans="6:8" x14ac:dyDescent="0.3">
      <c r="F210"/>
      <c r="G210" s="81"/>
      <c r="H210"/>
    </row>
    <row r="211" spans="6:8" x14ac:dyDescent="0.3">
      <c r="F211"/>
      <c r="G211" s="81"/>
      <c r="H211"/>
    </row>
    <row r="212" spans="6:8" x14ac:dyDescent="0.3">
      <c r="F212"/>
      <c r="G212" s="81"/>
      <c r="H212"/>
    </row>
    <row r="213" spans="6:8" x14ac:dyDescent="0.3">
      <c r="F213"/>
      <c r="G213" s="81"/>
      <c r="H213"/>
    </row>
    <row r="214" spans="6:8" x14ac:dyDescent="0.3">
      <c r="F214"/>
      <c r="G214" s="81"/>
      <c r="H214"/>
    </row>
    <row r="215" spans="6:8" x14ac:dyDescent="0.3">
      <c r="F215"/>
      <c r="G215" s="81"/>
      <c r="H215"/>
    </row>
    <row r="216" spans="6:8" x14ac:dyDescent="0.3">
      <c r="F216"/>
      <c r="G216" s="81"/>
      <c r="H216"/>
    </row>
    <row r="217" spans="6:8" x14ac:dyDescent="0.3">
      <c r="F217"/>
      <c r="G217" s="81"/>
      <c r="H217"/>
    </row>
    <row r="218" spans="6:8" x14ac:dyDescent="0.3">
      <c r="F218"/>
      <c r="G218" s="81"/>
      <c r="H218"/>
    </row>
    <row r="219" spans="6:8" x14ac:dyDescent="0.3">
      <c r="F219"/>
      <c r="G219" s="81"/>
      <c r="H219"/>
    </row>
    <row r="220" spans="6:8" x14ac:dyDescent="0.3">
      <c r="F220"/>
      <c r="G220" s="81"/>
      <c r="H220"/>
    </row>
    <row r="221" spans="6:8" x14ac:dyDescent="0.3">
      <c r="F221"/>
      <c r="G221" s="81"/>
      <c r="H221"/>
    </row>
    <row r="222" spans="6:8" x14ac:dyDescent="0.3">
      <c r="F222"/>
      <c r="G222" s="81"/>
      <c r="H222"/>
    </row>
    <row r="223" spans="6:8" x14ac:dyDescent="0.3">
      <c r="F223"/>
      <c r="G223" s="81"/>
      <c r="H223"/>
    </row>
    <row r="224" spans="6:8" x14ac:dyDescent="0.3">
      <c r="F224"/>
      <c r="G224" s="81"/>
      <c r="H224"/>
    </row>
    <row r="225" spans="6:8" x14ac:dyDescent="0.3">
      <c r="F225"/>
      <c r="G225" s="81"/>
      <c r="H225"/>
    </row>
    <row r="226" spans="6:8" x14ac:dyDescent="0.3">
      <c r="F226"/>
      <c r="G226" s="81"/>
      <c r="H226"/>
    </row>
    <row r="227" spans="6:8" x14ac:dyDescent="0.3">
      <c r="F227"/>
      <c r="G227" s="81"/>
      <c r="H227"/>
    </row>
    <row r="228" spans="6:8" x14ac:dyDescent="0.3">
      <c r="F228"/>
      <c r="G228" s="81"/>
      <c r="H228"/>
    </row>
    <row r="229" spans="6:8" x14ac:dyDescent="0.3">
      <c r="F229"/>
      <c r="G229" s="81"/>
      <c r="H229"/>
    </row>
    <row r="230" spans="6:8" x14ac:dyDescent="0.3">
      <c r="F230"/>
      <c r="G230" s="81"/>
      <c r="H230"/>
    </row>
    <row r="231" spans="6:8" x14ac:dyDescent="0.3">
      <c r="F231"/>
      <c r="G231" s="81"/>
      <c r="H231"/>
    </row>
    <row r="232" spans="6:8" x14ac:dyDescent="0.3">
      <c r="F232"/>
      <c r="G232" s="81"/>
      <c r="H232"/>
    </row>
    <row r="233" spans="6:8" x14ac:dyDescent="0.3">
      <c r="F233"/>
      <c r="G233" s="81"/>
      <c r="H233"/>
    </row>
    <row r="234" spans="6:8" x14ac:dyDescent="0.3">
      <c r="F234"/>
      <c r="G234" s="81"/>
      <c r="H234"/>
    </row>
    <row r="235" spans="6:8" x14ac:dyDescent="0.3">
      <c r="F235"/>
      <c r="G235" s="81"/>
      <c r="H235"/>
    </row>
    <row r="236" spans="6:8" x14ac:dyDescent="0.3">
      <c r="F236"/>
      <c r="G236" s="81"/>
      <c r="H236"/>
    </row>
    <row r="237" spans="6:8" x14ac:dyDescent="0.3">
      <c r="F237"/>
      <c r="G237" s="81"/>
      <c r="H237"/>
    </row>
    <row r="238" spans="6:8" x14ac:dyDescent="0.3">
      <c r="F238"/>
      <c r="G238" s="81"/>
      <c r="H238"/>
    </row>
    <row r="239" spans="6:8" x14ac:dyDescent="0.3">
      <c r="F239"/>
      <c r="G239" s="81"/>
      <c r="H239"/>
    </row>
    <row r="240" spans="6:8" x14ac:dyDescent="0.3">
      <c r="F240"/>
      <c r="G240" s="81"/>
      <c r="H240"/>
    </row>
    <row r="241" spans="6:8" x14ac:dyDescent="0.3">
      <c r="F241"/>
      <c r="G241" s="81"/>
      <c r="H241"/>
    </row>
    <row r="242" spans="6:8" x14ac:dyDescent="0.3">
      <c r="F242"/>
      <c r="G242" s="81"/>
      <c r="H242"/>
    </row>
    <row r="243" spans="6:8" x14ac:dyDescent="0.3">
      <c r="F243"/>
      <c r="G243" s="81"/>
      <c r="H243"/>
    </row>
    <row r="244" spans="6:8" x14ac:dyDescent="0.3">
      <c r="F244"/>
      <c r="G244" s="81"/>
      <c r="H244"/>
    </row>
    <row r="245" spans="6:8" x14ac:dyDescent="0.3">
      <c r="F245"/>
      <c r="G245" s="81"/>
      <c r="H245"/>
    </row>
    <row r="246" spans="6:8" x14ac:dyDescent="0.3">
      <c r="F246"/>
      <c r="G246" s="81"/>
      <c r="H246"/>
    </row>
    <row r="247" spans="6:8" x14ac:dyDescent="0.3">
      <c r="F247"/>
      <c r="G247" s="81"/>
      <c r="H247"/>
    </row>
    <row r="248" spans="6:8" x14ac:dyDescent="0.3">
      <c r="F248"/>
      <c r="G248" s="81"/>
      <c r="H248"/>
    </row>
    <row r="249" spans="6:8" x14ac:dyDescent="0.3">
      <c r="F249"/>
      <c r="G249" s="81"/>
      <c r="H249"/>
    </row>
    <row r="250" spans="6:8" x14ac:dyDescent="0.3">
      <c r="F250"/>
      <c r="G250" s="81"/>
      <c r="H250"/>
    </row>
    <row r="251" spans="6:8" x14ac:dyDescent="0.3">
      <c r="F251"/>
      <c r="G251" s="81"/>
      <c r="H251"/>
    </row>
    <row r="252" spans="6:8" x14ac:dyDescent="0.3">
      <c r="F252"/>
      <c r="G252" s="81"/>
      <c r="H252"/>
    </row>
    <row r="253" spans="6:8" x14ac:dyDescent="0.3">
      <c r="F253"/>
      <c r="G253" s="81"/>
      <c r="H253"/>
    </row>
    <row r="254" spans="6:8" x14ac:dyDescent="0.3">
      <c r="F254"/>
      <c r="G254" s="81"/>
      <c r="H254"/>
    </row>
    <row r="255" spans="6:8" x14ac:dyDescent="0.3">
      <c r="F255"/>
      <c r="G255" s="81"/>
      <c r="H255"/>
    </row>
    <row r="256" spans="6:8" x14ac:dyDescent="0.3">
      <c r="F256"/>
      <c r="G256" s="81"/>
      <c r="H256"/>
    </row>
    <row r="257" spans="6:8" x14ac:dyDescent="0.3">
      <c r="F257"/>
      <c r="G257" s="81"/>
      <c r="H257"/>
    </row>
    <row r="258" spans="6:8" x14ac:dyDescent="0.3">
      <c r="F258"/>
      <c r="G258" s="81"/>
      <c r="H258"/>
    </row>
    <row r="259" spans="6:8" x14ac:dyDescent="0.3">
      <c r="F259"/>
      <c r="G259" s="81"/>
      <c r="H259"/>
    </row>
    <row r="260" spans="6:8" x14ac:dyDescent="0.3">
      <c r="F260"/>
      <c r="G260" s="81"/>
      <c r="H260"/>
    </row>
    <row r="261" spans="6:8" x14ac:dyDescent="0.3">
      <c r="F261"/>
      <c r="G261" s="81"/>
      <c r="H261"/>
    </row>
    <row r="262" spans="6:8" x14ac:dyDescent="0.3">
      <c r="F262"/>
      <c r="G262" s="81"/>
      <c r="H262"/>
    </row>
    <row r="263" spans="6:8" x14ac:dyDescent="0.3">
      <c r="F263"/>
      <c r="G263" s="81"/>
      <c r="H263"/>
    </row>
    <row r="264" spans="6:8" x14ac:dyDescent="0.3">
      <c r="F264"/>
      <c r="G264" s="81"/>
      <c r="H264"/>
    </row>
    <row r="265" spans="6:8" x14ac:dyDescent="0.3">
      <c r="F265"/>
      <c r="G265" s="81"/>
      <c r="H265"/>
    </row>
    <row r="266" spans="6:8" x14ac:dyDescent="0.3">
      <c r="F266"/>
      <c r="G266" s="81"/>
      <c r="H266"/>
    </row>
    <row r="267" spans="6:8" x14ac:dyDescent="0.3">
      <c r="F267"/>
      <c r="G267" s="81"/>
      <c r="H267"/>
    </row>
    <row r="268" spans="6:8" x14ac:dyDescent="0.3">
      <c r="F268"/>
      <c r="G268" s="81"/>
      <c r="H268"/>
    </row>
    <row r="269" spans="6:8" x14ac:dyDescent="0.3">
      <c r="F269"/>
      <c r="G269" s="81"/>
      <c r="H269"/>
    </row>
    <row r="270" spans="6:8" x14ac:dyDescent="0.3">
      <c r="F270"/>
      <c r="G270" s="81"/>
      <c r="H270"/>
    </row>
    <row r="271" spans="6:8" x14ac:dyDescent="0.3">
      <c r="F271"/>
      <c r="G271" s="81"/>
      <c r="H271"/>
    </row>
    <row r="272" spans="6:8" x14ac:dyDescent="0.3">
      <c r="F272"/>
      <c r="G272" s="81"/>
      <c r="H272"/>
    </row>
    <row r="273" spans="6:8" x14ac:dyDescent="0.3">
      <c r="F273"/>
      <c r="G273" s="81"/>
      <c r="H273"/>
    </row>
    <row r="274" spans="6:8" x14ac:dyDescent="0.3">
      <c r="F274"/>
      <c r="G274" s="81"/>
      <c r="H274"/>
    </row>
    <row r="275" spans="6:8" x14ac:dyDescent="0.3">
      <c r="F275"/>
      <c r="G275" s="81"/>
      <c r="H275"/>
    </row>
    <row r="276" spans="6:8" x14ac:dyDescent="0.3">
      <c r="F276"/>
      <c r="G276" s="81"/>
      <c r="H276"/>
    </row>
    <row r="277" spans="6:8" x14ac:dyDescent="0.3">
      <c r="F277"/>
      <c r="G277" s="81"/>
      <c r="H277"/>
    </row>
    <row r="278" spans="6:8" x14ac:dyDescent="0.3">
      <c r="F278"/>
      <c r="G278" s="81"/>
      <c r="H278"/>
    </row>
    <row r="279" spans="6:8" x14ac:dyDescent="0.3">
      <c r="F279"/>
      <c r="G279" s="81"/>
      <c r="H279"/>
    </row>
    <row r="280" spans="6:8" x14ac:dyDescent="0.3">
      <c r="F280"/>
      <c r="G280" s="81"/>
      <c r="H280"/>
    </row>
    <row r="281" spans="6:8" x14ac:dyDescent="0.3">
      <c r="F281"/>
      <c r="G281" s="81"/>
      <c r="H281"/>
    </row>
    <row r="282" spans="6:8" x14ac:dyDescent="0.3">
      <c r="F282"/>
      <c r="G282" s="81"/>
      <c r="H282"/>
    </row>
    <row r="283" spans="6:8" x14ac:dyDescent="0.3">
      <c r="F283"/>
      <c r="G283" s="81"/>
      <c r="H283"/>
    </row>
    <row r="284" spans="6:8" x14ac:dyDescent="0.3">
      <c r="F284"/>
      <c r="G284" s="81"/>
      <c r="H284"/>
    </row>
    <row r="285" spans="6:8" x14ac:dyDescent="0.3">
      <c r="F285"/>
      <c r="G285" s="81"/>
      <c r="H285"/>
    </row>
    <row r="286" spans="6:8" x14ac:dyDescent="0.3">
      <c r="F286"/>
      <c r="G286" s="81"/>
      <c r="H286"/>
    </row>
    <row r="287" spans="6:8" x14ac:dyDescent="0.3">
      <c r="F287"/>
      <c r="G287" s="81"/>
      <c r="H287"/>
    </row>
    <row r="288" spans="6:8" x14ac:dyDescent="0.3">
      <c r="F288"/>
      <c r="G288" s="81"/>
      <c r="H288"/>
    </row>
    <row r="289" spans="6:8" x14ac:dyDescent="0.3">
      <c r="F289"/>
      <c r="G289" s="81"/>
      <c r="H289"/>
    </row>
    <row r="290" spans="6:8" x14ac:dyDescent="0.3">
      <c r="F290"/>
      <c r="G290" s="81"/>
      <c r="H290"/>
    </row>
    <row r="291" spans="6:8" x14ac:dyDescent="0.3">
      <c r="F291"/>
      <c r="G291" s="81"/>
      <c r="H291"/>
    </row>
    <row r="292" spans="6:8" x14ac:dyDescent="0.3">
      <c r="F292"/>
      <c r="G292" s="81"/>
      <c r="H292"/>
    </row>
    <row r="293" spans="6:8" x14ac:dyDescent="0.3">
      <c r="F293"/>
      <c r="G293" s="81"/>
      <c r="H293"/>
    </row>
    <row r="294" spans="6:8" x14ac:dyDescent="0.3">
      <c r="F294"/>
      <c r="G294" s="81"/>
      <c r="H294"/>
    </row>
    <row r="295" spans="6:8" x14ac:dyDescent="0.3">
      <c r="F295"/>
      <c r="G295" s="81"/>
      <c r="H295"/>
    </row>
    <row r="296" spans="6:8" x14ac:dyDescent="0.3">
      <c r="F296"/>
      <c r="G296" s="81"/>
      <c r="H296"/>
    </row>
    <row r="297" spans="6:8" x14ac:dyDescent="0.3">
      <c r="F297"/>
      <c r="G297" s="81"/>
      <c r="H297"/>
    </row>
    <row r="298" spans="6:8" x14ac:dyDescent="0.3">
      <c r="F298"/>
      <c r="G298" s="81"/>
      <c r="H298"/>
    </row>
    <row r="299" spans="6:8" x14ac:dyDescent="0.3">
      <c r="F299"/>
      <c r="G299" s="81"/>
      <c r="H299"/>
    </row>
    <row r="300" spans="6:8" x14ac:dyDescent="0.3">
      <c r="F300"/>
      <c r="G300" s="81"/>
      <c r="H300"/>
    </row>
    <row r="301" spans="6:8" x14ac:dyDescent="0.3">
      <c r="F301"/>
      <c r="G301" s="81"/>
      <c r="H301"/>
    </row>
    <row r="302" spans="6:8" x14ac:dyDescent="0.3">
      <c r="F302"/>
      <c r="G302" s="81"/>
      <c r="H302"/>
    </row>
    <row r="303" spans="6:8" x14ac:dyDescent="0.3">
      <c r="F303"/>
      <c r="G303" s="81"/>
      <c r="H303"/>
    </row>
    <row r="304" spans="6:8" x14ac:dyDescent="0.3">
      <c r="F304"/>
      <c r="G304" s="81"/>
      <c r="H304"/>
    </row>
    <row r="305" spans="6:8" x14ac:dyDescent="0.3">
      <c r="F305"/>
      <c r="G305" s="81"/>
      <c r="H305"/>
    </row>
    <row r="306" spans="6:8" x14ac:dyDescent="0.3">
      <c r="F306"/>
      <c r="G306" s="81"/>
      <c r="H306"/>
    </row>
    <row r="307" spans="6:8" x14ac:dyDescent="0.3">
      <c r="F307"/>
      <c r="G307" s="81"/>
      <c r="H307"/>
    </row>
    <row r="308" spans="6:8" x14ac:dyDescent="0.3">
      <c r="F308"/>
      <c r="G308" s="81"/>
      <c r="H308"/>
    </row>
    <row r="309" spans="6:8" x14ac:dyDescent="0.3">
      <c r="F309"/>
      <c r="G309" s="81"/>
      <c r="H309"/>
    </row>
    <row r="310" spans="6:8" x14ac:dyDescent="0.3">
      <c r="F310"/>
      <c r="G310" s="81"/>
      <c r="H310"/>
    </row>
    <row r="311" spans="6:8" x14ac:dyDescent="0.3">
      <c r="F311"/>
      <c r="G311" s="81"/>
      <c r="H311"/>
    </row>
    <row r="312" spans="6:8" x14ac:dyDescent="0.3">
      <c r="F312"/>
      <c r="G312" s="81"/>
      <c r="H312"/>
    </row>
    <row r="313" spans="6:8" x14ac:dyDescent="0.3">
      <c r="F313"/>
      <c r="G313" s="81"/>
      <c r="H313"/>
    </row>
    <row r="314" spans="6:8" x14ac:dyDescent="0.3">
      <c r="F314"/>
      <c r="G314" s="81"/>
      <c r="H314"/>
    </row>
    <row r="315" spans="6:8" x14ac:dyDescent="0.3">
      <c r="F315"/>
      <c r="G315" s="81"/>
      <c r="H315"/>
    </row>
    <row r="316" spans="6:8" x14ac:dyDescent="0.3">
      <c r="F316"/>
      <c r="G316" s="81"/>
      <c r="H316"/>
    </row>
    <row r="317" spans="6:8" x14ac:dyDescent="0.3">
      <c r="F317"/>
      <c r="G317" s="81"/>
      <c r="H317"/>
    </row>
    <row r="318" spans="6:8" x14ac:dyDescent="0.3">
      <c r="F318"/>
      <c r="G318" s="81"/>
      <c r="H318"/>
    </row>
    <row r="319" spans="6:8" x14ac:dyDescent="0.3">
      <c r="F319"/>
      <c r="G319" s="81"/>
      <c r="H319"/>
    </row>
    <row r="320" spans="6:8" x14ac:dyDescent="0.3">
      <c r="F320"/>
      <c r="G320" s="81"/>
      <c r="H320"/>
    </row>
    <row r="321" spans="6:8" x14ac:dyDescent="0.3">
      <c r="F321"/>
      <c r="G321" s="81"/>
      <c r="H321"/>
    </row>
    <row r="322" spans="6:8" x14ac:dyDescent="0.3">
      <c r="F322"/>
      <c r="G322" s="81"/>
      <c r="H322"/>
    </row>
    <row r="323" spans="6:8" x14ac:dyDescent="0.3">
      <c r="F323"/>
      <c r="G323" s="81"/>
      <c r="H323"/>
    </row>
    <row r="324" spans="6:8" x14ac:dyDescent="0.3">
      <c r="F324"/>
      <c r="G324" s="81"/>
      <c r="H324"/>
    </row>
    <row r="325" spans="6:8" x14ac:dyDescent="0.3">
      <c r="F325"/>
      <c r="G325" s="81"/>
      <c r="H325"/>
    </row>
    <row r="326" spans="6:8" x14ac:dyDescent="0.3">
      <c r="F326"/>
      <c r="G326" s="81"/>
      <c r="H326"/>
    </row>
    <row r="327" spans="6:8" x14ac:dyDescent="0.3">
      <c r="F327"/>
      <c r="G327" s="81"/>
      <c r="H327"/>
    </row>
    <row r="328" spans="6:8" x14ac:dyDescent="0.3">
      <c r="F328"/>
      <c r="G328" s="81"/>
      <c r="H328"/>
    </row>
    <row r="329" spans="6:8" x14ac:dyDescent="0.3">
      <c r="F329"/>
      <c r="G329" s="81"/>
      <c r="H329"/>
    </row>
    <row r="330" spans="6:8" x14ac:dyDescent="0.3">
      <c r="F330"/>
      <c r="G330" s="81"/>
      <c r="H330"/>
    </row>
    <row r="331" spans="6:8" x14ac:dyDescent="0.3">
      <c r="F331"/>
      <c r="G331" s="81"/>
      <c r="H331"/>
    </row>
    <row r="332" spans="6:8" x14ac:dyDescent="0.3">
      <c r="F332"/>
      <c r="G332" s="81"/>
      <c r="H332"/>
    </row>
    <row r="333" spans="6:8" x14ac:dyDescent="0.3">
      <c r="F333"/>
      <c r="G333" s="81"/>
      <c r="H333"/>
    </row>
    <row r="334" spans="6:8" x14ac:dyDescent="0.3">
      <c r="F334"/>
      <c r="G334" s="81"/>
      <c r="H334"/>
    </row>
    <row r="335" spans="6:8" x14ac:dyDescent="0.3">
      <c r="F335"/>
      <c r="G335" s="81"/>
      <c r="H335"/>
    </row>
    <row r="336" spans="6:8" x14ac:dyDescent="0.3">
      <c r="F336"/>
      <c r="G336" s="81"/>
      <c r="H336"/>
    </row>
    <row r="337" spans="6:8" x14ac:dyDescent="0.3">
      <c r="F337"/>
      <c r="G337" s="81"/>
      <c r="H337"/>
    </row>
    <row r="338" spans="6:8" x14ac:dyDescent="0.3">
      <c r="F338"/>
      <c r="G338" s="81"/>
      <c r="H338"/>
    </row>
    <row r="339" spans="6:8" x14ac:dyDescent="0.3">
      <c r="F339"/>
      <c r="G339" s="81"/>
      <c r="H339"/>
    </row>
    <row r="340" spans="6:8" x14ac:dyDescent="0.3">
      <c r="F340"/>
      <c r="G340" s="81"/>
      <c r="H340"/>
    </row>
    <row r="341" spans="6:8" x14ac:dyDescent="0.3">
      <c r="F341"/>
      <c r="G341" s="81"/>
      <c r="H341"/>
    </row>
    <row r="342" spans="6:8" x14ac:dyDescent="0.3">
      <c r="F342"/>
      <c r="G342" s="81"/>
      <c r="H342"/>
    </row>
    <row r="343" spans="6:8" x14ac:dyDescent="0.3">
      <c r="F343"/>
      <c r="G343" s="81"/>
      <c r="H343"/>
    </row>
    <row r="344" spans="6:8" x14ac:dyDescent="0.3">
      <c r="F344"/>
      <c r="G344" s="81"/>
      <c r="H344"/>
    </row>
    <row r="345" spans="6:8" x14ac:dyDescent="0.3">
      <c r="F345"/>
      <c r="G345" s="81"/>
      <c r="H345"/>
    </row>
    <row r="346" spans="6:8" x14ac:dyDescent="0.3">
      <c r="F346"/>
      <c r="G346" s="81"/>
      <c r="H346"/>
    </row>
    <row r="347" spans="6:8" x14ac:dyDescent="0.3">
      <c r="F347"/>
      <c r="G347" s="81"/>
      <c r="H347"/>
    </row>
    <row r="348" spans="6:8" x14ac:dyDescent="0.3">
      <c r="F348"/>
      <c r="G348" s="81"/>
      <c r="H348"/>
    </row>
    <row r="349" spans="6:8" x14ac:dyDescent="0.3">
      <c r="F349"/>
      <c r="G349" s="81"/>
      <c r="H349"/>
    </row>
    <row r="350" spans="6:8" x14ac:dyDescent="0.3">
      <c r="F350"/>
      <c r="G350" s="81"/>
      <c r="H350"/>
    </row>
    <row r="351" spans="6:8" x14ac:dyDescent="0.3">
      <c r="F351"/>
      <c r="G351" s="81"/>
      <c r="H351"/>
    </row>
    <row r="352" spans="6:8" x14ac:dyDescent="0.3">
      <c r="F352"/>
      <c r="G352" s="81"/>
      <c r="H352"/>
    </row>
    <row r="353" spans="6:8" x14ac:dyDescent="0.3">
      <c r="F353"/>
      <c r="G353" s="81"/>
      <c r="H353"/>
    </row>
    <row r="354" spans="6:8" x14ac:dyDescent="0.3">
      <c r="F354"/>
      <c r="G354" s="81"/>
      <c r="H354"/>
    </row>
    <row r="355" spans="6:8" x14ac:dyDescent="0.3">
      <c r="F355"/>
      <c r="G355" s="81"/>
      <c r="H355"/>
    </row>
    <row r="356" spans="6:8" x14ac:dyDescent="0.3">
      <c r="F356"/>
      <c r="G356" s="81"/>
      <c r="H356"/>
    </row>
    <row r="357" spans="6:8" x14ac:dyDescent="0.3">
      <c r="F357"/>
      <c r="G357" s="81"/>
      <c r="H357"/>
    </row>
    <row r="358" spans="6:8" x14ac:dyDescent="0.3">
      <c r="F358"/>
      <c r="G358" s="81"/>
      <c r="H358"/>
    </row>
    <row r="359" spans="6:8" x14ac:dyDescent="0.3">
      <c r="F359"/>
      <c r="G359" s="81"/>
      <c r="H359"/>
    </row>
    <row r="360" spans="6:8" x14ac:dyDescent="0.3">
      <c r="F360"/>
      <c r="G360" s="81"/>
      <c r="H360"/>
    </row>
    <row r="361" spans="6:8" x14ac:dyDescent="0.3">
      <c r="F361"/>
      <c r="G361" s="81"/>
      <c r="H361"/>
    </row>
    <row r="362" spans="6:8" x14ac:dyDescent="0.3">
      <c r="F362"/>
      <c r="G362" s="81"/>
      <c r="H362"/>
    </row>
    <row r="363" spans="6:8" x14ac:dyDescent="0.3">
      <c r="F363"/>
      <c r="G363" s="81"/>
      <c r="H363"/>
    </row>
    <row r="364" spans="6:8" x14ac:dyDescent="0.3">
      <c r="F364"/>
      <c r="G364" s="81"/>
      <c r="H364"/>
    </row>
    <row r="365" spans="6:8" x14ac:dyDescent="0.3">
      <c r="F365"/>
      <c r="G365" s="81"/>
      <c r="H365"/>
    </row>
    <row r="366" spans="6:8" x14ac:dyDescent="0.3">
      <c r="F366"/>
      <c r="G366" s="81"/>
      <c r="H366"/>
    </row>
    <row r="367" spans="6:8" x14ac:dyDescent="0.3">
      <c r="F367"/>
      <c r="G367" s="81"/>
      <c r="H367"/>
    </row>
    <row r="368" spans="6:8" x14ac:dyDescent="0.3">
      <c r="F368"/>
      <c r="G368" s="81"/>
      <c r="H368"/>
    </row>
    <row r="369" spans="6:8" x14ac:dyDescent="0.3">
      <c r="F369"/>
      <c r="G369" s="81"/>
      <c r="H369"/>
    </row>
    <row r="370" spans="6:8" x14ac:dyDescent="0.3">
      <c r="F370"/>
      <c r="G370" s="81"/>
      <c r="H370"/>
    </row>
    <row r="371" spans="6:8" x14ac:dyDescent="0.3">
      <c r="F371"/>
      <c r="G371" s="81"/>
      <c r="H371"/>
    </row>
    <row r="372" spans="6:8" x14ac:dyDescent="0.3">
      <c r="F372"/>
      <c r="G372" s="81"/>
      <c r="H372"/>
    </row>
    <row r="373" spans="6:8" x14ac:dyDescent="0.3">
      <c r="F373"/>
      <c r="G373" s="81"/>
      <c r="H373"/>
    </row>
    <row r="374" spans="6:8" x14ac:dyDescent="0.3">
      <c r="F374"/>
      <c r="G374" s="81"/>
      <c r="H374"/>
    </row>
    <row r="375" spans="6:8" x14ac:dyDescent="0.3">
      <c r="F375"/>
      <c r="G375" s="81"/>
      <c r="H375"/>
    </row>
    <row r="376" spans="6:8" x14ac:dyDescent="0.3">
      <c r="F376"/>
      <c r="G376" s="81"/>
      <c r="H376"/>
    </row>
    <row r="377" spans="6:8" x14ac:dyDescent="0.3">
      <c r="F377"/>
      <c r="G377" s="81"/>
      <c r="H377"/>
    </row>
    <row r="378" spans="6:8" x14ac:dyDescent="0.3">
      <c r="F378"/>
      <c r="G378" s="81"/>
      <c r="H378"/>
    </row>
    <row r="379" spans="6:8" x14ac:dyDescent="0.3">
      <c r="F379"/>
      <c r="G379" s="81"/>
      <c r="H379"/>
    </row>
    <row r="380" spans="6:8" x14ac:dyDescent="0.3">
      <c r="F380"/>
      <c r="G380" s="81"/>
      <c r="H380"/>
    </row>
    <row r="381" spans="6:8" x14ac:dyDescent="0.3">
      <c r="F381"/>
      <c r="G381" s="81"/>
      <c r="H381"/>
    </row>
    <row r="382" spans="6:8" x14ac:dyDescent="0.3">
      <c r="F382"/>
      <c r="G382" s="81"/>
      <c r="H382"/>
    </row>
    <row r="383" spans="6:8" x14ac:dyDescent="0.3">
      <c r="F383"/>
      <c r="G383" s="81"/>
      <c r="H383"/>
    </row>
    <row r="384" spans="6:8" x14ac:dyDescent="0.3">
      <c r="F384"/>
      <c r="G384" s="81"/>
      <c r="H384"/>
    </row>
    <row r="385" spans="6:8" x14ac:dyDescent="0.3">
      <c r="F385"/>
      <c r="G385" s="81"/>
      <c r="H385"/>
    </row>
    <row r="386" spans="6:8" x14ac:dyDescent="0.3">
      <c r="F386"/>
      <c r="G386" s="81"/>
      <c r="H386"/>
    </row>
    <row r="387" spans="6:8" x14ac:dyDescent="0.3">
      <c r="F387"/>
      <c r="G387" s="81"/>
      <c r="H387"/>
    </row>
    <row r="388" spans="6:8" x14ac:dyDescent="0.3">
      <c r="F388"/>
      <c r="G388" s="81"/>
      <c r="H388"/>
    </row>
    <row r="389" spans="6:8" x14ac:dyDescent="0.3">
      <c r="F389"/>
      <c r="G389" s="81"/>
      <c r="H389"/>
    </row>
    <row r="390" spans="6:8" x14ac:dyDescent="0.3">
      <c r="F390"/>
      <c r="G390" s="81"/>
      <c r="H390"/>
    </row>
    <row r="391" spans="6:8" x14ac:dyDescent="0.3">
      <c r="F391"/>
      <c r="G391" s="81"/>
      <c r="H391"/>
    </row>
    <row r="392" spans="6:8" x14ac:dyDescent="0.3">
      <c r="F392"/>
      <c r="G392" s="81"/>
      <c r="H392"/>
    </row>
    <row r="393" spans="6:8" x14ac:dyDescent="0.3">
      <c r="F393"/>
      <c r="G393" s="81"/>
      <c r="H393"/>
    </row>
    <row r="394" spans="6:8" x14ac:dyDescent="0.3">
      <c r="F394"/>
      <c r="G394" s="81"/>
      <c r="H394"/>
    </row>
    <row r="395" spans="6:8" x14ac:dyDescent="0.3">
      <c r="F395"/>
      <c r="G395" s="81"/>
      <c r="H395"/>
    </row>
    <row r="396" spans="6:8" x14ac:dyDescent="0.3">
      <c r="F396"/>
      <c r="G396" s="81"/>
      <c r="H396"/>
    </row>
    <row r="397" spans="6:8" x14ac:dyDescent="0.3">
      <c r="F397"/>
      <c r="G397" s="81"/>
      <c r="H397"/>
    </row>
    <row r="398" spans="6:8" x14ac:dyDescent="0.3">
      <c r="F398"/>
      <c r="G398" s="81"/>
      <c r="H398"/>
    </row>
    <row r="399" spans="6:8" x14ac:dyDescent="0.3">
      <c r="F399"/>
      <c r="G399" s="81"/>
      <c r="H399"/>
    </row>
    <row r="400" spans="6:8" x14ac:dyDescent="0.3">
      <c r="F400"/>
      <c r="G400" s="81"/>
      <c r="H400"/>
    </row>
    <row r="401" spans="6:8" x14ac:dyDescent="0.3">
      <c r="F401"/>
      <c r="G401" s="81"/>
      <c r="H401"/>
    </row>
    <row r="402" spans="6:8" x14ac:dyDescent="0.3">
      <c r="F402"/>
      <c r="G402" s="81"/>
      <c r="H402"/>
    </row>
    <row r="403" spans="6:8" x14ac:dyDescent="0.3">
      <c r="F403"/>
      <c r="G403" s="81"/>
      <c r="H403"/>
    </row>
    <row r="404" spans="6:8" x14ac:dyDescent="0.3">
      <c r="F404"/>
      <c r="G404" s="81"/>
      <c r="H404"/>
    </row>
    <row r="405" spans="6:8" x14ac:dyDescent="0.3">
      <c r="F405"/>
      <c r="G405" s="81"/>
      <c r="H405"/>
    </row>
    <row r="406" spans="6:8" x14ac:dyDescent="0.3">
      <c r="F406"/>
      <c r="G406" s="81"/>
      <c r="H406"/>
    </row>
    <row r="407" spans="6:8" x14ac:dyDescent="0.3">
      <c r="F407"/>
      <c r="G407" s="81"/>
      <c r="H407"/>
    </row>
    <row r="408" spans="6:8" x14ac:dyDescent="0.3">
      <c r="F408"/>
      <c r="G408" s="81"/>
      <c r="H408"/>
    </row>
    <row r="409" spans="6:8" x14ac:dyDescent="0.3">
      <c r="F409"/>
      <c r="G409" s="81"/>
      <c r="H409"/>
    </row>
    <row r="410" spans="6:8" x14ac:dyDescent="0.3">
      <c r="F410"/>
      <c r="G410" s="81"/>
      <c r="H410"/>
    </row>
    <row r="411" spans="6:8" x14ac:dyDescent="0.3">
      <c r="F411"/>
      <c r="G411" s="81"/>
      <c r="H411"/>
    </row>
    <row r="412" spans="6:8" x14ac:dyDescent="0.3">
      <c r="F412"/>
      <c r="G412" s="81"/>
      <c r="H412"/>
    </row>
    <row r="413" spans="6:8" x14ac:dyDescent="0.3">
      <c r="F413"/>
      <c r="G413" s="81"/>
      <c r="H413"/>
    </row>
    <row r="414" spans="6:8" x14ac:dyDescent="0.3">
      <c r="F414"/>
      <c r="G414" s="81"/>
      <c r="H414"/>
    </row>
    <row r="415" spans="6:8" x14ac:dyDescent="0.3">
      <c r="F415"/>
      <c r="G415" s="81"/>
      <c r="H415"/>
    </row>
    <row r="416" spans="6:8" x14ac:dyDescent="0.3">
      <c r="F416"/>
      <c r="G416" s="81"/>
      <c r="H416"/>
    </row>
    <row r="417" spans="6:8" x14ac:dyDescent="0.3">
      <c r="F417"/>
      <c r="G417" s="81"/>
      <c r="H417"/>
    </row>
    <row r="418" spans="6:8" x14ac:dyDescent="0.3">
      <c r="F418"/>
      <c r="G418" s="81"/>
      <c r="H418"/>
    </row>
    <row r="419" spans="6:8" x14ac:dyDescent="0.3">
      <c r="F419"/>
      <c r="G419" s="81"/>
      <c r="H419"/>
    </row>
    <row r="420" spans="6:8" x14ac:dyDescent="0.3">
      <c r="F420"/>
      <c r="G420" s="81"/>
      <c r="H420"/>
    </row>
    <row r="421" spans="6:8" x14ac:dyDescent="0.3">
      <c r="F421"/>
      <c r="G421" s="81"/>
      <c r="H421"/>
    </row>
    <row r="422" spans="6:8" x14ac:dyDescent="0.3">
      <c r="F422"/>
      <c r="G422" s="81"/>
      <c r="H422"/>
    </row>
    <row r="423" spans="6:8" x14ac:dyDescent="0.3">
      <c r="F423"/>
      <c r="G423" s="81"/>
      <c r="H423"/>
    </row>
    <row r="424" spans="6:8" x14ac:dyDescent="0.3">
      <c r="F424"/>
      <c r="G424" s="81"/>
      <c r="H424"/>
    </row>
    <row r="425" spans="6:8" x14ac:dyDescent="0.3">
      <c r="F425"/>
      <c r="G425" s="81"/>
      <c r="H425"/>
    </row>
    <row r="426" spans="6:8" x14ac:dyDescent="0.3">
      <c r="F426"/>
      <c r="G426" s="81"/>
      <c r="H426"/>
    </row>
    <row r="427" spans="6:8" x14ac:dyDescent="0.3">
      <c r="F427"/>
      <c r="G427" s="81"/>
      <c r="H427"/>
    </row>
    <row r="428" spans="6:8" x14ac:dyDescent="0.3">
      <c r="F428"/>
      <c r="G428" s="81"/>
      <c r="H428"/>
    </row>
    <row r="429" spans="6:8" x14ac:dyDescent="0.3">
      <c r="F429"/>
      <c r="G429" s="81"/>
      <c r="H429"/>
    </row>
    <row r="430" spans="6:8" x14ac:dyDescent="0.3">
      <c r="F430"/>
      <c r="G430" s="81"/>
      <c r="H430"/>
    </row>
    <row r="431" spans="6:8" x14ac:dyDescent="0.3">
      <c r="F431"/>
      <c r="G431" s="81"/>
      <c r="H431"/>
    </row>
    <row r="432" spans="6:8" x14ac:dyDescent="0.3">
      <c r="F432"/>
      <c r="G432" s="81"/>
      <c r="H432"/>
    </row>
    <row r="433" spans="6:8" x14ac:dyDescent="0.3">
      <c r="F433"/>
      <c r="G433" s="81"/>
      <c r="H433"/>
    </row>
    <row r="434" spans="6:8" x14ac:dyDescent="0.3">
      <c r="F434"/>
      <c r="G434" s="81"/>
      <c r="H434"/>
    </row>
    <row r="435" spans="6:8" x14ac:dyDescent="0.3">
      <c r="F435"/>
      <c r="G435" s="81"/>
      <c r="H435"/>
    </row>
    <row r="436" spans="6:8" x14ac:dyDescent="0.3">
      <c r="F436"/>
      <c r="G436" s="81"/>
      <c r="H436"/>
    </row>
    <row r="437" spans="6:8" x14ac:dyDescent="0.3">
      <c r="F437"/>
      <c r="G437" s="81"/>
      <c r="H437"/>
    </row>
    <row r="438" spans="6:8" x14ac:dyDescent="0.3">
      <c r="F438"/>
      <c r="G438" s="81"/>
      <c r="H438"/>
    </row>
    <row r="439" spans="6:8" x14ac:dyDescent="0.3">
      <c r="F439"/>
      <c r="G439" s="81"/>
      <c r="H439"/>
    </row>
    <row r="440" spans="6:8" x14ac:dyDescent="0.3">
      <c r="F440"/>
      <c r="G440" s="81"/>
      <c r="H440"/>
    </row>
    <row r="441" spans="6:8" x14ac:dyDescent="0.3">
      <c r="F441"/>
      <c r="G441" s="81"/>
      <c r="H441"/>
    </row>
    <row r="442" spans="6:8" x14ac:dyDescent="0.3">
      <c r="F442"/>
      <c r="G442" s="81"/>
      <c r="H442"/>
    </row>
    <row r="443" spans="6:8" x14ac:dyDescent="0.3">
      <c r="F443"/>
      <c r="G443" s="81"/>
      <c r="H443"/>
    </row>
    <row r="444" spans="6:8" x14ac:dyDescent="0.3">
      <c r="F444"/>
      <c r="G444" s="81"/>
      <c r="H444"/>
    </row>
    <row r="445" spans="6:8" x14ac:dyDescent="0.3">
      <c r="F445"/>
      <c r="G445" s="81"/>
      <c r="H445"/>
    </row>
    <row r="446" spans="6:8" x14ac:dyDescent="0.3">
      <c r="F446"/>
      <c r="G446" s="81"/>
      <c r="H446"/>
    </row>
    <row r="447" spans="6:8" x14ac:dyDescent="0.3">
      <c r="F447"/>
      <c r="G447" s="81"/>
      <c r="H447"/>
    </row>
    <row r="448" spans="6:8" x14ac:dyDescent="0.3">
      <c r="F448"/>
      <c r="G448" s="81"/>
      <c r="H448"/>
    </row>
    <row r="449" spans="6:8" x14ac:dyDescent="0.3">
      <c r="F449"/>
      <c r="G449" s="81"/>
      <c r="H449"/>
    </row>
    <row r="450" spans="6:8" x14ac:dyDescent="0.3">
      <c r="F450"/>
      <c r="G450" s="81"/>
      <c r="H450"/>
    </row>
    <row r="451" spans="6:8" x14ac:dyDescent="0.3">
      <c r="F451"/>
      <c r="G451" s="81"/>
      <c r="H451"/>
    </row>
    <row r="452" spans="6:8" x14ac:dyDescent="0.3">
      <c r="F452"/>
      <c r="G452" s="81"/>
      <c r="H452"/>
    </row>
    <row r="453" spans="6:8" x14ac:dyDescent="0.3">
      <c r="F453"/>
      <c r="G453" s="81"/>
      <c r="H453"/>
    </row>
    <row r="454" spans="6:8" x14ac:dyDescent="0.3">
      <c r="F454"/>
      <c r="G454" s="81"/>
      <c r="H454"/>
    </row>
    <row r="455" spans="6:8" x14ac:dyDescent="0.3">
      <c r="F455"/>
      <c r="G455" s="81"/>
      <c r="H455"/>
    </row>
    <row r="456" spans="6:8" x14ac:dyDescent="0.3">
      <c r="F456"/>
      <c r="G456" s="81"/>
      <c r="H456"/>
    </row>
    <row r="457" spans="6:8" x14ac:dyDescent="0.3">
      <c r="F457"/>
      <c r="G457" s="81"/>
      <c r="H457"/>
    </row>
    <row r="458" spans="6:8" x14ac:dyDescent="0.3">
      <c r="F458"/>
      <c r="G458" s="81"/>
      <c r="H458"/>
    </row>
    <row r="459" spans="6:8" x14ac:dyDescent="0.3">
      <c r="F459"/>
      <c r="G459" s="81"/>
      <c r="H459"/>
    </row>
    <row r="460" spans="6:8" x14ac:dyDescent="0.3">
      <c r="F460"/>
      <c r="G460" s="81"/>
      <c r="H460"/>
    </row>
    <row r="461" spans="6:8" x14ac:dyDescent="0.3">
      <c r="F461"/>
      <c r="G461" s="81"/>
      <c r="H461"/>
    </row>
    <row r="462" spans="6:8" x14ac:dyDescent="0.3">
      <c r="F462"/>
      <c r="G462" s="81"/>
      <c r="H462"/>
    </row>
    <row r="463" spans="6:8" x14ac:dyDescent="0.3">
      <c r="F463"/>
      <c r="G463" s="81"/>
      <c r="H463"/>
    </row>
    <row r="464" spans="6:8" x14ac:dyDescent="0.3">
      <c r="F464"/>
      <c r="G464" s="81"/>
      <c r="H464"/>
    </row>
    <row r="465" spans="6:8" x14ac:dyDescent="0.3">
      <c r="F465"/>
      <c r="G465" s="81"/>
      <c r="H465"/>
    </row>
    <row r="466" spans="6:8" x14ac:dyDescent="0.3">
      <c r="F466"/>
      <c r="G466" s="81"/>
      <c r="H466"/>
    </row>
    <row r="467" spans="6:8" x14ac:dyDescent="0.3">
      <c r="F467"/>
      <c r="G467" s="81"/>
      <c r="H467"/>
    </row>
    <row r="468" spans="6:8" x14ac:dyDescent="0.3">
      <c r="F468"/>
      <c r="G468" s="81"/>
      <c r="H468"/>
    </row>
    <row r="469" spans="6:8" x14ac:dyDescent="0.3">
      <c r="F469"/>
      <c r="G469" s="81"/>
      <c r="H469"/>
    </row>
    <row r="470" spans="6:8" x14ac:dyDescent="0.3">
      <c r="F470"/>
      <c r="G470" s="81"/>
      <c r="H470"/>
    </row>
    <row r="471" spans="6:8" x14ac:dyDescent="0.3">
      <c r="F471"/>
      <c r="G471" s="81"/>
      <c r="H471"/>
    </row>
    <row r="472" spans="6:8" x14ac:dyDescent="0.3">
      <c r="F472"/>
      <c r="G472" s="81"/>
      <c r="H472"/>
    </row>
    <row r="473" spans="6:8" x14ac:dyDescent="0.3">
      <c r="F473"/>
      <c r="G473" s="81"/>
      <c r="H473"/>
    </row>
    <row r="474" spans="6:8" x14ac:dyDescent="0.3">
      <c r="F474"/>
      <c r="G474" s="81"/>
      <c r="H474"/>
    </row>
    <row r="475" spans="6:8" x14ac:dyDescent="0.3">
      <c r="F475"/>
      <c r="G475" s="81"/>
      <c r="H475"/>
    </row>
    <row r="476" spans="6:8" x14ac:dyDescent="0.3">
      <c r="F476"/>
      <c r="G476" s="81"/>
      <c r="H476"/>
    </row>
    <row r="477" spans="6:8" x14ac:dyDescent="0.3">
      <c r="F477"/>
      <c r="G477" s="81"/>
      <c r="H477"/>
    </row>
    <row r="478" spans="6:8" x14ac:dyDescent="0.3">
      <c r="F478"/>
      <c r="G478" s="81"/>
      <c r="H478"/>
    </row>
    <row r="479" spans="6:8" x14ac:dyDescent="0.3">
      <c r="F479"/>
      <c r="G479" s="81"/>
      <c r="H479"/>
    </row>
    <row r="480" spans="6:8" x14ac:dyDescent="0.3">
      <c r="F480"/>
      <c r="G480" s="81"/>
      <c r="H480"/>
    </row>
    <row r="481" spans="6:8" x14ac:dyDescent="0.3">
      <c r="F481"/>
      <c r="G481" s="81"/>
      <c r="H481"/>
    </row>
    <row r="482" spans="6:8" x14ac:dyDescent="0.3">
      <c r="F482"/>
      <c r="G482" s="81"/>
      <c r="H482"/>
    </row>
    <row r="483" spans="6:8" x14ac:dyDescent="0.3">
      <c r="F483"/>
      <c r="G483" s="81"/>
      <c r="H483"/>
    </row>
    <row r="484" spans="6:8" x14ac:dyDescent="0.3">
      <c r="F484"/>
      <c r="G484" s="81"/>
      <c r="H484"/>
    </row>
    <row r="485" spans="6:8" x14ac:dyDescent="0.3">
      <c r="F485"/>
      <c r="G485" s="81"/>
      <c r="H485"/>
    </row>
    <row r="486" spans="6:8" x14ac:dyDescent="0.3">
      <c r="F486"/>
      <c r="G486" s="81"/>
      <c r="H486"/>
    </row>
    <row r="487" spans="6:8" x14ac:dyDescent="0.3">
      <c r="F487"/>
      <c r="G487" s="81"/>
      <c r="H487"/>
    </row>
    <row r="488" spans="6:8" x14ac:dyDescent="0.3">
      <c r="F488"/>
      <c r="G488" s="81"/>
      <c r="H488"/>
    </row>
    <row r="489" spans="6:8" x14ac:dyDescent="0.3">
      <c r="F489"/>
      <c r="G489" s="81"/>
      <c r="H489"/>
    </row>
    <row r="490" spans="6:8" x14ac:dyDescent="0.3">
      <c r="F490"/>
      <c r="G490" s="81"/>
      <c r="H490"/>
    </row>
    <row r="491" spans="6:8" x14ac:dyDescent="0.3">
      <c r="F491"/>
      <c r="G491" s="81"/>
      <c r="H491"/>
    </row>
    <row r="492" spans="6:8" x14ac:dyDescent="0.3">
      <c r="F492"/>
      <c r="G492" s="81"/>
      <c r="H492"/>
    </row>
    <row r="493" spans="6:8" x14ac:dyDescent="0.3">
      <c r="F493"/>
      <c r="G493" s="81"/>
      <c r="H493"/>
    </row>
    <row r="494" spans="6:8" x14ac:dyDescent="0.3">
      <c r="F494"/>
      <c r="G494" s="81"/>
      <c r="H494"/>
    </row>
    <row r="495" spans="6:8" x14ac:dyDescent="0.3">
      <c r="F495"/>
      <c r="G495" s="81"/>
      <c r="H495"/>
    </row>
    <row r="496" spans="6:8" x14ac:dyDescent="0.3">
      <c r="F496"/>
      <c r="G496" s="81"/>
      <c r="H496"/>
    </row>
    <row r="497" spans="6:8" x14ac:dyDescent="0.3">
      <c r="F497"/>
      <c r="G497" s="81"/>
      <c r="H497"/>
    </row>
    <row r="498" spans="6:8" x14ac:dyDescent="0.3">
      <c r="F498"/>
      <c r="G498" s="81"/>
      <c r="H498"/>
    </row>
    <row r="499" spans="6:8" x14ac:dyDescent="0.3">
      <c r="F499"/>
      <c r="G499" s="81"/>
      <c r="H499"/>
    </row>
    <row r="500" spans="6:8" x14ac:dyDescent="0.3">
      <c r="F500"/>
      <c r="G500" s="81"/>
      <c r="H500"/>
    </row>
    <row r="501" spans="6:8" x14ac:dyDescent="0.3">
      <c r="F501"/>
      <c r="G501" s="81"/>
      <c r="H501"/>
    </row>
    <row r="502" spans="6:8" x14ac:dyDescent="0.3">
      <c r="F502"/>
      <c r="G502" s="81"/>
      <c r="H502"/>
    </row>
    <row r="503" spans="6:8" x14ac:dyDescent="0.3">
      <c r="F503"/>
      <c r="G503" s="81"/>
      <c r="H503"/>
    </row>
    <row r="504" spans="6:8" x14ac:dyDescent="0.3">
      <c r="F504"/>
      <c r="G504" s="81"/>
      <c r="H504"/>
    </row>
    <row r="505" spans="6:8" x14ac:dyDescent="0.3">
      <c r="F505"/>
      <c r="G505" s="81"/>
      <c r="H505"/>
    </row>
    <row r="506" spans="6:8" x14ac:dyDescent="0.3">
      <c r="F506"/>
      <c r="G506" s="81"/>
      <c r="H506"/>
    </row>
    <row r="507" spans="6:8" x14ac:dyDescent="0.3">
      <c r="F507"/>
      <c r="G507" s="81"/>
      <c r="H507"/>
    </row>
    <row r="508" spans="6:8" x14ac:dyDescent="0.3">
      <c r="F508"/>
      <c r="G508" s="81"/>
      <c r="H508"/>
    </row>
    <row r="509" spans="6:8" x14ac:dyDescent="0.3">
      <c r="F509"/>
      <c r="G509" s="81"/>
      <c r="H509"/>
    </row>
    <row r="510" spans="6:8" x14ac:dyDescent="0.3">
      <c r="F510"/>
      <c r="G510" s="81"/>
      <c r="H510"/>
    </row>
    <row r="511" spans="6:8" x14ac:dyDescent="0.3">
      <c r="F511"/>
      <c r="G511" s="81"/>
      <c r="H511"/>
    </row>
    <row r="512" spans="6:8" x14ac:dyDescent="0.3">
      <c r="F512"/>
      <c r="G512" s="81"/>
      <c r="H512"/>
    </row>
    <row r="513" spans="6:8" x14ac:dyDescent="0.3">
      <c r="F513"/>
      <c r="G513" s="81"/>
      <c r="H513"/>
    </row>
    <row r="514" spans="6:8" x14ac:dyDescent="0.3">
      <c r="F514"/>
      <c r="G514" s="81"/>
      <c r="H514"/>
    </row>
    <row r="515" spans="6:8" x14ac:dyDescent="0.3">
      <c r="F515"/>
      <c r="G515" s="81"/>
      <c r="H515"/>
    </row>
    <row r="516" spans="6:8" x14ac:dyDescent="0.3">
      <c r="F516"/>
      <c r="G516" s="81"/>
      <c r="H516"/>
    </row>
    <row r="517" spans="6:8" x14ac:dyDescent="0.3">
      <c r="F517"/>
      <c r="G517" s="81"/>
      <c r="H517"/>
    </row>
    <row r="518" spans="6:8" x14ac:dyDescent="0.3">
      <c r="F518"/>
      <c r="G518" s="81"/>
      <c r="H518"/>
    </row>
    <row r="519" spans="6:8" x14ac:dyDescent="0.3">
      <c r="F519"/>
      <c r="G519" s="81"/>
      <c r="H519"/>
    </row>
    <row r="520" spans="6:8" x14ac:dyDescent="0.3">
      <c r="F520"/>
      <c r="G520" s="81"/>
      <c r="H520"/>
    </row>
    <row r="521" spans="6:8" x14ac:dyDescent="0.3">
      <c r="F521"/>
      <c r="G521" s="81"/>
      <c r="H521"/>
    </row>
    <row r="522" spans="6:8" x14ac:dyDescent="0.3">
      <c r="F522"/>
      <c r="G522" s="81"/>
      <c r="H522"/>
    </row>
    <row r="523" spans="6:8" x14ac:dyDescent="0.3">
      <c r="F523"/>
      <c r="G523" s="81"/>
      <c r="H523"/>
    </row>
    <row r="524" spans="6:8" x14ac:dyDescent="0.3">
      <c r="F524"/>
      <c r="G524" s="81"/>
      <c r="H524"/>
    </row>
    <row r="525" spans="6:8" x14ac:dyDescent="0.3">
      <c r="F525"/>
      <c r="G525" s="81"/>
      <c r="H525"/>
    </row>
    <row r="526" spans="6:8" x14ac:dyDescent="0.3">
      <c r="F526"/>
      <c r="G526" s="81"/>
      <c r="H526"/>
    </row>
    <row r="527" spans="6:8" x14ac:dyDescent="0.3">
      <c r="F527"/>
      <c r="G527" s="81"/>
      <c r="H527"/>
    </row>
    <row r="528" spans="6:8" x14ac:dyDescent="0.3">
      <c r="F528"/>
      <c r="G528" s="81"/>
      <c r="H528"/>
    </row>
    <row r="529" spans="6:8" x14ac:dyDescent="0.3">
      <c r="F529"/>
      <c r="G529" s="81"/>
      <c r="H529"/>
    </row>
    <row r="530" spans="6:8" x14ac:dyDescent="0.3">
      <c r="F530"/>
      <c r="G530" s="81"/>
      <c r="H530"/>
    </row>
    <row r="531" spans="6:8" x14ac:dyDescent="0.3">
      <c r="F531"/>
      <c r="G531" s="81"/>
      <c r="H531"/>
    </row>
    <row r="532" spans="6:8" x14ac:dyDescent="0.3">
      <c r="F532"/>
      <c r="G532" s="81"/>
      <c r="H532"/>
    </row>
    <row r="533" spans="6:8" x14ac:dyDescent="0.3">
      <c r="F533"/>
      <c r="G533" s="81"/>
      <c r="H533"/>
    </row>
    <row r="534" spans="6:8" x14ac:dyDescent="0.3">
      <c r="F534"/>
      <c r="G534" s="81"/>
      <c r="H534"/>
    </row>
    <row r="535" spans="6:8" x14ac:dyDescent="0.3">
      <c r="F535"/>
      <c r="G535" s="81"/>
      <c r="H535"/>
    </row>
    <row r="536" spans="6:8" x14ac:dyDescent="0.3">
      <c r="F536"/>
      <c r="G536" s="81"/>
      <c r="H536"/>
    </row>
    <row r="537" spans="6:8" x14ac:dyDescent="0.3">
      <c r="F537"/>
      <c r="G537" s="81"/>
      <c r="H537"/>
    </row>
    <row r="538" spans="6:8" x14ac:dyDescent="0.3">
      <c r="F538"/>
      <c r="G538" s="81"/>
      <c r="H538"/>
    </row>
    <row r="539" spans="6:8" x14ac:dyDescent="0.3">
      <c r="F539"/>
      <c r="G539" s="81"/>
      <c r="H539"/>
    </row>
    <row r="540" spans="6:8" x14ac:dyDescent="0.3">
      <c r="F540"/>
      <c r="G540" s="81"/>
      <c r="H540"/>
    </row>
    <row r="541" spans="6:8" x14ac:dyDescent="0.3">
      <c r="F541"/>
      <c r="G541" s="81"/>
      <c r="H541"/>
    </row>
    <row r="542" spans="6:8" x14ac:dyDescent="0.3">
      <c r="F542"/>
      <c r="G542" s="81"/>
      <c r="H542"/>
    </row>
    <row r="543" spans="6:8" x14ac:dyDescent="0.3">
      <c r="F543"/>
      <c r="G543" s="81"/>
      <c r="H543"/>
    </row>
    <row r="544" spans="6:8" x14ac:dyDescent="0.3">
      <c r="F544"/>
      <c r="G544" s="81"/>
      <c r="H544"/>
    </row>
    <row r="545" spans="6:8" x14ac:dyDescent="0.3">
      <c r="F545"/>
      <c r="G545" s="81"/>
      <c r="H545"/>
    </row>
    <row r="546" spans="6:8" x14ac:dyDescent="0.3">
      <c r="F546"/>
      <c r="G546" s="81"/>
      <c r="H546"/>
    </row>
    <row r="547" spans="6:8" x14ac:dyDescent="0.3">
      <c r="F547"/>
      <c r="G547" s="81"/>
      <c r="H547"/>
    </row>
    <row r="548" spans="6:8" x14ac:dyDescent="0.3">
      <c r="F548"/>
      <c r="G548" s="81"/>
      <c r="H548"/>
    </row>
    <row r="549" spans="6:8" x14ac:dyDescent="0.3">
      <c r="F549"/>
      <c r="G549" s="81"/>
      <c r="H549"/>
    </row>
    <row r="550" spans="6:8" x14ac:dyDescent="0.3">
      <c r="F550"/>
      <c r="G550" s="81"/>
      <c r="H550"/>
    </row>
    <row r="551" spans="6:8" x14ac:dyDescent="0.3">
      <c r="F551"/>
      <c r="G551" s="81"/>
      <c r="H551"/>
    </row>
    <row r="552" spans="6:8" x14ac:dyDescent="0.3">
      <c r="F552"/>
      <c r="G552" s="81"/>
      <c r="H552"/>
    </row>
    <row r="553" spans="6:8" x14ac:dyDescent="0.3">
      <c r="F553"/>
      <c r="G553" s="81"/>
      <c r="H553"/>
    </row>
    <row r="554" spans="6:8" x14ac:dyDescent="0.3">
      <c r="F554"/>
      <c r="G554" s="81"/>
      <c r="H554"/>
    </row>
    <row r="555" spans="6:8" x14ac:dyDescent="0.3">
      <c r="F555"/>
      <c r="G555" s="81"/>
      <c r="H555"/>
    </row>
    <row r="556" spans="6:8" x14ac:dyDescent="0.3">
      <c r="F556"/>
      <c r="G556" s="81"/>
      <c r="H556"/>
    </row>
    <row r="557" spans="6:8" x14ac:dyDescent="0.3">
      <c r="F557"/>
      <c r="G557" s="81"/>
      <c r="H557"/>
    </row>
    <row r="558" spans="6:8" x14ac:dyDescent="0.3">
      <c r="F558"/>
      <c r="G558" s="81"/>
      <c r="H558"/>
    </row>
    <row r="559" spans="6:8" x14ac:dyDescent="0.3">
      <c r="F559"/>
      <c r="G559" s="81"/>
      <c r="H559"/>
    </row>
    <row r="560" spans="6:8" x14ac:dyDescent="0.3">
      <c r="F560"/>
      <c r="G560" s="81"/>
      <c r="H560"/>
    </row>
    <row r="561" spans="6:8" x14ac:dyDescent="0.3">
      <c r="F561"/>
      <c r="G561" s="81"/>
      <c r="H561"/>
    </row>
    <row r="562" spans="6:8" x14ac:dyDescent="0.3">
      <c r="F562"/>
      <c r="G562" s="81"/>
      <c r="H562"/>
    </row>
    <row r="563" spans="6:8" x14ac:dyDescent="0.3">
      <c r="F563"/>
      <c r="G563" s="81"/>
      <c r="H563"/>
    </row>
    <row r="564" spans="6:8" x14ac:dyDescent="0.3">
      <c r="F564"/>
      <c r="G564" s="81"/>
      <c r="H564"/>
    </row>
    <row r="565" spans="6:8" x14ac:dyDescent="0.3">
      <c r="F565"/>
      <c r="G565" s="81"/>
      <c r="H565"/>
    </row>
    <row r="566" spans="6:8" x14ac:dyDescent="0.3">
      <c r="F566"/>
      <c r="G566" s="81"/>
      <c r="H566"/>
    </row>
    <row r="567" spans="6:8" x14ac:dyDescent="0.3">
      <c r="F567"/>
      <c r="G567" s="81"/>
      <c r="H567"/>
    </row>
    <row r="568" spans="6:8" x14ac:dyDescent="0.3">
      <c r="F568"/>
      <c r="G568" s="81"/>
      <c r="H568"/>
    </row>
    <row r="569" spans="6:8" x14ac:dyDescent="0.3">
      <c r="F569"/>
      <c r="G569" s="81"/>
      <c r="H569"/>
    </row>
    <row r="570" spans="6:8" x14ac:dyDescent="0.3">
      <c r="F570"/>
      <c r="G570" s="81"/>
      <c r="H570"/>
    </row>
    <row r="571" spans="6:8" x14ac:dyDescent="0.3">
      <c r="F571"/>
      <c r="G571" s="81"/>
      <c r="H571"/>
    </row>
    <row r="572" spans="6:8" x14ac:dyDescent="0.3">
      <c r="F572"/>
      <c r="G572" s="81"/>
      <c r="H572"/>
    </row>
    <row r="573" spans="6:8" x14ac:dyDescent="0.3">
      <c r="F573"/>
      <c r="G573" s="81"/>
      <c r="H573"/>
    </row>
    <row r="574" spans="6:8" x14ac:dyDescent="0.3">
      <c r="F574"/>
      <c r="G574" s="81"/>
      <c r="H574"/>
    </row>
    <row r="575" spans="6:8" x14ac:dyDescent="0.3">
      <c r="F575"/>
      <c r="G575" s="81"/>
      <c r="H575"/>
    </row>
    <row r="576" spans="6:8" x14ac:dyDescent="0.3">
      <c r="F576"/>
      <c r="G576" s="81"/>
      <c r="H576"/>
    </row>
    <row r="577" spans="6:8" x14ac:dyDescent="0.3">
      <c r="F577"/>
      <c r="G577" s="81"/>
      <c r="H577"/>
    </row>
    <row r="578" spans="6:8" x14ac:dyDescent="0.3">
      <c r="F578"/>
      <c r="G578" s="81"/>
      <c r="H578"/>
    </row>
    <row r="579" spans="6:8" x14ac:dyDescent="0.3">
      <c r="F579"/>
      <c r="G579" s="81"/>
      <c r="H579"/>
    </row>
    <row r="580" spans="6:8" x14ac:dyDescent="0.3">
      <c r="F580"/>
      <c r="G580" s="81"/>
      <c r="H580"/>
    </row>
    <row r="581" spans="6:8" x14ac:dyDescent="0.3">
      <c r="F581"/>
      <c r="G581" s="81"/>
      <c r="H581"/>
    </row>
    <row r="582" spans="6:8" x14ac:dyDescent="0.3">
      <c r="F582"/>
      <c r="G582" s="81"/>
      <c r="H582"/>
    </row>
    <row r="583" spans="6:8" x14ac:dyDescent="0.3">
      <c r="F583"/>
      <c r="G583" s="81"/>
      <c r="H583"/>
    </row>
    <row r="584" spans="6:8" x14ac:dyDescent="0.3">
      <c r="F584"/>
      <c r="G584" s="81"/>
      <c r="H584"/>
    </row>
    <row r="585" spans="6:8" x14ac:dyDescent="0.3">
      <c r="F585"/>
      <c r="G585" s="81"/>
      <c r="H585"/>
    </row>
    <row r="586" spans="6:8" x14ac:dyDescent="0.3">
      <c r="F586"/>
      <c r="G586" s="81"/>
      <c r="H586"/>
    </row>
    <row r="587" spans="6:8" x14ac:dyDescent="0.3">
      <c r="F587"/>
      <c r="G587" s="81"/>
      <c r="H587"/>
    </row>
    <row r="588" spans="6:8" x14ac:dyDescent="0.3">
      <c r="F588"/>
      <c r="G588" s="81"/>
      <c r="H588"/>
    </row>
    <row r="589" spans="6:8" x14ac:dyDescent="0.3">
      <c r="F589"/>
      <c r="G589" s="81"/>
      <c r="H589"/>
    </row>
    <row r="590" spans="6:8" x14ac:dyDescent="0.3">
      <c r="F590"/>
      <c r="G590" s="81"/>
      <c r="H590"/>
    </row>
    <row r="591" spans="6:8" x14ac:dyDescent="0.3">
      <c r="F591"/>
      <c r="G591" s="81"/>
      <c r="H591"/>
    </row>
    <row r="592" spans="6:8" x14ac:dyDescent="0.3">
      <c r="F592"/>
      <c r="G592" s="81"/>
      <c r="H592"/>
    </row>
    <row r="593" spans="6:8" x14ac:dyDescent="0.3">
      <c r="F593"/>
      <c r="G593" s="81"/>
      <c r="H593"/>
    </row>
    <row r="594" spans="6:8" x14ac:dyDescent="0.3">
      <c r="F594"/>
      <c r="G594" s="81"/>
      <c r="H594"/>
    </row>
    <row r="595" spans="6:8" x14ac:dyDescent="0.3">
      <c r="F595"/>
      <c r="G595" s="81"/>
      <c r="H595"/>
    </row>
    <row r="596" spans="6:8" x14ac:dyDescent="0.3">
      <c r="F596"/>
      <c r="G596" s="81"/>
      <c r="H596"/>
    </row>
    <row r="597" spans="6:8" x14ac:dyDescent="0.3">
      <c r="F597"/>
      <c r="G597" s="81"/>
      <c r="H597"/>
    </row>
    <row r="598" spans="6:8" x14ac:dyDescent="0.3">
      <c r="F598"/>
      <c r="G598" s="81"/>
      <c r="H598"/>
    </row>
    <row r="599" spans="6:8" x14ac:dyDescent="0.3">
      <c r="F599"/>
      <c r="G599" s="81"/>
      <c r="H599"/>
    </row>
    <row r="600" spans="6:8" x14ac:dyDescent="0.3">
      <c r="F600"/>
      <c r="G600" s="81"/>
      <c r="H600"/>
    </row>
    <row r="601" spans="6:8" x14ac:dyDescent="0.3">
      <c r="F601"/>
      <c r="G601" s="81"/>
      <c r="H601"/>
    </row>
    <row r="602" spans="6:8" x14ac:dyDescent="0.3">
      <c r="F602"/>
      <c r="G602" s="81"/>
      <c r="H602"/>
    </row>
    <row r="603" spans="6:8" x14ac:dyDescent="0.3">
      <c r="F603"/>
      <c r="G603" s="81"/>
      <c r="H603"/>
    </row>
    <row r="604" spans="6:8" x14ac:dyDescent="0.3">
      <c r="F604"/>
      <c r="G604" s="81"/>
      <c r="H604"/>
    </row>
    <row r="605" spans="6:8" x14ac:dyDescent="0.3">
      <c r="F605"/>
      <c r="G605" s="81"/>
      <c r="H605"/>
    </row>
    <row r="606" spans="6:8" x14ac:dyDescent="0.3">
      <c r="F606"/>
      <c r="G606" s="81"/>
      <c r="H606"/>
    </row>
    <row r="607" spans="6:8" x14ac:dyDescent="0.3">
      <c r="F607"/>
      <c r="G607" s="81"/>
      <c r="H607"/>
    </row>
    <row r="608" spans="6:8" x14ac:dyDescent="0.3">
      <c r="F608"/>
      <c r="G608" s="81"/>
      <c r="H608"/>
    </row>
    <row r="609" spans="6:8" x14ac:dyDescent="0.3">
      <c r="F609"/>
      <c r="G609" s="81"/>
      <c r="H609"/>
    </row>
    <row r="610" spans="6:8" x14ac:dyDescent="0.3">
      <c r="F610"/>
      <c r="G610" s="81"/>
      <c r="H610"/>
    </row>
    <row r="611" spans="6:8" x14ac:dyDescent="0.3">
      <c r="F611"/>
      <c r="G611" s="81"/>
      <c r="H611"/>
    </row>
    <row r="612" spans="6:8" x14ac:dyDescent="0.3">
      <c r="F612"/>
      <c r="G612" s="81"/>
      <c r="H612"/>
    </row>
    <row r="613" spans="6:8" x14ac:dyDescent="0.3">
      <c r="F613"/>
      <c r="G613" s="81"/>
      <c r="H613"/>
    </row>
    <row r="614" spans="6:8" x14ac:dyDescent="0.3">
      <c r="F614"/>
      <c r="G614" s="81"/>
      <c r="H614"/>
    </row>
    <row r="615" spans="6:8" x14ac:dyDescent="0.3">
      <c r="F615"/>
      <c r="G615" s="81"/>
      <c r="H615"/>
    </row>
    <row r="616" spans="6:8" x14ac:dyDescent="0.3">
      <c r="F616"/>
      <c r="G616" s="81"/>
      <c r="H616"/>
    </row>
    <row r="617" spans="6:8" x14ac:dyDescent="0.3">
      <c r="F617"/>
      <c r="G617" s="81"/>
      <c r="H617"/>
    </row>
    <row r="618" spans="6:8" x14ac:dyDescent="0.3">
      <c r="F618"/>
      <c r="G618" s="81"/>
      <c r="H618"/>
    </row>
    <row r="619" spans="6:8" x14ac:dyDescent="0.3">
      <c r="F619"/>
      <c r="G619" s="81"/>
      <c r="H619"/>
    </row>
    <row r="620" spans="6:8" x14ac:dyDescent="0.3">
      <c r="F620"/>
      <c r="G620" s="81"/>
      <c r="H620"/>
    </row>
    <row r="621" spans="6:8" x14ac:dyDescent="0.3">
      <c r="F621"/>
      <c r="G621" s="81"/>
      <c r="H621"/>
    </row>
    <row r="622" spans="6:8" x14ac:dyDescent="0.3">
      <c r="F622"/>
      <c r="G622" s="81"/>
      <c r="H622"/>
    </row>
    <row r="623" spans="6:8" x14ac:dyDescent="0.3">
      <c r="F623"/>
      <c r="G623" s="81"/>
      <c r="H623"/>
    </row>
    <row r="624" spans="6:8" x14ac:dyDescent="0.3">
      <c r="F624"/>
      <c r="G624" s="81"/>
      <c r="H624"/>
    </row>
    <row r="625" spans="6:8" x14ac:dyDescent="0.3">
      <c r="F625"/>
      <c r="G625" s="81"/>
      <c r="H625"/>
    </row>
    <row r="626" spans="6:8" x14ac:dyDescent="0.3">
      <c r="F626"/>
      <c r="G626" s="81"/>
      <c r="H626"/>
    </row>
    <row r="627" spans="6:8" x14ac:dyDescent="0.3">
      <c r="F627"/>
      <c r="G627" s="81"/>
      <c r="H627"/>
    </row>
    <row r="628" spans="6:8" x14ac:dyDescent="0.3">
      <c r="F628"/>
      <c r="G628" s="81"/>
      <c r="H628"/>
    </row>
    <row r="629" spans="6:8" x14ac:dyDescent="0.3">
      <c r="F629"/>
      <c r="G629" s="81"/>
      <c r="H629"/>
    </row>
    <row r="630" spans="6:8" x14ac:dyDescent="0.3">
      <c r="F630"/>
      <c r="G630" s="81"/>
      <c r="H630"/>
    </row>
    <row r="631" spans="6:8" x14ac:dyDescent="0.3">
      <c r="F631"/>
      <c r="G631" s="81"/>
      <c r="H631"/>
    </row>
    <row r="632" spans="6:8" x14ac:dyDescent="0.3">
      <c r="F632"/>
      <c r="G632" s="81"/>
      <c r="H632"/>
    </row>
    <row r="633" spans="6:8" x14ac:dyDescent="0.3">
      <c r="F633"/>
      <c r="G633" s="81"/>
      <c r="H633"/>
    </row>
    <row r="634" spans="6:8" x14ac:dyDescent="0.3">
      <c r="F634"/>
      <c r="G634" s="81"/>
      <c r="H634"/>
    </row>
    <row r="635" spans="6:8" x14ac:dyDescent="0.3">
      <c r="F635"/>
      <c r="G635" s="81"/>
      <c r="H635"/>
    </row>
    <row r="636" spans="6:8" x14ac:dyDescent="0.3">
      <c r="F636"/>
      <c r="G636" s="81"/>
      <c r="H636"/>
    </row>
    <row r="637" spans="6:8" x14ac:dyDescent="0.3">
      <c r="F637"/>
      <c r="G637" s="81"/>
      <c r="H637"/>
    </row>
    <row r="638" spans="6:8" x14ac:dyDescent="0.3">
      <c r="F638"/>
      <c r="G638" s="81"/>
      <c r="H638"/>
    </row>
    <row r="639" spans="6:8" x14ac:dyDescent="0.3">
      <c r="F639"/>
      <c r="G639" s="81"/>
      <c r="H639"/>
    </row>
    <row r="640" spans="6:8" x14ac:dyDescent="0.3">
      <c r="F640"/>
      <c r="G640" s="81"/>
      <c r="H640"/>
    </row>
    <row r="641" spans="6:8" x14ac:dyDescent="0.3">
      <c r="F641"/>
      <c r="G641" s="81"/>
      <c r="H641"/>
    </row>
    <row r="642" spans="6:8" x14ac:dyDescent="0.3">
      <c r="F642"/>
      <c r="G642" s="81"/>
      <c r="H642"/>
    </row>
    <row r="643" spans="6:8" x14ac:dyDescent="0.3">
      <c r="F643"/>
      <c r="G643" s="81"/>
      <c r="H643"/>
    </row>
    <row r="644" spans="6:8" x14ac:dyDescent="0.3">
      <c r="F644"/>
      <c r="G644" s="81"/>
      <c r="H644"/>
    </row>
    <row r="645" spans="6:8" x14ac:dyDescent="0.3">
      <c r="F645"/>
      <c r="G645" s="81"/>
      <c r="H645"/>
    </row>
    <row r="646" spans="6:8" x14ac:dyDescent="0.3">
      <c r="F646"/>
      <c r="G646" s="81"/>
      <c r="H646"/>
    </row>
    <row r="647" spans="6:8" x14ac:dyDescent="0.3">
      <c r="F647"/>
      <c r="G647" s="81"/>
      <c r="H647"/>
    </row>
    <row r="648" spans="6:8" x14ac:dyDescent="0.3">
      <c r="F648"/>
      <c r="G648" s="81"/>
      <c r="H648"/>
    </row>
    <row r="649" spans="6:8" x14ac:dyDescent="0.3">
      <c r="F649"/>
      <c r="G649" s="81"/>
      <c r="H649"/>
    </row>
    <row r="650" spans="6:8" x14ac:dyDescent="0.3">
      <c r="F650"/>
      <c r="G650" s="81"/>
      <c r="H650"/>
    </row>
    <row r="651" spans="6:8" x14ac:dyDescent="0.3">
      <c r="F651"/>
      <c r="G651" s="81"/>
      <c r="H651"/>
    </row>
    <row r="652" spans="6:8" x14ac:dyDescent="0.3">
      <c r="F652"/>
      <c r="G652" s="81"/>
      <c r="H652"/>
    </row>
    <row r="653" spans="6:8" x14ac:dyDescent="0.3">
      <c r="F653"/>
      <c r="G653" s="81"/>
      <c r="H653"/>
    </row>
    <row r="654" spans="6:8" x14ac:dyDescent="0.3">
      <c r="F654"/>
      <c r="G654" s="81"/>
      <c r="H654"/>
    </row>
    <row r="655" spans="6:8" x14ac:dyDescent="0.3">
      <c r="F655"/>
      <c r="G655" s="81"/>
      <c r="H655"/>
    </row>
    <row r="656" spans="6:8" x14ac:dyDescent="0.3">
      <c r="F656"/>
      <c r="G656" s="81"/>
      <c r="H656"/>
    </row>
    <row r="657" spans="6:8" x14ac:dyDescent="0.3">
      <c r="F657"/>
      <c r="G657" s="81"/>
      <c r="H657"/>
    </row>
    <row r="658" spans="6:8" x14ac:dyDescent="0.3">
      <c r="F658"/>
      <c r="G658" s="81"/>
      <c r="H658"/>
    </row>
    <row r="659" spans="6:8" x14ac:dyDescent="0.3">
      <c r="F659"/>
      <c r="G659" s="81"/>
      <c r="H659"/>
    </row>
    <row r="660" spans="6:8" x14ac:dyDescent="0.3">
      <c r="F660"/>
      <c r="G660" s="81"/>
      <c r="H660"/>
    </row>
    <row r="661" spans="6:8" x14ac:dyDescent="0.3">
      <c r="F661"/>
      <c r="G661" s="81"/>
      <c r="H661"/>
    </row>
    <row r="662" spans="6:8" x14ac:dyDescent="0.3">
      <c r="F662"/>
      <c r="G662" s="81"/>
      <c r="H662"/>
    </row>
    <row r="663" spans="6:8" x14ac:dyDescent="0.3">
      <c r="F663"/>
      <c r="G663" s="81"/>
      <c r="H663"/>
    </row>
    <row r="664" spans="6:8" x14ac:dyDescent="0.3">
      <c r="F664"/>
      <c r="G664" s="81"/>
      <c r="H664"/>
    </row>
    <row r="665" spans="6:8" x14ac:dyDescent="0.3">
      <c r="F665"/>
      <c r="G665" s="81"/>
      <c r="H665"/>
    </row>
    <row r="666" spans="6:8" x14ac:dyDescent="0.3">
      <c r="F666"/>
      <c r="G666" s="81"/>
      <c r="H666"/>
    </row>
    <row r="667" spans="6:8" x14ac:dyDescent="0.3">
      <c r="F667"/>
      <c r="G667" s="81"/>
      <c r="H667"/>
    </row>
    <row r="668" spans="6:8" x14ac:dyDescent="0.3">
      <c r="F668"/>
      <c r="G668" s="81"/>
      <c r="H668"/>
    </row>
    <row r="669" spans="6:8" x14ac:dyDescent="0.3">
      <c r="F669"/>
      <c r="G669" s="81"/>
      <c r="H669"/>
    </row>
    <row r="670" spans="6:8" x14ac:dyDescent="0.3">
      <c r="F670"/>
      <c r="G670" s="81"/>
      <c r="H670"/>
    </row>
    <row r="671" spans="6:8" x14ac:dyDescent="0.3">
      <c r="F671"/>
      <c r="G671" s="81"/>
      <c r="H671"/>
    </row>
    <row r="672" spans="6:8" x14ac:dyDescent="0.3">
      <c r="F672"/>
      <c r="G672" s="81"/>
      <c r="H672"/>
    </row>
    <row r="673" spans="6:8" x14ac:dyDescent="0.3">
      <c r="F673"/>
      <c r="G673" s="81"/>
      <c r="H673"/>
    </row>
    <row r="674" spans="6:8" x14ac:dyDescent="0.3">
      <c r="F674"/>
      <c r="G674" s="81"/>
      <c r="H674"/>
    </row>
    <row r="675" spans="6:8" x14ac:dyDescent="0.3">
      <c r="F675"/>
      <c r="G675" s="81"/>
      <c r="H675"/>
    </row>
    <row r="676" spans="6:8" x14ac:dyDescent="0.3">
      <c r="F676"/>
      <c r="G676" s="81"/>
      <c r="H676"/>
    </row>
    <row r="677" spans="6:8" x14ac:dyDescent="0.3">
      <c r="F677"/>
      <c r="G677" s="81"/>
      <c r="H677"/>
    </row>
    <row r="678" spans="6:8" x14ac:dyDescent="0.3">
      <c r="F678"/>
      <c r="G678" s="81"/>
      <c r="H678"/>
    </row>
    <row r="679" spans="6:8" x14ac:dyDescent="0.3">
      <c r="F679"/>
      <c r="G679" s="81"/>
      <c r="H679"/>
    </row>
    <row r="680" spans="6:8" x14ac:dyDescent="0.3">
      <c r="F680"/>
      <c r="G680" s="81"/>
      <c r="H680"/>
    </row>
    <row r="681" spans="6:8" x14ac:dyDescent="0.3">
      <c r="F681"/>
      <c r="G681" s="81"/>
      <c r="H681"/>
    </row>
    <row r="682" spans="6:8" x14ac:dyDescent="0.3">
      <c r="F682"/>
      <c r="G682" s="81"/>
      <c r="H682"/>
    </row>
    <row r="683" spans="6:8" x14ac:dyDescent="0.3">
      <c r="F683"/>
      <c r="G683" s="81"/>
      <c r="H683"/>
    </row>
    <row r="684" spans="6:8" x14ac:dyDescent="0.3">
      <c r="F684"/>
      <c r="G684" s="81"/>
      <c r="H684"/>
    </row>
    <row r="685" spans="6:8" x14ac:dyDescent="0.3">
      <c r="F685"/>
      <c r="G685" s="81"/>
      <c r="H685"/>
    </row>
    <row r="686" spans="6:8" x14ac:dyDescent="0.3">
      <c r="F686"/>
      <c r="G686" s="81"/>
      <c r="H686"/>
    </row>
    <row r="687" spans="6:8" x14ac:dyDescent="0.3">
      <c r="F687"/>
      <c r="G687" s="81"/>
      <c r="H687"/>
    </row>
    <row r="688" spans="6:8" x14ac:dyDescent="0.3">
      <c r="F688"/>
      <c r="G688" s="81"/>
      <c r="H688"/>
    </row>
    <row r="689" spans="6:8" x14ac:dyDescent="0.3">
      <c r="F689"/>
      <c r="G689" s="81"/>
      <c r="H689"/>
    </row>
    <row r="690" spans="6:8" x14ac:dyDescent="0.3">
      <c r="F690"/>
      <c r="G690" s="81"/>
      <c r="H690"/>
    </row>
    <row r="691" spans="6:8" x14ac:dyDescent="0.3">
      <c r="F691"/>
      <c r="G691" s="81"/>
      <c r="H691"/>
    </row>
    <row r="692" spans="6:8" x14ac:dyDescent="0.3">
      <c r="F692"/>
      <c r="G692" s="81"/>
      <c r="H692"/>
    </row>
    <row r="693" spans="6:8" x14ac:dyDescent="0.3">
      <c r="F693"/>
      <c r="G693" s="81"/>
      <c r="H693"/>
    </row>
    <row r="694" spans="6:8" x14ac:dyDescent="0.3">
      <c r="F694"/>
      <c r="G694" s="81"/>
      <c r="H694"/>
    </row>
    <row r="695" spans="6:8" x14ac:dyDescent="0.3">
      <c r="F695"/>
      <c r="G695" s="81"/>
      <c r="H695"/>
    </row>
    <row r="696" spans="6:8" x14ac:dyDescent="0.3">
      <c r="F696"/>
      <c r="G696" s="81"/>
      <c r="H696"/>
    </row>
    <row r="697" spans="6:8" x14ac:dyDescent="0.3">
      <c r="F697"/>
      <c r="G697" s="81"/>
      <c r="H697"/>
    </row>
    <row r="698" spans="6:8" x14ac:dyDescent="0.3">
      <c r="F698"/>
      <c r="G698" s="81"/>
      <c r="H698"/>
    </row>
    <row r="699" spans="6:8" x14ac:dyDescent="0.3">
      <c r="F699"/>
      <c r="G699" s="81"/>
      <c r="H699"/>
    </row>
    <row r="700" spans="6:8" x14ac:dyDescent="0.3">
      <c r="F700"/>
      <c r="G700" s="81"/>
      <c r="H700"/>
    </row>
    <row r="701" spans="6:8" x14ac:dyDescent="0.3">
      <c r="F701"/>
      <c r="G701" s="81"/>
      <c r="H701"/>
    </row>
    <row r="702" spans="6:8" x14ac:dyDescent="0.3">
      <c r="F702"/>
      <c r="G702" s="81"/>
      <c r="H702"/>
    </row>
    <row r="703" spans="6:8" x14ac:dyDescent="0.3">
      <c r="F703"/>
      <c r="G703" s="81"/>
      <c r="H703"/>
    </row>
    <row r="704" spans="6:8" x14ac:dyDescent="0.3">
      <c r="F704"/>
      <c r="G704" s="81"/>
      <c r="H704"/>
    </row>
    <row r="705" spans="6:8" x14ac:dyDescent="0.3">
      <c r="F705"/>
      <c r="G705" s="81"/>
      <c r="H705"/>
    </row>
    <row r="706" spans="6:8" x14ac:dyDescent="0.3">
      <c r="F706"/>
      <c r="G706" s="81"/>
      <c r="H706"/>
    </row>
    <row r="707" spans="6:8" x14ac:dyDescent="0.3">
      <c r="F707"/>
      <c r="G707" s="81"/>
      <c r="H707"/>
    </row>
    <row r="708" spans="6:8" x14ac:dyDescent="0.3">
      <c r="F708"/>
      <c r="G708" s="81"/>
      <c r="H708"/>
    </row>
    <row r="709" spans="6:8" x14ac:dyDescent="0.3">
      <c r="F709"/>
      <c r="G709" s="81"/>
      <c r="H709"/>
    </row>
    <row r="710" spans="6:8" x14ac:dyDescent="0.3">
      <c r="F710"/>
      <c r="G710" s="81"/>
      <c r="H710"/>
    </row>
    <row r="711" spans="6:8" x14ac:dyDescent="0.3">
      <c r="F711"/>
      <c r="G711" s="81"/>
      <c r="H711"/>
    </row>
    <row r="712" spans="6:8" x14ac:dyDescent="0.3">
      <c r="F712"/>
      <c r="G712" s="81"/>
      <c r="H712"/>
    </row>
    <row r="713" spans="6:8" x14ac:dyDescent="0.3">
      <c r="F713"/>
      <c r="G713" s="81"/>
      <c r="H713"/>
    </row>
    <row r="714" spans="6:8" x14ac:dyDescent="0.3">
      <c r="F714"/>
      <c r="G714" s="81"/>
      <c r="H714"/>
    </row>
    <row r="715" spans="6:8" x14ac:dyDescent="0.3">
      <c r="F715"/>
      <c r="G715" s="81"/>
      <c r="H715"/>
    </row>
    <row r="716" spans="6:8" x14ac:dyDescent="0.3">
      <c r="F716"/>
      <c r="G716" s="81"/>
      <c r="H716"/>
    </row>
    <row r="717" spans="6:8" x14ac:dyDescent="0.3">
      <c r="F717"/>
      <c r="G717" s="81"/>
      <c r="H717"/>
    </row>
    <row r="718" spans="6:8" x14ac:dyDescent="0.3">
      <c r="F718"/>
      <c r="G718" s="81"/>
      <c r="H718"/>
    </row>
    <row r="719" spans="6:8" x14ac:dyDescent="0.3">
      <c r="F719"/>
      <c r="G719" s="81"/>
      <c r="H719"/>
    </row>
    <row r="720" spans="6:8" x14ac:dyDescent="0.3">
      <c r="F720"/>
      <c r="G720" s="81"/>
      <c r="H720"/>
    </row>
    <row r="721" spans="6:8" x14ac:dyDescent="0.3">
      <c r="F721"/>
      <c r="G721" s="81"/>
      <c r="H721"/>
    </row>
    <row r="722" spans="6:8" x14ac:dyDescent="0.3">
      <c r="F722"/>
      <c r="G722" s="81"/>
      <c r="H722"/>
    </row>
    <row r="723" spans="6:8" x14ac:dyDescent="0.3">
      <c r="F723"/>
      <c r="G723" s="81"/>
      <c r="H723"/>
    </row>
    <row r="724" spans="6:8" x14ac:dyDescent="0.3">
      <c r="F724"/>
      <c r="G724" s="81"/>
      <c r="H724"/>
    </row>
    <row r="725" spans="6:8" x14ac:dyDescent="0.3">
      <c r="F725"/>
      <c r="G725" s="81"/>
      <c r="H725"/>
    </row>
    <row r="726" spans="6:8" x14ac:dyDescent="0.3">
      <c r="F726"/>
      <c r="G726" s="81"/>
      <c r="H726"/>
    </row>
    <row r="727" spans="6:8" x14ac:dyDescent="0.3">
      <c r="F727"/>
      <c r="G727" s="81"/>
      <c r="H727"/>
    </row>
    <row r="728" spans="6:8" x14ac:dyDescent="0.3">
      <c r="F728"/>
      <c r="G728" s="81"/>
      <c r="H728"/>
    </row>
    <row r="729" spans="6:8" x14ac:dyDescent="0.3">
      <c r="F729"/>
      <c r="G729" s="81"/>
      <c r="H729"/>
    </row>
    <row r="730" spans="6:8" x14ac:dyDescent="0.3">
      <c r="F730"/>
      <c r="G730" s="81"/>
      <c r="H730"/>
    </row>
    <row r="731" spans="6:8" x14ac:dyDescent="0.3">
      <c r="F731"/>
      <c r="G731" s="81"/>
      <c r="H731"/>
    </row>
    <row r="732" spans="6:8" x14ac:dyDescent="0.3">
      <c r="F732"/>
      <c r="G732" s="81"/>
      <c r="H732"/>
    </row>
    <row r="733" spans="6:8" x14ac:dyDescent="0.3">
      <c r="F733"/>
      <c r="G733" s="81"/>
      <c r="H733"/>
    </row>
    <row r="734" spans="6:8" x14ac:dyDescent="0.3">
      <c r="F734"/>
      <c r="G734" s="81"/>
      <c r="H734"/>
    </row>
    <row r="735" spans="6:8" x14ac:dyDescent="0.3">
      <c r="F735"/>
      <c r="G735" s="81"/>
      <c r="H735"/>
    </row>
    <row r="736" spans="6:8" x14ac:dyDescent="0.3">
      <c r="F736"/>
      <c r="G736" s="81"/>
      <c r="H736"/>
    </row>
    <row r="737" spans="6:8" x14ac:dyDescent="0.3">
      <c r="F737"/>
      <c r="G737" s="81"/>
      <c r="H737"/>
    </row>
    <row r="738" spans="6:8" x14ac:dyDescent="0.3">
      <c r="F738"/>
      <c r="G738" s="81"/>
      <c r="H738"/>
    </row>
    <row r="739" spans="6:8" x14ac:dyDescent="0.3">
      <c r="F739"/>
      <c r="G739" s="81"/>
      <c r="H739"/>
    </row>
    <row r="740" spans="6:8" x14ac:dyDescent="0.3">
      <c r="F740"/>
      <c r="G740" s="81"/>
      <c r="H740"/>
    </row>
    <row r="741" spans="6:8" x14ac:dyDescent="0.3">
      <c r="F741"/>
      <c r="G741" s="81"/>
      <c r="H741"/>
    </row>
    <row r="742" spans="6:8" x14ac:dyDescent="0.3">
      <c r="F742"/>
      <c r="G742" s="81"/>
      <c r="H742"/>
    </row>
    <row r="743" spans="6:8" x14ac:dyDescent="0.3">
      <c r="F743"/>
      <c r="G743" s="81"/>
      <c r="H743"/>
    </row>
    <row r="744" spans="6:8" x14ac:dyDescent="0.3">
      <c r="F744"/>
      <c r="G744" s="81"/>
      <c r="H744"/>
    </row>
    <row r="745" spans="6:8" x14ac:dyDescent="0.3">
      <c r="F745"/>
      <c r="G745" s="81"/>
      <c r="H745"/>
    </row>
    <row r="746" spans="6:8" x14ac:dyDescent="0.3">
      <c r="F746"/>
      <c r="G746" s="81"/>
      <c r="H746"/>
    </row>
    <row r="747" spans="6:8" x14ac:dyDescent="0.3">
      <c r="F747"/>
      <c r="G747" s="81"/>
      <c r="H747"/>
    </row>
    <row r="748" spans="6:8" x14ac:dyDescent="0.3">
      <c r="F748"/>
      <c r="G748" s="81"/>
      <c r="H748"/>
    </row>
    <row r="749" spans="6:8" x14ac:dyDescent="0.3">
      <c r="F749"/>
      <c r="G749" s="81"/>
      <c r="H749"/>
    </row>
    <row r="750" spans="6:8" x14ac:dyDescent="0.3">
      <c r="F750"/>
      <c r="G750" s="81"/>
      <c r="H750"/>
    </row>
    <row r="751" spans="6:8" x14ac:dyDescent="0.3">
      <c r="F751"/>
      <c r="G751" s="81"/>
      <c r="H751"/>
    </row>
    <row r="752" spans="6:8" x14ac:dyDescent="0.3">
      <c r="F752"/>
      <c r="G752" s="81"/>
      <c r="H752"/>
    </row>
    <row r="753" spans="6:8" x14ac:dyDescent="0.3">
      <c r="F753"/>
      <c r="G753" s="81"/>
      <c r="H753"/>
    </row>
    <row r="754" spans="6:8" x14ac:dyDescent="0.3">
      <c r="F754"/>
      <c r="G754" s="81"/>
      <c r="H754"/>
    </row>
    <row r="755" spans="6:8" x14ac:dyDescent="0.3">
      <c r="F755"/>
      <c r="G755" s="81"/>
      <c r="H755"/>
    </row>
    <row r="756" spans="6:8" x14ac:dyDescent="0.3">
      <c r="F756"/>
      <c r="G756" s="81"/>
      <c r="H756"/>
    </row>
    <row r="757" spans="6:8" x14ac:dyDescent="0.3">
      <c r="F757"/>
      <c r="G757" s="81"/>
      <c r="H757"/>
    </row>
    <row r="758" spans="6:8" x14ac:dyDescent="0.3">
      <c r="F758"/>
      <c r="G758" s="81"/>
      <c r="H758"/>
    </row>
    <row r="759" spans="6:8" x14ac:dyDescent="0.3">
      <c r="F759"/>
      <c r="G759" s="81"/>
      <c r="H759"/>
    </row>
    <row r="760" spans="6:8" x14ac:dyDescent="0.3">
      <c r="F760"/>
      <c r="G760" s="81"/>
      <c r="H760"/>
    </row>
    <row r="761" spans="6:8" x14ac:dyDescent="0.3">
      <c r="F761"/>
      <c r="G761" s="81"/>
      <c r="H761"/>
    </row>
    <row r="762" spans="6:8" x14ac:dyDescent="0.3">
      <c r="F762"/>
      <c r="G762" s="81"/>
      <c r="H762"/>
    </row>
    <row r="763" spans="6:8" x14ac:dyDescent="0.3">
      <c r="F763"/>
      <c r="G763" s="81"/>
      <c r="H763"/>
    </row>
    <row r="764" spans="6:8" x14ac:dyDescent="0.3">
      <c r="F764"/>
      <c r="G764" s="81"/>
      <c r="H764"/>
    </row>
    <row r="765" spans="6:8" x14ac:dyDescent="0.3">
      <c r="F765"/>
      <c r="G765" s="81"/>
      <c r="H765"/>
    </row>
    <row r="766" spans="6:8" x14ac:dyDescent="0.3">
      <c r="F766"/>
      <c r="G766" s="81"/>
      <c r="H766"/>
    </row>
    <row r="767" spans="6:8" x14ac:dyDescent="0.3">
      <c r="F767"/>
      <c r="G767" s="81"/>
      <c r="H767"/>
    </row>
    <row r="768" spans="6:8" x14ac:dyDescent="0.3">
      <c r="F768"/>
      <c r="G768" s="81"/>
      <c r="H768"/>
    </row>
    <row r="769" spans="6:8" x14ac:dyDescent="0.3">
      <c r="F769"/>
      <c r="G769" s="81"/>
      <c r="H769"/>
    </row>
    <row r="770" spans="6:8" x14ac:dyDescent="0.3">
      <c r="F770"/>
      <c r="G770" s="81"/>
      <c r="H770"/>
    </row>
    <row r="771" spans="6:8" x14ac:dyDescent="0.3">
      <c r="F771"/>
      <c r="G771" s="81"/>
      <c r="H771"/>
    </row>
    <row r="772" spans="6:8" x14ac:dyDescent="0.3">
      <c r="F772"/>
      <c r="G772" s="81"/>
      <c r="H772"/>
    </row>
    <row r="773" spans="6:8" x14ac:dyDescent="0.3">
      <c r="F773"/>
      <c r="G773" s="81"/>
      <c r="H773"/>
    </row>
    <row r="774" spans="6:8" x14ac:dyDescent="0.3">
      <c r="F774"/>
      <c r="G774" s="81"/>
      <c r="H774"/>
    </row>
    <row r="775" spans="6:8" x14ac:dyDescent="0.3">
      <c r="F775"/>
      <c r="G775" s="81"/>
      <c r="H775"/>
    </row>
    <row r="776" spans="6:8" x14ac:dyDescent="0.3">
      <c r="F776"/>
      <c r="G776" s="81"/>
      <c r="H776"/>
    </row>
    <row r="777" spans="6:8" x14ac:dyDescent="0.3">
      <c r="F777"/>
      <c r="G777" s="81"/>
      <c r="H777"/>
    </row>
    <row r="778" spans="6:8" x14ac:dyDescent="0.3">
      <c r="F778"/>
      <c r="G778" s="81"/>
      <c r="H778"/>
    </row>
    <row r="779" spans="6:8" x14ac:dyDescent="0.3">
      <c r="F779"/>
      <c r="G779" s="81"/>
      <c r="H779"/>
    </row>
    <row r="780" spans="6:8" x14ac:dyDescent="0.3">
      <c r="F780"/>
      <c r="G780" s="81"/>
      <c r="H780"/>
    </row>
    <row r="781" spans="6:8" x14ac:dyDescent="0.3">
      <c r="F781"/>
      <c r="G781" s="81"/>
      <c r="H781"/>
    </row>
    <row r="782" spans="6:8" x14ac:dyDescent="0.3">
      <c r="F782"/>
      <c r="G782" s="81"/>
      <c r="H782"/>
    </row>
    <row r="783" spans="6:8" x14ac:dyDescent="0.3">
      <c r="F783"/>
      <c r="G783" s="81"/>
      <c r="H783"/>
    </row>
    <row r="784" spans="6:8" x14ac:dyDescent="0.3">
      <c r="F784"/>
      <c r="G784" s="81"/>
      <c r="H784"/>
    </row>
    <row r="785" spans="6:8" x14ac:dyDescent="0.3">
      <c r="F785"/>
      <c r="G785" s="81"/>
      <c r="H785"/>
    </row>
    <row r="786" spans="6:8" x14ac:dyDescent="0.3">
      <c r="F786"/>
      <c r="G786" s="81"/>
      <c r="H786"/>
    </row>
    <row r="787" spans="6:8" x14ac:dyDescent="0.3">
      <c r="F787"/>
      <c r="G787" s="81"/>
      <c r="H787"/>
    </row>
    <row r="788" spans="6:8" x14ac:dyDescent="0.3">
      <c r="F788"/>
      <c r="G788" s="81"/>
      <c r="H788"/>
    </row>
    <row r="789" spans="6:8" x14ac:dyDescent="0.3">
      <c r="F789"/>
      <c r="G789" s="81"/>
      <c r="H789"/>
    </row>
    <row r="790" spans="6:8" x14ac:dyDescent="0.3">
      <c r="F790"/>
      <c r="G790" s="81"/>
      <c r="H790"/>
    </row>
    <row r="791" spans="6:8" x14ac:dyDescent="0.3">
      <c r="F791"/>
      <c r="G791" s="81"/>
      <c r="H791"/>
    </row>
    <row r="792" spans="6:8" x14ac:dyDescent="0.3">
      <c r="F792"/>
      <c r="G792" s="81"/>
      <c r="H792"/>
    </row>
    <row r="793" spans="6:8" x14ac:dyDescent="0.3">
      <c r="F793"/>
      <c r="G793" s="81"/>
      <c r="H793"/>
    </row>
    <row r="794" spans="6:8" x14ac:dyDescent="0.3">
      <c r="F794"/>
      <c r="G794" s="81"/>
      <c r="H794"/>
    </row>
    <row r="795" spans="6:8" x14ac:dyDescent="0.3">
      <c r="F795"/>
      <c r="G795" s="81"/>
      <c r="H795"/>
    </row>
    <row r="796" spans="6:8" x14ac:dyDescent="0.3">
      <c r="F796"/>
      <c r="G796" s="81"/>
      <c r="H796"/>
    </row>
    <row r="797" spans="6:8" x14ac:dyDescent="0.3">
      <c r="F797"/>
      <c r="G797" s="81"/>
      <c r="H797"/>
    </row>
    <row r="798" spans="6:8" x14ac:dyDescent="0.3">
      <c r="F798"/>
      <c r="G798" s="81"/>
      <c r="H798"/>
    </row>
    <row r="799" spans="6:8" x14ac:dyDescent="0.3">
      <c r="F799"/>
      <c r="G799" s="81"/>
      <c r="H799"/>
    </row>
    <row r="800" spans="6:8" x14ac:dyDescent="0.3">
      <c r="F800"/>
      <c r="G800" s="81"/>
      <c r="H800"/>
    </row>
    <row r="801" spans="6:8" x14ac:dyDescent="0.3">
      <c r="F801"/>
      <c r="G801" s="81"/>
      <c r="H801"/>
    </row>
    <row r="802" spans="6:8" x14ac:dyDescent="0.3">
      <c r="F802"/>
      <c r="G802" s="81"/>
      <c r="H802"/>
    </row>
    <row r="803" spans="6:8" x14ac:dyDescent="0.3">
      <c r="F803"/>
      <c r="G803" s="81"/>
      <c r="H803"/>
    </row>
    <row r="804" spans="6:8" x14ac:dyDescent="0.3">
      <c r="F804"/>
      <c r="G804" s="81"/>
      <c r="H804"/>
    </row>
    <row r="805" spans="6:8" x14ac:dyDescent="0.3">
      <c r="F805"/>
      <c r="G805" s="81"/>
      <c r="H805"/>
    </row>
    <row r="806" spans="6:8" x14ac:dyDescent="0.3">
      <c r="F806"/>
      <c r="G806" s="81"/>
      <c r="H806"/>
    </row>
    <row r="807" spans="6:8" x14ac:dyDescent="0.3">
      <c r="F807"/>
      <c r="G807" s="81"/>
      <c r="H807"/>
    </row>
    <row r="808" spans="6:8" x14ac:dyDescent="0.3">
      <c r="F808"/>
      <c r="G808" s="81"/>
      <c r="H808"/>
    </row>
    <row r="809" spans="6:8" x14ac:dyDescent="0.3">
      <c r="F809"/>
      <c r="G809" s="81"/>
      <c r="H809"/>
    </row>
    <row r="810" spans="6:8" x14ac:dyDescent="0.3">
      <c r="F810"/>
      <c r="G810" s="81"/>
      <c r="H810"/>
    </row>
    <row r="811" spans="6:8" x14ac:dyDescent="0.3">
      <c r="F811"/>
      <c r="G811" s="81"/>
      <c r="H811"/>
    </row>
    <row r="812" spans="6:8" x14ac:dyDescent="0.3">
      <c r="F812"/>
      <c r="G812" s="81"/>
      <c r="H812"/>
    </row>
    <row r="813" spans="6:8" x14ac:dyDescent="0.3">
      <c r="F813"/>
      <c r="G813" s="81"/>
      <c r="H813"/>
    </row>
    <row r="814" spans="6:8" x14ac:dyDescent="0.3">
      <c r="F814"/>
      <c r="G814" s="81"/>
      <c r="H814"/>
    </row>
    <row r="815" spans="6:8" x14ac:dyDescent="0.3">
      <c r="F815"/>
      <c r="G815" s="81"/>
      <c r="H815"/>
    </row>
    <row r="816" spans="6:8" x14ac:dyDescent="0.3">
      <c r="F816"/>
      <c r="G816" s="81"/>
      <c r="H816"/>
    </row>
    <row r="817" spans="6:8" x14ac:dyDescent="0.3">
      <c r="F817"/>
      <c r="G817" s="81"/>
      <c r="H817"/>
    </row>
    <row r="818" spans="6:8" x14ac:dyDescent="0.3">
      <c r="F818"/>
      <c r="G818" s="81"/>
      <c r="H818"/>
    </row>
    <row r="819" spans="6:8" x14ac:dyDescent="0.3">
      <c r="F819"/>
      <c r="G819" s="81"/>
      <c r="H819"/>
    </row>
    <row r="820" spans="6:8" x14ac:dyDescent="0.3">
      <c r="F820"/>
      <c r="G820" s="81"/>
      <c r="H820"/>
    </row>
    <row r="821" spans="6:8" x14ac:dyDescent="0.3">
      <c r="F821"/>
      <c r="G821" s="81"/>
      <c r="H821"/>
    </row>
    <row r="822" spans="6:8" x14ac:dyDescent="0.3">
      <c r="F822"/>
      <c r="G822" s="81"/>
      <c r="H822"/>
    </row>
    <row r="823" spans="6:8" x14ac:dyDescent="0.3">
      <c r="F823"/>
      <c r="G823" s="81"/>
      <c r="H823"/>
    </row>
    <row r="824" spans="6:8" x14ac:dyDescent="0.3">
      <c r="F824"/>
      <c r="G824" s="81"/>
      <c r="H824"/>
    </row>
    <row r="825" spans="6:8" x14ac:dyDescent="0.3">
      <c r="F825"/>
      <c r="G825" s="81"/>
      <c r="H825"/>
    </row>
    <row r="826" spans="6:8" x14ac:dyDescent="0.3">
      <c r="F826"/>
      <c r="G826" s="81"/>
      <c r="H826"/>
    </row>
    <row r="827" spans="6:8" x14ac:dyDescent="0.3">
      <c r="F827"/>
      <c r="G827" s="81"/>
      <c r="H827"/>
    </row>
    <row r="828" spans="6:8" x14ac:dyDescent="0.3">
      <c r="F828"/>
      <c r="G828" s="81"/>
      <c r="H828"/>
    </row>
    <row r="829" spans="6:8" x14ac:dyDescent="0.3">
      <c r="F829"/>
      <c r="G829" s="81"/>
      <c r="H829"/>
    </row>
    <row r="830" spans="6:8" x14ac:dyDescent="0.3">
      <c r="F830"/>
      <c r="G830" s="81"/>
      <c r="H830"/>
    </row>
    <row r="831" spans="6:8" x14ac:dyDescent="0.3">
      <c r="F831"/>
      <c r="G831" s="81"/>
      <c r="H831"/>
    </row>
    <row r="832" spans="6:8" x14ac:dyDescent="0.3">
      <c r="F832"/>
      <c r="G832" s="81"/>
      <c r="H832"/>
    </row>
    <row r="833" spans="6:8" x14ac:dyDescent="0.3">
      <c r="F833"/>
      <c r="G833" s="81"/>
      <c r="H833"/>
    </row>
    <row r="834" spans="6:8" x14ac:dyDescent="0.3">
      <c r="F834"/>
      <c r="G834" s="81"/>
      <c r="H834"/>
    </row>
    <row r="835" spans="6:8" x14ac:dyDescent="0.3">
      <c r="F835"/>
      <c r="G835" s="81"/>
      <c r="H835"/>
    </row>
    <row r="836" spans="6:8" x14ac:dyDescent="0.3">
      <c r="F836"/>
      <c r="G836" s="81"/>
      <c r="H836"/>
    </row>
    <row r="837" spans="6:8" x14ac:dyDescent="0.3">
      <c r="F837"/>
      <c r="G837" s="81"/>
      <c r="H837"/>
    </row>
    <row r="838" spans="6:8" x14ac:dyDescent="0.3">
      <c r="F838"/>
      <c r="G838" s="81"/>
      <c r="H838"/>
    </row>
    <row r="839" spans="6:8" x14ac:dyDescent="0.3">
      <c r="F839"/>
      <c r="G839" s="81"/>
      <c r="H839"/>
    </row>
    <row r="840" spans="6:8" x14ac:dyDescent="0.3">
      <c r="F840"/>
      <c r="G840" s="81"/>
      <c r="H840"/>
    </row>
    <row r="841" spans="6:8" x14ac:dyDescent="0.3">
      <c r="F841"/>
      <c r="G841" s="81"/>
      <c r="H841"/>
    </row>
    <row r="842" spans="6:8" x14ac:dyDescent="0.3">
      <c r="F842"/>
      <c r="G842" s="81"/>
      <c r="H842"/>
    </row>
    <row r="843" spans="6:8" x14ac:dyDescent="0.3">
      <c r="F843"/>
      <c r="G843" s="81"/>
      <c r="H843"/>
    </row>
    <row r="844" spans="6:8" x14ac:dyDescent="0.3">
      <c r="F844"/>
      <c r="G844" s="81"/>
      <c r="H844"/>
    </row>
    <row r="845" spans="6:8" x14ac:dyDescent="0.3">
      <c r="F845"/>
      <c r="G845" s="81"/>
      <c r="H845"/>
    </row>
    <row r="846" spans="6:8" x14ac:dyDescent="0.3">
      <c r="F846"/>
      <c r="G846" s="81"/>
      <c r="H846"/>
    </row>
    <row r="847" spans="6:8" x14ac:dyDescent="0.3">
      <c r="F847"/>
      <c r="G847" s="81"/>
      <c r="H847"/>
    </row>
    <row r="848" spans="6:8" x14ac:dyDescent="0.3">
      <c r="F848"/>
      <c r="G848" s="81"/>
      <c r="H848"/>
    </row>
    <row r="849" spans="6:8" x14ac:dyDescent="0.3">
      <c r="F849"/>
      <c r="G849" s="81"/>
      <c r="H849"/>
    </row>
    <row r="850" spans="6:8" x14ac:dyDescent="0.3">
      <c r="F850"/>
      <c r="G850" s="81"/>
      <c r="H850"/>
    </row>
    <row r="851" spans="6:8" x14ac:dyDescent="0.3">
      <c r="F851"/>
      <c r="G851" s="81"/>
      <c r="H851"/>
    </row>
    <row r="852" spans="6:8" x14ac:dyDescent="0.3">
      <c r="F852"/>
      <c r="G852" s="81"/>
      <c r="H852"/>
    </row>
    <row r="853" spans="6:8" x14ac:dyDescent="0.3">
      <c r="F853"/>
      <c r="G853" s="81"/>
      <c r="H853"/>
    </row>
    <row r="854" spans="6:8" x14ac:dyDescent="0.3">
      <c r="F854"/>
      <c r="G854" s="81"/>
      <c r="H854"/>
    </row>
    <row r="855" spans="6:8" x14ac:dyDescent="0.3">
      <c r="F855"/>
      <c r="G855" s="81"/>
      <c r="H855"/>
    </row>
    <row r="856" spans="6:8" x14ac:dyDescent="0.3">
      <c r="F856"/>
      <c r="G856" s="81"/>
      <c r="H856"/>
    </row>
    <row r="857" spans="6:8" x14ac:dyDescent="0.3">
      <c r="F857"/>
      <c r="G857" s="81"/>
      <c r="H857"/>
    </row>
    <row r="858" spans="6:8" x14ac:dyDescent="0.3">
      <c r="F858"/>
      <c r="G858" s="81"/>
      <c r="H858"/>
    </row>
    <row r="859" spans="6:8" x14ac:dyDescent="0.3">
      <c r="F859"/>
      <c r="G859" s="81"/>
      <c r="H859"/>
    </row>
    <row r="860" spans="6:8" x14ac:dyDescent="0.3">
      <c r="F860"/>
      <c r="G860" s="81"/>
      <c r="H860"/>
    </row>
    <row r="861" spans="6:8" x14ac:dyDescent="0.3">
      <c r="F861"/>
      <c r="G861" s="81"/>
      <c r="H861"/>
    </row>
    <row r="862" spans="6:8" x14ac:dyDescent="0.3">
      <c r="F862"/>
      <c r="G862" s="81"/>
      <c r="H862"/>
    </row>
    <row r="863" spans="6:8" x14ac:dyDescent="0.3">
      <c r="F863"/>
      <c r="G863" s="81"/>
      <c r="H863"/>
    </row>
    <row r="864" spans="6:8" x14ac:dyDescent="0.3">
      <c r="F864"/>
      <c r="G864" s="81"/>
      <c r="H864"/>
    </row>
    <row r="865" spans="6:8" x14ac:dyDescent="0.3">
      <c r="F865"/>
      <c r="G865" s="81"/>
      <c r="H865"/>
    </row>
    <row r="866" spans="6:8" x14ac:dyDescent="0.3">
      <c r="F866"/>
      <c r="G866" s="81"/>
      <c r="H866"/>
    </row>
    <row r="867" spans="6:8" x14ac:dyDescent="0.3">
      <c r="F867"/>
      <c r="G867" s="81"/>
      <c r="H867"/>
    </row>
    <row r="868" spans="6:8" x14ac:dyDescent="0.3">
      <c r="F868"/>
      <c r="G868" s="81"/>
      <c r="H868"/>
    </row>
    <row r="869" spans="6:8" x14ac:dyDescent="0.3">
      <c r="F869"/>
      <c r="G869" s="81"/>
      <c r="H869"/>
    </row>
    <row r="870" spans="6:8" x14ac:dyDescent="0.3">
      <c r="F870"/>
      <c r="G870" s="81"/>
      <c r="H870"/>
    </row>
    <row r="871" spans="6:8" x14ac:dyDescent="0.3">
      <c r="F871"/>
      <c r="G871" s="81"/>
      <c r="H871"/>
    </row>
    <row r="872" spans="6:8" x14ac:dyDescent="0.3">
      <c r="F872"/>
      <c r="G872" s="81"/>
      <c r="H872"/>
    </row>
    <row r="873" spans="6:8" x14ac:dyDescent="0.3">
      <c r="F873"/>
      <c r="G873" s="81"/>
      <c r="H873"/>
    </row>
    <row r="874" spans="6:8" x14ac:dyDescent="0.3">
      <c r="F874"/>
      <c r="G874" s="81"/>
      <c r="H874"/>
    </row>
    <row r="875" spans="6:8" x14ac:dyDescent="0.3">
      <c r="F875"/>
      <c r="G875" s="81"/>
      <c r="H875"/>
    </row>
    <row r="876" spans="6:8" x14ac:dyDescent="0.3">
      <c r="F876"/>
      <c r="G876" s="81"/>
      <c r="H876"/>
    </row>
    <row r="877" spans="6:8" x14ac:dyDescent="0.3">
      <c r="F877"/>
      <c r="G877" s="81"/>
      <c r="H877"/>
    </row>
    <row r="878" spans="6:8" x14ac:dyDescent="0.3">
      <c r="F878"/>
      <c r="G878" s="81"/>
      <c r="H878"/>
    </row>
    <row r="879" spans="6:8" x14ac:dyDescent="0.3">
      <c r="F879"/>
      <c r="G879" s="81"/>
      <c r="H879"/>
    </row>
    <row r="880" spans="6:8" x14ac:dyDescent="0.3">
      <c r="F880"/>
      <c r="G880" s="81"/>
      <c r="H880"/>
    </row>
    <row r="881" spans="6:8" x14ac:dyDescent="0.3">
      <c r="F881"/>
      <c r="G881" s="81"/>
      <c r="H881"/>
    </row>
    <row r="882" spans="6:8" x14ac:dyDescent="0.3">
      <c r="F882"/>
      <c r="G882" s="81"/>
      <c r="H882"/>
    </row>
    <row r="883" spans="6:8" x14ac:dyDescent="0.3">
      <c r="F883"/>
      <c r="G883" s="81"/>
      <c r="H883"/>
    </row>
    <row r="884" spans="6:8" x14ac:dyDescent="0.3">
      <c r="F884"/>
      <c r="G884" s="81"/>
      <c r="H884"/>
    </row>
    <row r="885" spans="6:8" x14ac:dyDescent="0.3">
      <c r="F885"/>
      <c r="G885" s="81"/>
      <c r="H885"/>
    </row>
    <row r="886" spans="6:8" x14ac:dyDescent="0.3">
      <c r="F886"/>
      <c r="G886" s="81"/>
      <c r="H886"/>
    </row>
    <row r="887" spans="6:8" x14ac:dyDescent="0.3">
      <c r="F887"/>
      <c r="G887" s="81"/>
      <c r="H887"/>
    </row>
    <row r="888" spans="6:8" x14ac:dyDescent="0.3">
      <c r="F888"/>
      <c r="G888" s="81"/>
      <c r="H888"/>
    </row>
    <row r="889" spans="6:8" x14ac:dyDescent="0.3">
      <c r="F889"/>
      <c r="G889" s="81"/>
      <c r="H889"/>
    </row>
    <row r="890" spans="6:8" x14ac:dyDescent="0.3">
      <c r="F890"/>
      <c r="G890" s="81"/>
      <c r="H890"/>
    </row>
    <row r="891" spans="6:8" x14ac:dyDescent="0.3">
      <c r="F891"/>
      <c r="G891" s="81"/>
      <c r="H891"/>
    </row>
    <row r="892" spans="6:8" x14ac:dyDescent="0.3">
      <c r="F892"/>
      <c r="G892" s="81"/>
      <c r="H892"/>
    </row>
    <row r="893" spans="6:8" x14ac:dyDescent="0.3">
      <c r="F893"/>
      <c r="G893" s="81"/>
      <c r="H893"/>
    </row>
    <row r="894" spans="6:8" x14ac:dyDescent="0.3">
      <c r="F894"/>
      <c r="G894" s="81"/>
      <c r="H894"/>
    </row>
    <row r="895" spans="6:8" x14ac:dyDescent="0.3">
      <c r="F895"/>
      <c r="G895" s="81"/>
      <c r="H895"/>
    </row>
    <row r="896" spans="6:8" x14ac:dyDescent="0.3">
      <c r="F896"/>
      <c r="G896" s="81"/>
      <c r="H896"/>
    </row>
    <row r="897" spans="6:8" x14ac:dyDescent="0.3">
      <c r="F897"/>
      <c r="G897" s="81"/>
      <c r="H897"/>
    </row>
    <row r="898" spans="6:8" x14ac:dyDescent="0.3">
      <c r="F898"/>
      <c r="G898" s="81"/>
      <c r="H898"/>
    </row>
    <row r="899" spans="6:8" x14ac:dyDescent="0.3">
      <c r="F899"/>
      <c r="G899" s="81"/>
      <c r="H899"/>
    </row>
    <row r="900" spans="6:8" x14ac:dyDescent="0.3">
      <c r="F900"/>
      <c r="G900" s="81"/>
      <c r="H900"/>
    </row>
    <row r="901" spans="6:8" x14ac:dyDescent="0.3">
      <c r="F901"/>
      <c r="G901" s="81"/>
      <c r="H901"/>
    </row>
    <row r="902" spans="6:8" x14ac:dyDescent="0.3">
      <c r="F902"/>
      <c r="G902" s="81"/>
      <c r="H902"/>
    </row>
    <row r="903" spans="6:8" x14ac:dyDescent="0.3">
      <c r="F903"/>
      <c r="G903" s="81"/>
      <c r="H903"/>
    </row>
    <row r="904" spans="6:8" x14ac:dyDescent="0.3">
      <c r="F904"/>
      <c r="G904" s="81"/>
      <c r="H904"/>
    </row>
    <row r="905" spans="6:8" x14ac:dyDescent="0.3">
      <c r="F905"/>
      <c r="G905" s="81"/>
      <c r="H905"/>
    </row>
    <row r="906" spans="6:8" x14ac:dyDescent="0.3">
      <c r="F906"/>
      <c r="G906" s="81"/>
      <c r="H906"/>
    </row>
    <row r="907" spans="6:8" x14ac:dyDescent="0.3">
      <c r="F907"/>
      <c r="G907" s="81"/>
      <c r="H907"/>
    </row>
    <row r="908" spans="6:8" x14ac:dyDescent="0.3">
      <c r="F908"/>
      <c r="G908" s="81"/>
      <c r="H908"/>
    </row>
    <row r="909" spans="6:8" x14ac:dyDescent="0.3">
      <c r="F909"/>
      <c r="G909" s="81"/>
      <c r="H909"/>
    </row>
    <row r="910" spans="6:8" x14ac:dyDescent="0.3">
      <c r="F910"/>
      <c r="G910" s="81"/>
      <c r="H910"/>
    </row>
    <row r="911" spans="6:8" x14ac:dyDescent="0.3">
      <c r="F911"/>
      <c r="G911" s="81"/>
      <c r="H911"/>
    </row>
    <row r="912" spans="6:8" x14ac:dyDescent="0.3">
      <c r="F912"/>
      <c r="G912" s="81"/>
      <c r="H912"/>
    </row>
    <row r="913" spans="6:8" x14ac:dyDescent="0.3">
      <c r="F913"/>
      <c r="G913" s="81"/>
      <c r="H913"/>
    </row>
    <row r="914" spans="6:8" x14ac:dyDescent="0.3">
      <c r="F914"/>
      <c r="G914" s="81"/>
      <c r="H914"/>
    </row>
    <row r="915" spans="6:8" x14ac:dyDescent="0.3">
      <c r="F915"/>
      <c r="G915" s="81"/>
      <c r="H915"/>
    </row>
    <row r="916" spans="6:8" x14ac:dyDescent="0.3">
      <c r="F916"/>
      <c r="G916" s="81"/>
      <c r="H916"/>
    </row>
    <row r="917" spans="6:8" x14ac:dyDescent="0.3">
      <c r="F917"/>
      <c r="G917" s="81"/>
      <c r="H917"/>
    </row>
    <row r="918" spans="6:8" x14ac:dyDescent="0.3">
      <c r="F918"/>
      <c r="G918" s="81"/>
      <c r="H918"/>
    </row>
    <row r="919" spans="6:8" x14ac:dyDescent="0.3">
      <c r="F919"/>
      <c r="G919" s="81"/>
      <c r="H919"/>
    </row>
    <row r="920" spans="6:8" x14ac:dyDescent="0.3">
      <c r="F920"/>
      <c r="G920" s="81"/>
      <c r="H920"/>
    </row>
    <row r="921" spans="6:8" x14ac:dyDescent="0.3">
      <c r="F921"/>
      <c r="G921" s="81"/>
      <c r="H921"/>
    </row>
    <row r="922" spans="6:8" x14ac:dyDescent="0.3">
      <c r="F922"/>
      <c r="G922" s="81"/>
      <c r="H922"/>
    </row>
    <row r="923" spans="6:8" x14ac:dyDescent="0.3">
      <c r="F923"/>
      <c r="G923" s="81"/>
      <c r="H923"/>
    </row>
    <row r="924" spans="6:8" x14ac:dyDescent="0.3">
      <c r="F924"/>
      <c r="G924" s="81"/>
      <c r="H924"/>
    </row>
    <row r="925" spans="6:8" x14ac:dyDescent="0.3">
      <c r="F925"/>
      <c r="G925" s="81"/>
      <c r="H925"/>
    </row>
    <row r="926" spans="6:8" x14ac:dyDescent="0.3">
      <c r="F926"/>
      <c r="G926" s="81"/>
      <c r="H926"/>
    </row>
    <row r="927" spans="6:8" x14ac:dyDescent="0.3">
      <c r="F927"/>
      <c r="G927" s="81"/>
      <c r="H927"/>
    </row>
    <row r="928" spans="6:8" x14ac:dyDescent="0.3">
      <c r="F928"/>
      <c r="G928" s="81"/>
      <c r="H928"/>
    </row>
    <row r="929" spans="6:8" x14ac:dyDescent="0.3">
      <c r="F929"/>
      <c r="G929" s="81"/>
      <c r="H929"/>
    </row>
    <row r="930" spans="6:8" x14ac:dyDescent="0.3">
      <c r="F930"/>
      <c r="G930" s="81"/>
      <c r="H930"/>
    </row>
    <row r="931" spans="6:8" x14ac:dyDescent="0.3">
      <c r="F931"/>
      <c r="G931" s="81"/>
      <c r="H931"/>
    </row>
    <row r="932" spans="6:8" x14ac:dyDescent="0.3">
      <c r="F932"/>
      <c r="G932" s="81"/>
      <c r="H932"/>
    </row>
    <row r="933" spans="6:8" x14ac:dyDescent="0.3">
      <c r="F933"/>
      <c r="G933" s="81"/>
      <c r="H933"/>
    </row>
    <row r="934" spans="6:8" x14ac:dyDescent="0.3">
      <c r="F934"/>
      <c r="G934" s="81"/>
      <c r="H934"/>
    </row>
    <row r="935" spans="6:8" x14ac:dyDescent="0.3">
      <c r="F935"/>
      <c r="G935" s="81"/>
      <c r="H935"/>
    </row>
    <row r="936" spans="6:8" x14ac:dyDescent="0.3">
      <c r="F936"/>
      <c r="G936" s="81"/>
      <c r="H936"/>
    </row>
    <row r="937" spans="6:8" x14ac:dyDescent="0.3">
      <c r="F937"/>
      <c r="G937" s="81"/>
      <c r="H937"/>
    </row>
    <row r="938" spans="6:8" x14ac:dyDescent="0.3">
      <c r="F938"/>
      <c r="G938" s="81"/>
      <c r="H938"/>
    </row>
    <row r="939" spans="6:8" x14ac:dyDescent="0.3">
      <c r="F939"/>
      <c r="G939" s="81"/>
      <c r="H939"/>
    </row>
    <row r="940" spans="6:8" x14ac:dyDescent="0.3">
      <c r="F940"/>
      <c r="G940" s="81"/>
      <c r="H940"/>
    </row>
    <row r="941" spans="6:8" x14ac:dyDescent="0.3">
      <c r="F941"/>
      <c r="G941" s="81"/>
      <c r="H941"/>
    </row>
    <row r="942" spans="6:8" x14ac:dyDescent="0.3">
      <c r="F942"/>
      <c r="G942" s="81"/>
      <c r="H942"/>
    </row>
    <row r="943" spans="6:8" x14ac:dyDescent="0.3">
      <c r="F943"/>
      <c r="G943" s="81"/>
      <c r="H943"/>
    </row>
    <row r="944" spans="6:8" x14ac:dyDescent="0.3">
      <c r="F944"/>
      <c r="G944" s="81"/>
      <c r="H944"/>
    </row>
    <row r="945" spans="6:8" x14ac:dyDescent="0.3">
      <c r="F945"/>
      <c r="G945" s="81"/>
      <c r="H945"/>
    </row>
    <row r="946" spans="6:8" x14ac:dyDescent="0.3">
      <c r="F946"/>
      <c r="G946" s="81"/>
      <c r="H946"/>
    </row>
    <row r="947" spans="6:8" x14ac:dyDescent="0.3">
      <c r="F947"/>
      <c r="G947" s="81"/>
      <c r="H947"/>
    </row>
    <row r="948" spans="6:8" x14ac:dyDescent="0.3">
      <c r="F948"/>
      <c r="G948" s="81"/>
      <c r="H948"/>
    </row>
    <row r="949" spans="6:8" x14ac:dyDescent="0.3">
      <c r="F949"/>
      <c r="G949" s="81"/>
      <c r="H949"/>
    </row>
    <row r="950" spans="6:8" x14ac:dyDescent="0.3">
      <c r="F950"/>
      <c r="G950" s="81"/>
      <c r="H950"/>
    </row>
    <row r="951" spans="6:8" x14ac:dyDescent="0.3">
      <c r="F951"/>
      <c r="G951" s="81"/>
      <c r="H951"/>
    </row>
    <row r="952" spans="6:8" x14ac:dyDescent="0.3">
      <c r="F952"/>
      <c r="G952" s="81"/>
      <c r="H952"/>
    </row>
    <row r="953" spans="6:8" x14ac:dyDescent="0.3">
      <c r="F953"/>
      <c r="G953" s="81"/>
      <c r="H953"/>
    </row>
    <row r="954" spans="6:8" x14ac:dyDescent="0.3">
      <c r="F954"/>
      <c r="G954" s="81"/>
      <c r="H954"/>
    </row>
    <row r="955" spans="6:8" x14ac:dyDescent="0.3">
      <c r="F955"/>
      <c r="G955" s="81"/>
      <c r="H955"/>
    </row>
    <row r="956" spans="6:8" x14ac:dyDescent="0.3">
      <c r="F956"/>
      <c r="G956" s="81"/>
      <c r="H956"/>
    </row>
    <row r="957" spans="6:8" x14ac:dyDescent="0.3">
      <c r="F957"/>
      <c r="G957" s="81"/>
      <c r="H957"/>
    </row>
    <row r="958" spans="6:8" x14ac:dyDescent="0.3">
      <c r="F958"/>
      <c r="G958" s="81"/>
      <c r="H958"/>
    </row>
    <row r="959" spans="6:8" x14ac:dyDescent="0.3">
      <c r="F959"/>
      <c r="G959" s="81"/>
      <c r="H959"/>
    </row>
    <row r="960" spans="6:8" x14ac:dyDescent="0.3">
      <c r="F960"/>
      <c r="G960" s="81"/>
      <c r="H960"/>
    </row>
    <row r="961" spans="6:8" x14ac:dyDescent="0.3">
      <c r="F961"/>
      <c r="G961" s="81"/>
      <c r="H961"/>
    </row>
    <row r="962" spans="6:8" x14ac:dyDescent="0.3">
      <c r="F962"/>
      <c r="G962" s="81"/>
      <c r="H962"/>
    </row>
    <row r="963" spans="6:8" x14ac:dyDescent="0.3">
      <c r="F963"/>
      <c r="G963" s="81"/>
      <c r="H963"/>
    </row>
    <row r="964" spans="6:8" x14ac:dyDescent="0.3">
      <c r="F964"/>
      <c r="G964" s="81"/>
      <c r="H964"/>
    </row>
    <row r="965" spans="6:8" x14ac:dyDescent="0.3">
      <c r="F965"/>
      <c r="G965" s="81"/>
      <c r="H965"/>
    </row>
    <row r="966" spans="6:8" x14ac:dyDescent="0.3">
      <c r="F966"/>
      <c r="G966" s="81"/>
      <c r="H966"/>
    </row>
    <row r="967" spans="6:8" x14ac:dyDescent="0.3">
      <c r="F967"/>
      <c r="G967" s="81"/>
      <c r="H967"/>
    </row>
    <row r="968" spans="6:8" x14ac:dyDescent="0.3">
      <c r="F968"/>
      <c r="G968" s="81"/>
      <c r="H968"/>
    </row>
    <row r="969" spans="6:8" x14ac:dyDescent="0.3">
      <c r="F969"/>
      <c r="G969" s="81"/>
      <c r="H969"/>
    </row>
    <row r="970" spans="6:8" x14ac:dyDescent="0.3">
      <c r="F970"/>
      <c r="G970" s="81"/>
      <c r="H970"/>
    </row>
    <row r="971" spans="6:8" x14ac:dyDescent="0.3">
      <c r="F971"/>
      <c r="G971" s="81"/>
      <c r="H971"/>
    </row>
    <row r="972" spans="6:8" x14ac:dyDescent="0.3">
      <c r="F972"/>
      <c r="G972" s="81"/>
      <c r="H972"/>
    </row>
    <row r="973" spans="6:8" x14ac:dyDescent="0.3">
      <c r="F973"/>
      <c r="G973" s="81"/>
      <c r="H973"/>
    </row>
    <row r="974" spans="6:8" x14ac:dyDescent="0.3">
      <c r="F974"/>
      <c r="G974" s="81"/>
      <c r="H974"/>
    </row>
    <row r="975" spans="6:8" x14ac:dyDescent="0.3">
      <c r="F975"/>
      <c r="G975" s="81"/>
      <c r="H975"/>
    </row>
    <row r="976" spans="6:8" x14ac:dyDescent="0.3">
      <c r="F976"/>
      <c r="G976" s="81"/>
      <c r="H976"/>
    </row>
    <row r="977" spans="6:8" x14ac:dyDescent="0.3">
      <c r="F977"/>
      <c r="G977" s="81"/>
      <c r="H977"/>
    </row>
    <row r="978" spans="6:8" x14ac:dyDescent="0.3">
      <c r="F978"/>
      <c r="G978" s="81"/>
      <c r="H978"/>
    </row>
    <row r="979" spans="6:8" x14ac:dyDescent="0.3">
      <c r="F979"/>
      <c r="G979" s="81"/>
      <c r="H979"/>
    </row>
    <row r="980" spans="6:8" x14ac:dyDescent="0.3">
      <c r="F980"/>
      <c r="G980" s="81"/>
      <c r="H980"/>
    </row>
    <row r="981" spans="6:8" x14ac:dyDescent="0.3">
      <c r="F981"/>
      <c r="G981" s="81"/>
      <c r="H981"/>
    </row>
    <row r="982" spans="6:8" x14ac:dyDescent="0.3">
      <c r="F982"/>
      <c r="G982" s="81"/>
      <c r="H982"/>
    </row>
    <row r="983" spans="6:8" x14ac:dyDescent="0.3">
      <c r="F983"/>
      <c r="G983" s="81"/>
      <c r="H983"/>
    </row>
    <row r="984" spans="6:8" x14ac:dyDescent="0.3">
      <c r="F984"/>
      <c r="G984" s="81"/>
      <c r="H984"/>
    </row>
    <row r="985" spans="6:8" x14ac:dyDescent="0.3">
      <c r="F985"/>
      <c r="G985" s="81"/>
      <c r="H985"/>
    </row>
    <row r="986" spans="6:8" x14ac:dyDescent="0.3">
      <c r="F986"/>
      <c r="G986" s="81"/>
      <c r="H986"/>
    </row>
    <row r="987" spans="6:8" x14ac:dyDescent="0.3">
      <c r="F987"/>
      <c r="G987" s="81"/>
      <c r="H987"/>
    </row>
    <row r="988" spans="6:8" x14ac:dyDescent="0.3">
      <c r="F988"/>
      <c r="G988" s="81"/>
      <c r="H988"/>
    </row>
    <row r="989" spans="6:8" x14ac:dyDescent="0.3">
      <c r="F989"/>
      <c r="G989" s="81"/>
      <c r="H989"/>
    </row>
    <row r="990" spans="6:8" x14ac:dyDescent="0.3">
      <c r="F990"/>
      <c r="G990" s="81"/>
      <c r="H990"/>
    </row>
    <row r="991" spans="6:8" x14ac:dyDescent="0.3">
      <c r="F991"/>
      <c r="G991" s="81"/>
      <c r="H991"/>
    </row>
    <row r="992" spans="6:8" x14ac:dyDescent="0.3">
      <c r="F992"/>
      <c r="G992" s="81"/>
      <c r="H992"/>
    </row>
    <row r="993" spans="6:8" x14ac:dyDescent="0.3">
      <c r="F993"/>
      <c r="G993" s="81"/>
      <c r="H993"/>
    </row>
    <row r="994" spans="6:8" x14ac:dyDescent="0.3">
      <c r="F994"/>
      <c r="G994" s="81"/>
      <c r="H994"/>
    </row>
    <row r="995" spans="6:8" x14ac:dyDescent="0.3">
      <c r="F995"/>
      <c r="G995" s="81"/>
      <c r="H995"/>
    </row>
    <row r="996" spans="6:8" x14ac:dyDescent="0.3">
      <c r="F996"/>
      <c r="G996" s="81"/>
      <c r="H996"/>
    </row>
    <row r="997" spans="6:8" x14ac:dyDescent="0.3">
      <c r="F997"/>
      <c r="G997" s="81"/>
      <c r="H997"/>
    </row>
    <row r="998" spans="6:8" x14ac:dyDescent="0.3">
      <c r="F998"/>
      <c r="G998" s="81"/>
      <c r="H998"/>
    </row>
    <row r="999" spans="6:8" x14ac:dyDescent="0.3">
      <c r="F999"/>
      <c r="G999" s="81"/>
      <c r="H999"/>
    </row>
    <row r="1000" spans="6:8" x14ac:dyDescent="0.3">
      <c r="F1000"/>
      <c r="G1000" s="81"/>
      <c r="H1000"/>
    </row>
    <row r="1001" spans="6:8" x14ac:dyDescent="0.3">
      <c r="F1001"/>
      <c r="G1001" s="81"/>
      <c r="H1001"/>
    </row>
    <row r="1002" spans="6:8" x14ac:dyDescent="0.3">
      <c r="F1002"/>
      <c r="G1002" s="81"/>
      <c r="H1002"/>
    </row>
    <row r="1003" spans="6:8" x14ac:dyDescent="0.3">
      <c r="F1003"/>
      <c r="G1003" s="81"/>
      <c r="H1003"/>
    </row>
    <row r="1004" spans="6:8" x14ac:dyDescent="0.3">
      <c r="F1004"/>
      <c r="G1004" s="81"/>
      <c r="H1004"/>
    </row>
    <row r="1005" spans="6:8" x14ac:dyDescent="0.3">
      <c r="F1005"/>
      <c r="G1005" s="81"/>
      <c r="H1005"/>
    </row>
    <row r="1006" spans="6:8" x14ac:dyDescent="0.3">
      <c r="F1006"/>
      <c r="G1006" s="81"/>
      <c r="H1006"/>
    </row>
    <row r="1007" spans="6:8" x14ac:dyDescent="0.3">
      <c r="F1007"/>
      <c r="G1007" s="81"/>
      <c r="H1007"/>
    </row>
    <row r="1008" spans="6:8" x14ac:dyDescent="0.3">
      <c r="F1008"/>
      <c r="G1008" s="81"/>
      <c r="H1008"/>
    </row>
    <row r="1009" spans="6:8" x14ac:dyDescent="0.3">
      <c r="F1009"/>
      <c r="G1009" s="81"/>
      <c r="H1009"/>
    </row>
    <row r="1010" spans="6:8" x14ac:dyDescent="0.3">
      <c r="F1010"/>
      <c r="G1010" s="81"/>
      <c r="H1010"/>
    </row>
    <row r="1011" spans="6:8" x14ac:dyDescent="0.3">
      <c r="F1011"/>
      <c r="G1011" s="81"/>
      <c r="H1011"/>
    </row>
    <row r="1012" spans="6:8" x14ac:dyDescent="0.3">
      <c r="F1012"/>
      <c r="G1012" s="81"/>
      <c r="H1012"/>
    </row>
    <row r="1013" spans="6:8" x14ac:dyDescent="0.3">
      <c r="F1013"/>
      <c r="G1013" s="81"/>
      <c r="H1013"/>
    </row>
    <row r="1014" spans="6:8" x14ac:dyDescent="0.3">
      <c r="F1014"/>
      <c r="G1014" s="81"/>
      <c r="H1014"/>
    </row>
    <row r="1015" spans="6:8" x14ac:dyDescent="0.3">
      <c r="F1015"/>
      <c r="G1015" s="81"/>
      <c r="H1015"/>
    </row>
    <row r="1016" spans="6:8" x14ac:dyDescent="0.3">
      <c r="F1016"/>
      <c r="G1016" s="81"/>
      <c r="H1016"/>
    </row>
    <row r="1017" spans="6:8" x14ac:dyDescent="0.3">
      <c r="F1017"/>
      <c r="G1017" s="81"/>
      <c r="H1017"/>
    </row>
    <row r="1018" spans="6:8" x14ac:dyDescent="0.3">
      <c r="F1018"/>
      <c r="G1018" s="81"/>
      <c r="H1018"/>
    </row>
    <row r="1019" spans="6:8" x14ac:dyDescent="0.3">
      <c r="F1019"/>
      <c r="G1019" s="81"/>
      <c r="H1019"/>
    </row>
    <row r="1020" spans="6:8" x14ac:dyDescent="0.3">
      <c r="F1020"/>
      <c r="G1020" s="81"/>
      <c r="H1020"/>
    </row>
    <row r="1021" spans="6:8" x14ac:dyDescent="0.3">
      <c r="F1021"/>
      <c r="G1021" s="81"/>
      <c r="H1021"/>
    </row>
    <row r="1022" spans="6:8" x14ac:dyDescent="0.3">
      <c r="F1022"/>
      <c r="G1022" s="81"/>
      <c r="H1022"/>
    </row>
    <row r="1023" spans="6:8" x14ac:dyDescent="0.3">
      <c r="F1023"/>
      <c r="G1023" s="81"/>
      <c r="H1023"/>
    </row>
    <row r="1024" spans="6:8" x14ac:dyDescent="0.3">
      <c r="F1024"/>
      <c r="G1024" s="81"/>
      <c r="H1024"/>
    </row>
    <row r="1025" spans="6:8" x14ac:dyDescent="0.3">
      <c r="F1025"/>
      <c r="G1025" s="81"/>
      <c r="H1025"/>
    </row>
    <row r="1026" spans="6:8" x14ac:dyDescent="0.3">
      <c r="F1026"/>
      <c r="G1026" s="81"/>
      <c r="H1026"/>
    </row>
    <row r="1027" spans="6:8" x14ac:dyDescent="0.3">
      <c r="F1027"/>
      <c r="G1027" s="81"/>
      <c r="H1027"/>
    </row>
    <row r="1028" spans="6:8" x14ac:dyDescent="0.3">
      <c r="F1028"/>
      <c r="G1028" s="81"/>
      <c r="H1028"/>
    </row>
    <row r="1029" spans="6:8" x14ac:dyDescent="0.3">
      <c r="F1029"/>
      <c r="G1029" s="81"/>
      <c r="H1029"/>
    </row>
    <row r="1030" spans="6:8" x14ac:dyDescent="0.3">
      <c r="F1030"/>
      <c r="G1030" s="81"/>
      <c r="H1030"/>
    </row>
    <row r="1031" spans="6:8" x14ac:dyDescent="0.3">
      <c r="F1031"/>
      <c r="G1031" s="81"/>
      <c r="H1031"/>
    </row>
    <row r="1032" spans="6:8" x14ac:dyDescent="0.3">
      <c r="F1032"/>
      <c r="G1032" s="81"/>
      <c r="H1032"/>
    </row>
    <row r="1033" spans="6:8" x14ac:dyDescent="0.3">
      <c r="F1033"/>
      <c r="G1033" s="81"/>
      <c r="H1033"/>
    </row>
    <row r="1034" spans="6:8" x14ac:dyDescent="0.3">
      <c r="F1034"/>
      <c r="G1034" s="81"/>
      <c r="H1034"/>
    </row>
    <row r="1035" spans="6:8" x14ac:dyDescent="0.3">
      <c r="F1035"/>
      <c r="G1035" s="81"/>
      <c r="H1035"/>
    </row>
    <row r="1036" spans="6:8" x14ac:dyDescent="0.3">
      <c r="F1036"/>
      <c r="G1036" s="81"/>
      <c r="H1036"/>
    </row>
    <row r="1037" spans="6:8" x14ac:dyDescent="0.3">
      <c r="F1037"/>
      <c r="G1037" s="81"/>
      <c r="H1037"/>
    </row>
    <row r="1038" spans="6:8" x14ac:dyDescent="0.3">
      <c r="F1038"/>
      <c r="G1038" s="81"/>
      <c r="H1038"/>
    </row>
    <row r="1039" spans="6:8" x14ac:dyDescent="0.3">
      <c r="F1039"/>
      <c r="G1039" s="81"/>
      <c r="H1039"/>
    </row>
    <row r="1040" spans="6:8" x14ac:dyDescent="0.3">
      <c r="F1040"/>
      <c r="G1040" s="81"/>
      <c r="H1040"/>
    </row>
    <row r="1041" spans="6:8" x14ac:dyDescent="0.3">
      <c r="F1041"/>
      <c r="G1041" s="81"/>
      <c r="H1041"/>
    </row>
    <row r="1042" spans="6:8" x14ac:dyDescent="0.3">
      <c r="F1042"/>
      <c r="G1042" s="81"/>
      <c r="H1042"/>
    </row>
    <row r="1043" spans="6:8" x14ac:dyDescent="0.3">
      <c r="F1043"/>
      <c r="G1043" s="81"/>
      <c r="H1043"/>
    </row>
    <row r="1044" spans="6:8" x14ac:dyDescent="0.3">
      <c r="F1044"/>
      <c r="G1044" s="81"/>
      <c r="H1044"/>
    </row>
    <row r="1045" spans="6:8" x14ac:dyDescent="0.3">
      <c r="F1045"/>
      <c r="G1045" s="81"/>
      <c r="H1045"/>
    </row>
    <row r="1046" spans="6:8" x14ac:dyDescent="0.3">
      <c r="F1046"/>
      <c r="G1046" s="81"/>
      <c r="H1046"/>
    </row>
    <row r="1047" spans="6:8" x14ac:dyDescent="0.3">
      <c r="F1047"/>
      <c r="G1047" s="81"/>
      <c r="H1047"/>
    </row>
    <row r="1048" spans="6:8" x14ac:dyDescent="0.3">
      <c r="F1048"/>
      <c r="G1048" s="81"/>
      <c r="H1048"/>
    </row>
    <row r="1049" spans="6:8" x14ac:dyDescent="0.3">
      <c r="F1049"/>
      <c r="G1049" s="81"/>
      <c r="H1049"/>
    </row>
    <row r="1050" spans="6:8" x14ac:dyDescent="0.3">
      <c r="F1050"/>
      <c r="G1050" s="81"/>
      <c r="H1050"/>
    </row>
    <row r="1051" spans="6:8" x14ac:dyDescent="0.3">
      <c r="F1051"/>
      <c r="G1051" s="81"/>
      <c r="H1051"/>
    </row>
    <row r="1052" spans="6:8" x14ac:dyDescent="0.3">
      <c r="F1052"/>
      <c r="G1052" s="81"/>
      <c r="H1052"/>
    </row>
    <row r="1053" spans="6:8" x14ac:dyDescent="0.3">
      <c r="F1053"/>
      <c r="G1053" s="81"/>
      <c r="H1053"/>
    </row>
    <row r="1054" spans="6:8" x14ac:dyDescent="0.3">
      <c r="F1054"/>
      <c r="G1054" s="81"/>
      <c r="H1054"/>
    </row>
    <row r="1055" spans="6:8" x14ac:dyDescent="0.3">
      <c r="F1055"/>
      <c r="G1055" s="81"/>
      <c r="H1055"/>
    </row>
    <row r="1056" spans="6:8" x14ac:dyDescent="0.3">
      <c r="F1056"/>
      <c r="G1056" s="81"/>
      <c r="H1056"/>
    </row>
    <row r="1057" spans="6:8" x14ac:dyDescent="0.3">
      <c r="F1057"/>
      <c r="G1057" s="81"/>
      <c r="H1057"/>
    </row>
    <row r="1058" spans="6:8" x14ac:dyDescent="0.3">
      <c r="F1058"/>
      <c r="G1058" s="81"/>
      <c r="H1058"/>
    </row>
    <row r="1059" spans="6:8" x14ac:dyDescent="0.3">
      <c r="F1059"/>
      <c r="G1059" s="81"/>
      <c r="H1059"/>
    </row>
    <row r="1060" spans="6:8" x14ac:dyDescent="0.3">
      <c r="F1060"/>
      <c r="G1060" s="81"/>
      <c r="H1060"/>
    </row>
    <row r="1061" spans="6:8" x14ac:dyDescent="0.3">
      <c r="F1061"/>
      <c r="G1061" s="81"/>
      <c r="H1061"/>
    </row>
    <row r="1062" spans="6:8" x14ac:dyDescent="0.3">
      <c r="F1062"/>
      <c r="G1062" s="81"/>
      <c r="H1062"/>
    </row>
    <row r="1063" spans="6:8" x14ac:dyDescent="0.3">
      <c r="F1063"/>
      <c r="G1063" s="81"/>
      <c r="H1063"/>
    </row>
    <row r="1064" spans="6:8" x14ac:dyDescent="0.3">
      <c r="F1064"/>
      <c r="G1064" s="81"/>
      <c r="H1064"/>
    </row>
    <row r="1065" spans="6:8" x14ac:dyDescent="0.3">
      <c r="F1065"/>
      <c r="G1065" s="81"/>
      <c r="H1065"/>
    </row>
    <row r="1066" spans="6:8" x14ac:dyDescent="0.3">
      <c r="F1066"/>
      <c r="G1066" s="81"/>
      <c r="H1066"/>
    </row>
    <row r="1067" spans="6:8" x14ac:dyDescent="0.3">
      <c r="F1067"/>
      <c r="G1067" s="81"/>
      <c r="H1067"/>
    </row>
    <row r="1068" spans="6:8" x14ac:dyDescent="0.3">
      <c r="F1068"/>
      <c r="G1068" s="81"/>
      <c r="H1068"/>
    </row>
    <row r="1069" spans="6:8" x14ac:dyDescent="0.3">
      <c r="F1069"/>
      <c r="G1069" s="81"/>
      <c r="H1069"/>
    </row>
    <row r="1070" spans="6:8" x14ac:dyDescent="0.3">
      <c r="F1070"/>
      <c r="G1070" s="81"/>
      <c r="H1070"/>
    </row>
    <row r="1071" spans="6:8" x14ac:dyDescent="0.3">
      <c r="F1071"/>
      <c r="G1071" s="81"/>
      <c r="H1071"/>
    </row>
    <row r="1072" spans="6:8" x14ac:dyDescent="0.3">
      <c r="F1072"/>
      <c r="G1072" s="81"/>
      <c r="H1072"/>
    </row>
    <row r="1073" spans="6:8" x14ac:dyDescent="0.3">
      <c r="F1073"/>
      <c r="G1073" s="81"/>
      <c r="H1073"/>
    </row>
    <row r="1074" spans="6:8" x14ac:dyDescent="0.3">
      <c r="F1074"/>
      <c r="G1074" s="81"/>
      <c r="H1074"/>
    </row>
    <row r="1075" spans="6:8" x14ac:dyDescent="0.3">
      <c r="F1075"/>
      <c r="G1075" s="81"/>
      <c r="H1075"/>
    </row>
    <row r="1076" spans="6:8" x14ac:dyDescent="0.3">
      <c r="F1076"/>
      <c r="G1076" s="81"/>
      <c r="H1076"/>
    </row>
    <row r="1077" spans="6:8" x14ac:dyDescent="0.3">
      <c r="F1077"/>
      <c r="G1077" s="81"/>
      <c r="H1077"/>
    </row>
    <row r="1078" spans="6:8" x14ac:dyDescent="0.3">
      <c r="F1078"/>
      <c r="G1078" s="81"/>
      <c r="H1078"/>
    </row>
    <row r="1079" spans="6:8" x14ac:dyDescent="0.3">
      <c r="F1079"/>
      <c r="G1079" s="81"/>
      <c r="H1079"/>
    </row>
    <row r="1080" spans="6:8" x14ac:dyDescent="0.3">
      <c r="F1080"/>
      <c r="G1080" s="81"/>
      <c r="H1080"/>
    </row>
    <row r="1081" spans="6:8" x14ac:dyDescent="0.3">
      <c r="F1081"/>
      <c r="G1081" s="81"/>
      <c r="H1081"/>
    </row>
    <row r="1082" spans="6:8" x14ac:dyDescent="0.3">
      <c r="F1082"/>
      <c r="G1082" s="81"/>
      <c r="H1082"/>
    </row>
    <row r="1083" spans="6:8" x14ac:dyDescent="0.3">
      <c r="F1083"/>
      <c r="G1083" s="81"/>
      <c r="H1083"/>
    </row>
    <row r="1084" spans="6:8" x14ac:dyDescent="0.3">
      <c r="F1084"/>
      <c r="G1084" s="81"/>
      <c r="H1084"/>
    </row>
    <row r="1085" spans="6:8" x14ac:dyDescent="0.3">
      <c r="F1085"/>
      <c r="G1085" s="81"/>
      <c r="H1085"/>
    </row>
  </sheetData>
  <autoFilter ref="A1:A1085" xr:uid="{B2D97729-BE46-4F82-837E-6FB97578D302}"/>
  <mergeCells count="2">
    <mergeCell ref="A1:C1"/>
    <mergeCell ref="F1:H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5BFB-FEA3-4574-A18E-29524BA795F8}">
  <dimension ref="A1:I1085"/>
  <sheetViews>
    <sheetView topLeftCell="A10" workbookViewId="0">
      <selection activeCell="G34" sqref="G34"/>
    </sheetView>
  </sheetViews>
  <sheetFormatPr baseColWidth="10" defaultRowHeight="14.4" x14ac:dyDescent="0.3"/>
  <cols>
    <col min="3" max="3" width="14.77734375" customWidth="1"/>
    <col min="6" max="6" width="11.5546875" style="121"/>
    <col min="7" max="7" width="11.5546875" style="85"/>
    <col min="8" max="8" width="22.21875" style="121" customWidth="1"/>
  </cols>
  <sheetData>
    <row r="1" spans="1:9" x14ac:dyDescent="0.3">
      <c r="A1" s="495" t="s">
        <v>24</v>
      </c>
      <c r="B1" s="496"/>
      <c r="C1" s="497"/>
      <c r="F1" s="529" t="s">
        <v>24</v>
      </c>
      <c r="G1" s="531"/>
      <c r="H1" s="531"/>
    </row>
    <row r="2" spans="1:9" ht="28.8" x14ac:dyDescent="0.3">
      <c r="A2" s="3" t="s">
        <v>1</v>
      </c>
      <c r="B2" s="3" t="s">
        <v>2</v>
      </c>
      <c r="C2" s="3" t="s">
        <v>3</v>
      </c>
      <c r="F2" s="95" t="s">
        <v>1</v>
      </c>
      <c r="G2" s="97" t="s">
        <v>2</v>
      </c>
      <c r="H2" s="97" t="s">
        <v>3</v>
      </c>
    </row>
    <row r="3" spans="1:9" x14ac:dyDescent="0.3">
      <c r="A3" s="9">
        <v>40214</v>
      </c>
      <c r="B3" s="10">
        <v>34.17</v>
      </c>
      <c r="C3" s="10">
        <v>136.83000000000001</v>
      </c>
      <c r="F3" s="84">
        <v>40330</v>
      </c>
      <c r="G3" s="140">
        <v>33.75</v>
      </c>
      <c r="H3" s="140">
        <v>137.25</v>
      </c>
      <c r="I3">
        <f>G3+H3</f>
        <v>171</v>
      </c>
    </row>
    <row r="4" spans="1:9" x14ac:dyDescent="0.3">
      <c r="A4" s="9">
        <v>40224</v>
      </c>
      <c r="B4" s="10">
        <v>33.81</v>
      </c>
      <c r="C4" s="10">
        <v>137.19</v>
      </c>
      <c r="F4" s="84">
        <v>40513</v>
      </c>
      <c r="G4" s="140">
        <v>33.9</v>
      </c>
      <c r="H4" s="140">
        <v>137.1</v>
      </c>
      <c r="I4">
        <f t="shared" ref="I4:I34" si="0">G4+H4</f>
        <v>171</v>
      </c>
    </row>
    <row r="5" spans="1:9" x14ac:dyDescent="0.3">
      <c r="A5" s="9">
        <v>40235</v>
      </c>
      <c r="B5" s="10">
        <v>34.200000000000003</v>
      </c>
      <c r="C5" s="10">
        <v>136.80000000000001</v>
      </c>
      <c r="F5" s="84">
        <v>40695</v>
      </c>
      <c r="G5" s="140">
        <v>34.39</v>
      </c>
      <c r="H5" s="140">
        <v>136.61000000000001</v>
      </c>
      <c r="I5">
        <f t="shared" si="0"/>
        <v>171</v>
      </c>
    </row>
    <row r="6" spans="1:9" x14ac:dyDescent="0.3">
      <c r="A6" s="9">
        <v>40242</v>
      </c>
      <c r="B6" s="10">
        <v>34.799999999999997</v>
      </c>
      <c r="C6" s="10">
        <v>136.19999999999999</v>
      </c>
      <c r="F6" s="84">
        <v>40878</v>
      </c>
      <c r="G6" s="140">
        <v>34.54</v>
      </c>
      <c r="H6" s="140">
        <v>136.46</v>
      </c>
      <c r="I6">
        <f t="shared" si="0"/>
        <v>171</v>
      </c>
    </row>
    <row r="7" spans="1:9" x14ac:dyDescent="0.3">
      <c r="A7" s="9">
        <v>40287</v>
      </c>
      <c r="B7" s="10">
        <v>33.79</v>
      </c>
      <c r="C7" s="10">
        <v>137.21</v>
      </c>
      <c r="F7" s="84">
        <v>41061</v>
      </c>
      <c r="G7" s="140">
        <v>34.64</v>
      </c>
      <c r="H7" s="140">
        <v>136.36000000000001</v>
      </c>
      <c r="I7">
        <f t="shared" si="0"/>
        <v>171</v>
      </c>
    </row>
    <row r="8" spans="1:9" x14ac:dyDescent="0.3">
      <c r="A8" s="9">
        <v>40351</v>
      </c>
      <c r="B8" s="10">
        <v>33.75</v>
      </c>
      <c r="C8" s="10">
        <v>137.25</v>
      </c>
      <c r="F8" s="84">
        <v>41244</v>
      </c>
      <c r="G8" s="140">
        <v>34.74</v>
      </c>
      <c r="H8" s="140">
        <v>136.26</v>
      </c>
      <c r="I8">
        <f t="shared" si="0"/>
        <v>171</v>
      </c>
    </row>
    <row r="9" spans="1:9" x14ac:dyDescent="0.3">
      <c r="A9" s="9">
        <v>40305</v>
      </c>
      <c r="B9" s="10">
        <v>34.29</v>
      </c>
      <c r="C9" s="10">
        <v>136.71</v>
      </c>
      <c r="F9" s="84">
        <v>41426</v>
      </c>
      <c r="G9" s="140">
        <v>35.24</v>
      </c>
      <c r="H9" s="140">
        <v>135.76</v>
      </c>
      <c r="I9">
        <f t="shared" si="0"/>
        <v>171</v>
      </c>
    </row>
    <row r="10" spans="1:9" x14ac:dyDescent="0.3">
      <c r="A10" s="9">
        <v>40393</v>
      </c>
      <c r="B10" s="10">
        <v>33.840000000000003</v>
      </c>
      <c r="C10" s="10">
        <v>137.16</v>
      </c>
      <c r="F10" s="84">
        <v>41609</v>
      </c>
      <c r="G10" s="116">
        <v>35.72</v>
      </c>
      <c r="H10" s="140">
        <v>135.28</v>
      </c>
      <c r="I10">
        <f t="shared" si="0"/>
        <v>171</v>
      </c>
    </row>
    <row r="11" spans="1:9" x14ac:dyDescent="0.3">
      <c r="A11" s="9">
        <v>40417</v>
      </c>
      <c r="B11" s="10">
        <v>33.9</v>
      </c>
      <c r="C11" s="10">
        <v>137.1</v>
      </c>
      <c r="F11" s="84">
        <v>41791</v>
      </c>
      <c r="G11" s="140">
        <v>36.270000000000003</v>
      </c>
      <c r="H11" s="140">
        <v>134.72999999999999</v>
      </c>
      <c r="I11">
        <f t="shared" si="0"/>
        <v>171</v>
      </c>
    </row>
    <row r="12" spans="1:9" x14ac:dyDescent="0.3">
      <c r="A12" s="9">
        <v>40575</v>
      </c>
      <c r="B12" s="10">
        <v>33.53</v>
      </c>
      <c r="C12" s="10">
        <v>137.47</v>
      </c>
      <c r="F12" s="84">
        <v>41974</v>
      </c>
      <c r="G12" s="140">
        <v>36.97</v>
      </c>
      <c r="H12" s="140">
        <v>134.03</v>
      </c>
      <c r="I12">
        <f t="shared" si="0"/>
        <v>171</v>
      </c>
    </row>
    <row r="13" spans="1:9" x14ac:dyDescent="0.3">
      <c r="A13" s="9">
        <v>40679</v>
      </c>
      <c r="B13" s="10">
        <v>34.29</v>
      </c>
      <c r="C13" s="10">
        <v>136.71</v>
      </c>
      <c r="F13" s="84">
        <v>42156</v>
      </c>
      <c r="G13" s="140">
        <v>37.22</v>
      </c>
      <c r="H13" s="140">
        <v>133.78</v>
      </c>
      <c r="I13">
        <f t="shared" si="0"/>
        <v>171</v>
      </c>
    </row>
    <row r="14" spans="1:9" x14ac:dyDescent="0.3">
      <c r="A14" s="9">
        <v>40745</v>
      </c>
      <c r="B14" s="10">
        <v>34.39</v>
      </c>
      <c r="C14" s="10">
        <v>136.61000000000001</v>
      </c>
      <c r="F14" s="84">
        <v>42339</v>
      </c>
      <c r="G14" s="140">
        <v>37.97</v>
      </c>
      <c r="H14" s="140">
        <v>133.03</v>
      </c>
      <c r="I14">
        <f t="shared" si="0"/>
        <v>171</v>
      </c>
    </row>
    <row r="15" spans="1:9" x14ac:dyDescent="0.3">
      <c r="A15" s="9">
        <v>40777</v>
      </c>
      <c r="B15" s="10">
        <v>34.49</v>
      </c>
      <c r="C15" s="10">
        <v>136.51</v>
      </c>
      <c r="F15" s="84">
        <v>42522</v>
      </c>
      <c r="G15" s="140">
        <v>38.130000000000003</v>
      </c>
      <c r="H15" s="140">
        <v>132.87</v>
      </c>
      <c r="I15">
        <f t="shared" si="0"/>
        <v>171</v>
      </c>
    </row>
    <row r="16" spans="1:9" x14ac:dyDescent="0.3">
      <c r="A16" s="9">
        <v>40800</v>
      </c>
      <c r="B16" s="10">
        <v>34.4</v>
      </c>
      <c r="C16" s="10">
        <v>136.6</v>
      </c>
      <c r="F16" s="84">
        <v>42705</v>
      </c>
      <c r="G16" s="140">
        <v>38.979999999999997</v>
      </c>
      <c r="H16" s="140">
        <v>132.02000000000001</v>
      </c>
      <c r="I16">
        <f t="shared" si="0"/>
        <v>171</v>
      </c>
    </row>
    <row r="17" spans="1:9" x14ac:dyDescent="0.3">
      <c r="A17" s="9">
        <v>40814</v>
      </c>
      <c r="B17" s="10">
        <v>34.43</v>
      </c>
      <c r="C17" s="10">
        <v>136.57</v>
      </c>
      <c r="F17" s="84">
        <v>42887</v>
      </c>
      <c r="G17" s="140">
        <v>39.21</v>
      </c>
      <c r="H17" s="140">
        <v>131.79</v>
      </c>
      <c r="I17">
        <f t="shared" si="0"/>
        <v>171</v>
      </c>
    </row>
    <row r="18" spans="1:9" x14ac:dyDescent="0.3">
      <c r="A18" s="9">
        <v>40834</v>
      </c>
      <c r="B18" s="10">
        <v>34.450000000000003</v>
      </c>
      <c r="C18" s="10">
        <v>136.55000000000001</v>
      </c>
      <c r="F18" s="84">
        <v>43070</v>
      </c>
      <c r="G18" s="140">
        <v>39.61</v>
      </c>
      <c r="H18" s="140">
        <v>131.38999999999999</v>
      </c>
      <c r="I18">
        <f t="shared" si="0"/>
        <v>171</v>
      </c>
    </row>
    <row r="19" spans="1:9" x14ac:dyDescent="0.3">
      <c r="A19" s="9">
        <v>40864</v>
      </c>
      <c r="B19" s="10">
        <v>33.369999999999997</v>
      </c>
      <c r="C19" s="10">
        <v>137.63</v>
      </c>
      <c r="F19" s="84">
        <v>43252</v>
      </c>
      <c r="G19" s="76">
        <v>40.18</v>
      </c>
      <c r="H19" s="72"/>
      <c r="I19">
        <f t="shared" si="0"/>
        <v>40.18</v>
      </c>
    </row>
    <row r="20" spans="1:9" x14ac:dyDescent="0.3">
      <c r="A20" s="9">
        <v>40911</v>
      </c>
      <c r="B20" s="10">
        <v>34.54</v>
      </c>
      <c r="C20" s="10">
        <v>136.46</v>
      </c>
      <c r="F20" s="84">
        <v>43435</v>
      </c>
      <c r="G20" s="76">
        <v>40.659999999999997</v>
      </c>
      <c r="H20" s="72"/>
      <c r="I20">
        <f t="shared" si="0"/>
        <v>40.659999999999997</v>
      </c>
    </row>
    <row r="21" spans="1:9" x14ac:dyDescent="0.3">
      <c r="A21" s="9">
        <v>40934</v>
      </c>
      <c r="B21" s="10">
        <v>34.54</v>
      </c>
      <c r="C21" s="10">
        <v>136.46</v>
      </c>
      <c r="F21" s="84">
        <v>43617</v>
      </c>
      <c r="G21" s="76">
        <v>41.14</v>
      </c>
      <c r="H21" s="72"/>
      <c r="I21">
        <f t="shared" si="0"/>
        <v>41.14</v>
      </c>
    </row>
    <row r="22" spans="1:9" x14ac:dyDescent="0.3">
      <c r="A22" s="9">
        <v>40963</v>
      </c>
      <c r="B22" s="10">
        <v>34.6</v>
      </c>
      <c r="C22" s="10">
        <v>136.4</v>
      </c>
      <c r="F22" s="84">
        <v>43800</v>
      </c>
      <c r="G22" s="76">
        <v>41.69</v>
      </c>
      <c r="H22" s="72"/>
      <c r="I22">
        <f t="shared" si="0"/>
        <v>41.69</v>
      </c>
    </row>
    <row r="23" spans="1:9" x14ac:dyDescent="0.3">
      <c r="A23" s="9">
        <v>41059</v>
      </c>
      <c r="B23" s="10">
        <v>34.700000000000003</v>
      </c>
      <c r="C23" s="10">
        <v>136.30000000000001</v>
      </c>
      <c r="F23" s="84">
        <v>43983</v>
      </c>
      <c r="G23" s="76">
        <v>42.11</v>
      </c>
      <c r="H23" s="72"/>
      <c r="I23">
        <f t="shared" si="0"/>
        <v>42.11</v>
      </c>
    </row>
    <row r="24" spans="1:9" x14ac:dyDescent="0.3">
      <c r="A24" s="9">
        <v>41073</v>
      </c>
      <c r="B24" s="10">
        <v>34.64</v>
      </c>
      <c r="C24" s="10">
        <v>136.36000000000001</v>
      </c>
      <c r="F24" s="84">
        <v>44166</v>
      </c>
      <c r="G24" s="11">
        <v>42.76</v>
      </c>
      <c r="H24" s="72"/>
      <c r="I24">
        <f t="shared" si="0"/>
        <v>42.76</v>
      </c>
    </row>
    <row r="25" spans="1:9" x14ac:dyDescent="0.3">
      <c r="A25" s="9">
        <v>41228</v>
      </c>
      <c r="B25" s="10">
        <v>34.57</v>
      </c>
      <c r="C25" s="10">
        <v>136.43</v>
      </c>
      <c r="F25" s="84">
        <v>44348</v>
      </c>
      <c r="G25" s="11">
        <v>43.08</v>
      </c>
      <c r="H25" s="72"/>
      <c r="I25">
        <f t="shared" si="0"/>
        <v>43.08</v>
      </c>
    </row>
    <row r="26" spans="1:9" x14ac:dyDescent="0.3">
      <c r="A26" s="9">
        <v>41278</v>
      </c>
      <c r="B26" s="10">
        <v>34.74</v>
      </c>
      <c r="C26" s="10">
        <v>136.26</v>
      </c>
      <c r="F26" s="84">
        <v>44531</v>
      </c>
      <c r="G26" s="76">
        <v>43.81</v>
      </c>
      <c r="H26" s="72"/>
      <c r="I26">
        <f t="shared" si="0"/>
        <v>43.81</v>
      </c>
    </row>
    <row r="27" spans="1:9" x14ac:dyDescent="0.3">
      <c r="A27" s="9">
        <v>41368</v>
      </c>
      <c r="B27" s="10">
        <v>34.97</v>
      </c>
      <c r="C27" s="10">
        <v>136.03</v>
      </c>
      <c r="F27" s="84">
        <v>44713</v>
      </c>
      <c r="G27" s="140">
        <v>44.04</v>
      </c>
      <c r="H27" s="140">
        <v>126.96</v>
      </c>
      <c r="I27">
        <f t="shared" si="0"/>
        <v>171</v>
      </c>
    </row>
    <row r="28" spans="1:9" x14ac:dyDescent="0.3">
      <c r="A28" s="9">
        <v>41401</v>
      </c>
      <c r="B28" s="10">
        <v>35.14</v>
      </c>
      <c r="C28" s="10">
        <v>135.86000000000001</v>
      </c>
      <c r="F28" s="84">
        <v>44896</v>
      </c>
      <c r="G28" s="140">
        <v>44.86</v>
      </c>
      <c r="H28" s="140">
        <v>126.14</v>
      </c>
      <c r="I28">
        <f t="shared" si="0"/>
        <v>171</v>
      </c>
    </row>
    <row r="29" spans="1:9" x14ac:dyDescent="0.3">
      <c r="A29" s="9">
        <v>41437</v>
      </c>
      <c r="B29" s="10">
        <v>35.24</v>
      </c>
      <c r="C29" s="10">
        <v>135.76</v>
      </c>
      <c r="F29" s="84">
        <v>45078</v>
      </c>
      <c r="G29" s="150">
        <v>44.18</v>
      </c>
      <c r="H29" s="151"/>
      <c r="I29">
        <f t="shared" si="0"/>
        <v>44.18</v>
      </c>
    </row>
    <row r="30" spans="1:9" x14ac:dyDescent="0.3">
      <c r="A30" s="9">
        <v>41471</v>
      </c>
      <c r="B30" s="10">
        <v>35.31</v>
      </c>
      <c r="C30" s="10">
        <v>135.69</v>
      </c>
      <c r="F30" s="84">
        <v>45261</v>
      </c>
      <c r="G30" s="124">
        <v>44.93</v>
      </c>
      <c r="H30" s="152"/>
      <c r="I30">
        <f t="shared" si="0"/>
        <v>44.93</v>
      </c>
    </row>
    <row r="31" spans="1:9" x14ac:dyDescent="0.3">
      <c r="A31" s="9">
        <v>41506</v>
      </c>
      <c r="B31" s="10">
        <v>35.32</v>
      </c>
      <c r="C31" s="10">
        <v>135.68</v>
      </c>
      <c r="F31" s="84">
        <v>45444</v>
      </c>
      <c r="G31" s="111">
        <v>44.25</v>
      </c>
      <c r="H31" s="152"/>
      <c r="I31">
        <f t="shared" si="0"/>
        <v>44.25</v>
      </c>
    </row>
    <row r="32" spans="1:9" x14ac:dyDescent="0.3">
      <c r="A32" s="9">
        <v>41556</v>
      </c>
      <c r="B32" s="10">
        <v>35.409999999999997</v>
      </c>
      <c r="C32" s="10">
        <v>135.59</v>
      </c>
      <c r="F32" s="84">
        <v>45627</v>
      </c>
      <c r="G32" s="99">
        <v>45</v>
      </c>
      <c r="H32" s="125"/>
      <c r="I32">
        <f t="shared" si="0"/>
        <v>45</v>
      </c>
    </row>
    <row r="33" spans="1:9" x14ac:dyDescent="0.3">
      <c r="A33" s="9">
        <v>41617</v>
      </c>
      <c r="B33" s="10">
        <v>35.57</v>
      </c>
      <c r="C33" s="10">
        <v>135.43</v>
      </c>
      <c r="F33" s="84">
        <v>45809</v>
      </c>
      <c r="G33" s="101">
        <v>45.2</v>
      </c>
      <c r="H33" s="152"/>
      <c r="I33">
        <f t="shared" si="0"/>
        <v>45.2</v>
      </c>
    </row>
    <row r="34" spans="1:9" x14ac:dyDescent="0.3">
      <c r="A34" s="9">
        <v>41647</v>
      </c>
      <c r="B34" s="11">
        <v>35.72</v>
      </c>
      <c r="C34" s="10">
        <v>135.28</v>
      </c>
      <c r="F34" s="84">
        <v>45992</v>
      </c>
      <c r="G34" s="99">
        <v>45.94</v>
      </c>
      <c r="H34" s="125"/>
      <c r="I34">
        <f t="shared" si="0"/>
        <v>45.94</v>
      </c>
    </row>
    <row r="35" spans="1:9" x14ac:dyDescent="0.3">
      <c r="A35" s="9">
        <v>41683</v>
      </c>
      <c r="B35" s="10">
        <v>35.9</v>
      </c>
      <c r="C35" s="10">
        <v>135.1</v>
      </c>
      <c r="F35"/>
      <c r="G35" s="81"/>
      <c r="H35"/>
    </row>
    <row r="36" spans="1:9" x14ac:dyDescent="0.3">
      <c r="A36" s="9">
        <v>41731</v>
      </c>
      <c r="B36" s="10">
        <v>35.92</v>
      </c>
      <c r="C36" s="10">
        <v>135.08000000000001</v>
      </c>
      <c r="F36"/>
      <c r="G36" s="81"/>
      <c r="H36"/>
    </row>
    <row r="37" spans="1:9" x14ac:dyDescent="0.3">
      <c r="A37" s="9">
        <v>41764</v>
      </c>
      <c r="B37" s="10">
        <v>36.229999999999997</v>
      </c>
      <c r="C37" s="10">
        <v>134.77000000000001</v>
      </c>
      <c r="F37"/>
      <c r="G37" s="81"/>
      <c r="H37"/>
    </row>
    <row r="38" spans="1:9" x14ac:dyDescent="0.3">
      <c r="A38" s="9">
        <v>41793</v>
      </c>
      <c r="B38" s="10">
        <v>36.270000000000003</v>
      </c>
      <c r="C38" s="10">
        <v>134.72999999999999</v>
      </c>
      <c r="F38" s="115"/>
      <c r="G38" s="81"/>
      <c r="H38"/>
    </row>
    <row r="39" spans="1:9" x14ac:dyDescent="0.3">
      <c r="A39" s="9">
        <v>41830</v>
      </c>
      <c r="B39" s="10">
        <v>36.409999999999997</v>
      </c>
      <c r="C39" s="10">
        <v>134.59</v>
      </c>
      <c r="F39" s="115"/>
      <c r="G39" s="81"/>
      <c r="H39"/>
    </row>
    <row r="40" spans="1:9" x14ac:dyDescent="0.3">
      <c r="A40" s="9">
        <v>41877</v>
      </c>
      <c r="B40" s="10">
        <v>36.520000000000003</v>
      </c>
      <c r="C40" s="10">
        <v>134.47999999999999</v>
      </c>
      <c r="F40" s="115"/>
      <c r="G40" s="81"/>
      <c r="H40"/>
    </row>
    <row r="41" spans="1:9" x14ac:dyDescent="0.3">
      <c r="A41" s="9">
        <v>41906</v>
      </c>
      <c r="B41" s="10">
        <v>36.61</v>
      </c>
      <c r="C41" s="10">
        <v>134.38999999999999</v>
      </c>
      <c r="F41"/>
      <c r="G41" s="81"/>
      <c r="H41"/>
    </row>
    <row r="42" spans="1:9" x14ac:dyDescent="0.3">
      <c r="A42" s="9">
        <v>41936</v>
      </c>
      <c r="B42" s="10">
        <v>36.700000000000003</v>
      </c>
      <c r="C42" s="10">
        <v>134.30000000000001</v>
      </c>
      <c r="F42"/>
      <c r="G42" s="81"/>
      <c r="H42"/>
    </row>
    <row r="43" spans="1:9" x14ac:dyDescent="0.3">
      <c r="A43" s="9">
        <v>41976</v>
      </c>
      <c r="B43" s="10">
        <v>36.270000000000003</v>
      </c>
      <c r="C43" s="10">
        <v>134.72999999999999</v>
      </c>
      <c r="F43"/>
      <c r="G43" s="81"/>
      <c r="H43"/>
    </row>
    <row r="44" spans="1:9" x14ac:dyDescent="0.3">
      <c r="A44" s="9">
        <v>42009</v>
      </c>
      <c r="B44" s="10">
        <v>36.97</v>
      </c>
      <c r="C44" s="10">
        <v>134.03</v>
      </c>
      <c r="F44"/>
      <c r="G44" s="81"/>
      <c r="H44"/>
    </row>
    <row r="45" spans="1:9" x14ac:dyDescent="0.3">
      <c r="A45" s="9">
        <v>42107</v>
      </c>
      <c r="B45" s="10">
        <v>37.14</v>
      </c>
      <c r="C45" s="10">
        <v>133.86000000000001</v>
      </c>
      <c r="F45"/>
      <c r="G45" s="81"/>
      <c r="H45"/>
    </row>
    <row r="46" spans="1:9" x14ac:dyDescent="0.3">
      <c r="A46" s="9">
        <v>42157</v>
      </c>
      <c r="B46" s="10">
        <v>37.22</v>
      </c>
      <c r="C46" s="10">
        <v>133.78</v>
      </c>
      <c r="F46"/>
      <c r="G46" s="81"/>
      <c r="H46"/>
    </row>
    <row r="47" spans="1:9" x14ac:dyDescent="0.3">
      <c r="A47" s="9">
        <v>42221</v>
      </c>
      <c r="B47" s="10">
        <v>37.39</v>
      </c>
      <c r="C47" s="10">
        <v>133.61000000000001</v>
      </c>
      <c r="F47"/>
      <c r="G47" s="81"/>
      <c r="H47"/>
    </row>
    <row r="48" spans="1:9" x14ac:dyDescent="0.3">
      <c r="A48" s="9">
        <v>42292</v>
      </c>
      <c r="B48" s="10">
        <v>37.58</v>
      </c>
      <c r="C48" s="10">
        <v>133.41999999999999</v>
      </c>
      <c r="F48"/>
      <c r="G48" s="81"/>
      <c r="H48"/>
    </row>
    <row r="49" spans="1:8" x14ac:dyDescent="0.3">
      <c r="A49" s="9">
        <v>42353</v>
      </c>
      <c r="B49" s="10">
        <v>37.71</v>
      </c>
      <c r="C49" s="10">
        <v>133.29</v>
      </c>
      <c r="F49"/>
      <c r="G49" s="81"/>
      <c r="H49"/>
    </row>
    <row r="50" spans="1:8" x14ac:dyDescent="0.3">
      <c r="A50" s="9">
        <v>42387</v>
      </c>
      <c r="B50" s="10">
        <v>37.97</v>
      </c>
      <c r="C50" s="10">
        <v>133.03</v>
      </c>
      <c r="F50"/>
      <c r="G50" s="81"/>
      <c r="H50"/>
    </row>
    <row r="51" spans="1:8" x14ac:dyDescent="0.3">
      <c r="A51" s="9">
        <v>42429</v>
      </c>
      <c r="B51" s="10">
        <v>38.04</v>
      </c>
      <c r="C51" s="10">
        <v>132.96</v>
      </c>
      <c r="F51"/>
      <c r="G51" s="81"/>
      <c r="H51"/>
    </row>
    <row r="52" spans="1:8" x14ac:dyDescent="0.3">
      <c r="A52" s="9">
        <v>42471</v>
      </c>
      <c r="B52" s="10">
        <v>38.130000000000003</v>
      </c>
      <c r="C52" s="10">
        <v>132.87</v>
      </c>
      <c r="F52"/>
      <c r="G52" s="81"/>
      <c r="H52"/>
    </row>
    <row r="53" spans="1:8" x14ac:dyDescent="0.3">
      <c r="A53" s="9">
        <v>42591</v>
      </c>
      <c r="B53" s="10">
        <v>38.340000000000003</v>
      </c>
      <c r="C53" s="10">
        <v>132.66</v>
      </c>
      <c r="F53"/>
      <c r="G53" s="81"/>
      <c r="H53"/>
    </row>
    <row r="54" spans="1:8" x14ac:dyDescent="0.3">
      <c r="A54" s="9">
        <v>42702</v>
      </c>
      <c r="B54" s="10">
        <v>38.729999999999997</v>
      </c>
      <c r="C54" s="10">
        <v>132.27000000000001</v>
      </c>
      <c r="F54"/>
      <c r="G54" s="81"/>
      <c r="H54"/>
    </row>
    <row r="55" spans="1:8" x14ac:dyDescent="0.3">
      <c r="A55" s="9">
        <v>42774</v>
      </c>
      <c r="B55" s="10">
        <v>38.979999999999997</v>
      </c>
      <c r="C55" s="10">
        <v>132.02000000000001</v>
      </c>
      <c r="F55"/>
      <c r="G55" s="81"/>
      <c r="H55"/>
    </row>
    <row r="56" spans="1:8" x14ac:dyDescent="0.3">
      <c r="A56" s="9">
        <v>42865</v>
      </c>
      <c r="B56" s="10">
        <v>39.130000000000003</v>
      </c>
      <c r="C56" s="10">
        <v>131.87</v>
      </c>
      <c r="F56"/>
      <c r="G56" s="81"/>
      <c r="H56"/>
    </row>
    <row r="57" spans="1:8" x14ac:dyDescent="0.3">
      <c r="A57" s="9">
        <v>42887</v>
      </c>
      <c r="B57" s="10">
        <v>39.21</v>
      </c>
      <c r="C57" s="10">
        <v>131.79</v>
      </c>
      <c r="F57"/>
      <c r="G57" s="81"/>
      <c r="H57"/>
    </row>
    <row r="58" spans="1:8" x14ac:dyDescent="0.3">
      <c r="A58" s="9">
        <v>42955</v>
      </c>
      <c r="B58" s="10">
        <v>39.17</v>
      </c>
      <c r="C58" s="10">
        <v>131.83000000000001</v>
      </c>
      <c r="F58"/>
      <c r="G58" s="81"/>
      <c r="H58"/>
    </row>
    <row r="59" spans="1:8" x14ac:dyDescent="0.3">
      <c r="A59" s="69">
        <v>43048</v>
      </c>
      <c r="B59" s="10">
        <v>39.61</v>
      </c>
      <c r="C59" s="10">
        <v>131.38999999999999</v>
      </c>
      <c r="F59"/>
      <c r="G59" s="81"/>
      <c r="H59"/>
    </row>
    <row r="60" spans="1:8" x14ac:dyDescent="0.3">
      <c r="A60" s="69">
        <v>44600</v>
      </c>
      <c r="B60" s="10">
        <v>43.57</v>
      </c>
      <c r="C60" s="10">
        <v>127.43</v>
      </c>
      <c r="F60"/>
      <c r="G60" s="81"/>
      <c r="H60"/>
    </row>
    <row r="61" spans="1:8" x14ac:dyDescent="0.3">
      <c r="A61" s="69">
        <v>44785</v>
      </c>
      <c r="B61" s="10">
        <v>44.04</v>
      </c>
      <c r="C61" s="10">
        <v>126.96</v>
      </c>
      <c r="F61"/>
      <c r="G61" s="81"/>
      <c r="H61"/>
    </row>
    <row r="62" spans="1:8" x14ac:dyDescent="0.3">
      <c r="A62" s="69">
        <v>44844</v>
      </c>
      <c r="B62" s="10">
        <v>44.86</v>
      </c>
      <c r="C62" s="10">
        <v>126.14</v>
      </c>
      <c r="F62"/>
      <c r="G62" s="81"/>
      <c r="H62"/>
    </row>
    <row r="63" spans="1:8" x14ac:dyDescent="0.3">
      <c r="A63" s="88">
        <v>45575</v>
      </c>
      <c r="B63" s="94">
        <v>45</v>
      </c>
      <c r="F63"/>
      <c r="G63" s="81"/>
      <c r="H63"/>
    </row>
    <row r="64" spans="1:8" x14ac:dyDescent="0.3">
      <c r="A64" s="88">
        <v>45972</v>
      </c>
      <c r="B64" s="94">
        <v>45.94</v>
      </c>
      <c r="F64"/>
      <c r="G64" s="81"/>
      <c r="H64"/>
    </row>
    <row r="65" spans="6:8" x14ac:dyDescent="0.3">
      <c r="F65"/>
      <c r="G65" s="81"/>
      <c r="H65"/>
    </row>
    <row r="66" spans="6:8" x14ac:dyDescent="0.3">
      <c r="F66"/>
      <c r="G66" s="81"/>
      <c r="H66"/>
    </row>
    <row r="67" spans="6:8" x14ac:dyDescent="0.3">
      <c r="F67"/>
      <c r="G67" s="81"/>
      <c r="H67"/>
    </row>
    <row r="68" spans="6:8" x14ac:dyDescent="0.3">
      <c r="F68"/>
      <c r="G68" s="81"/>
      <c r="H68"/>
    </row>
    <row r="69" spans="6:8" x14ac:dyDescent="0.3">
      <c r="F69"/>
      <c r="G69" s="81"/>
      <c r="H69"/>
    </row>
    <row r="70" spans="6:8" x14ac:dyDescent="0.3">
      <c r="F70"/>
      <c r="G70" s="81"/>
      <c r="H70"/>
    </row>
    <row r="71" spans="6:8" x14ac:dyDescent="0.3">
      <c r="F71"/>
      <c r="G71" s="81"/>
      <c r="H71"/>
    </row>
    <row r="72" spans="6:8" x14ac:dyDescent="0.3">
      <c r="F72"/>
      <c r="G72" s="81"/>
      <c r="H72"/>
    </row>
    <row r="73" spans="6:8" x14ac:dyDescent="0.3">
      <c r="F73"/>
      <c r="G73" s="81"/>
      <c r="H73"/>
    </row>
    <row r="74" spans="6:8" x14ac:dyDescent="0.3">
      <c r="F74"/>
      <c r="G74" s="81"/>
      <c r="H74"/>
    </row>
    <row r="75" spans="6:8" x14ac:dyDescent="0.3">
      <c r="F75"/>
      <c r="G75" s="81"/>
      <c r="H75"/>
    </row>
    <row r="76" spans="6:8" x14ac:dyDescent="0.3">
      <c r="F76"/>
      <c r="G76" s="81"/>
      <c r="H76"/>
    </row>
    <row r="77" spans="6:8" x14ac:dyDescent="0.3">
      <c r="F77"/>
      <c r="G77" s="81"/>
      <c r="H77"/>
    </row>
    <row r="78" spans="6:8" x14ac:dyDescent="0.3">
      <c r="F78"/>
      <c r="G78" s="81"/>
      <c r="H78"/>
    </row>
    <row r="79" spans="6:8" x14ac:dyDescent="0.3">
      <c r="F79"/>
      <c r="G79" s="81"/>
      <c r="H79"/>
    </row>
    <row r="80" spans="6:8" x14ac:dyDescent="0.3">
      <c r="F80"/>
      <c r="G80" s="81"/>
      <c r="H80"/>
    </row>
    <row r="81" spans="6:8" x14ac:dyDescent="0.3">
      <c r="F81"/>
      <c r="G81" s="81"/>
      <c r="H81"/>
    </row>
    <row r="82" spans="6:8" x14ac:dyDescent="0.3">
      <c r="F82"/>
      <c r="G82" s="81"/>
      <c r="H82"/>
    </row>
    <row r="83" spans="6:8" x14ac:dyDescent="0.3">
      <c r="F83"/>
      <c r="G83" s="81"/>
      <c r="H83"/>
    </row>
    <row r="84" spans="6:8" x14ac:dyDescent="0.3">
      <c r="F84"/>
      <c r="G84" s="81"/>
      <c r="H84"/>
    </row>
    <row r="85" spans="6:8" x14ac:dyDescent="0.3">
      <c r="F85"/>
      <c r="G85" s="81"/>
      <c r="H85"/>
    </row>
    <row r="86" spans="6:8" x14ac:dyDescent="0.3">
      <c r="F86"/>
      <c r="G86" s="81"/>
      <c r="H86"/>
    </row>
    <row r="87" spans="6:8" x14ac:dyDescent="0.3">
      <c r="F87"/>
      <c r="G87" s="81"/>
      <c r="H87"/>
    </row>
    <row r="88" spans="6:8" x14ac:dyDescent="0.3">
      <c r="F88"/>
      <c r="G88" s="81"/>
      <c r="H88"/>
    </row>
    <row r="89" spans="6:8" x14ac:dyDescent="0.3">
      <c r="F89"/>
      <c r="G89" s="81"/>
      <c r="H89"/>
    </row>
    <row r="90" spans="6:8" x14ac:dyDescent="0.3">
      <c r="F90"/>
      <c r="G90" s="81"/>
      <c r="H90"/>
    </row>
    <row r="91" spans="6:8" x14ac:dyDescent="0.3">
      <c r="F91"/>
      <c r="G91" s="81"/>
      <c r="H91"/>
    </row>
    <row r="92" spans="6:8" x14ac:dyDescent="0.3">
      <c r="F92"/>
      <c r="G92" s="81"/>
      <c r="H92"/>
    </row>
    <row r="93" spans="6:8" x14ac:dyDescent="0.3">
      <c r="F93"/>
      <c r="G93" s="81"/>
      <c r="H93"/>
    </row>
    <row r="94" spans="6:8" x14ac:dyDescent="0.3">
      <c r="F94"/>
      <c r="G94" s="81"/>
      <c r="H94"/>
    </row>
    <row r="95" spans="6:8" x14ac:dyDescent="0.3">
      <c r="F95"/>
      <c r="G95" s="81"/>
      <c r="H95"/>
    </row>
    <row r="96" spans="6:8" x14ac:dyDescent="0.3">
      <c r="F96"/>
      <c r="G96" s="81"/>
      <c r="H96"/>
    </row>
    <row r="97" spans="6:8" x14ac:dyDescent="0.3">
      <c r="F97"/>
      <c r="G97" s="81"/>
      <c r="H97"/>
    </row>
    <row r="98" spans="6:8" x14ac:dyDescent="0.3">
      <c r="F98"/>
      <c r="G98" s="81"/>
      <c r="H98"/>
    </row>
    <row r="99" spans="6:8" x14ac:dyDescent="0.3">
      <c r="F99"/>
      <c r="G99" s="81"/>
      <c r="H99"/>
    </row>
    <row r="100" spans="6:8" x14ac:dyDescent="0.3">
      <c r="F100"/>
      <c r="G100" s="81"/>
      <c r="H100"/>
    </row>
    <row r="101" spans="6:8" x14ac:dyDescent="0.3">
      <c r="F101"/>
      <c r="G101" s="81"/>
      <c r="H101"/>
    </row>
    <row r="102" spans="6:8" x14ac:dyDescent="0.3">
      <c r="F102"/>
      <c r="G102" s="81"/>
      <c r="H102"/>
    </row>
    <row r="103" spans="6:8" x14ac:dyDescent="0.3">
      <c r="F103"/>
      <c r="G103" s="81"/>
      <c r="H103"/>
    </row>
    <row r="104" spans="6:8" x14ac:dyDescent="0.3">
      <c r="F104"/>
      <c r="G104" s="81"/>
      <c r="H104"/>
    </row>
    <row r="105" spans="6:8" x14ac:dyDescent="0.3">
      <c r="F105"/>
      <c r="G105" s="81"/>
      <c r="H105"/>
    </row>
    <row r="106" spans="6:8" x14ac:dyDescent="0.3">
      <c r="F106"/>
      <c r="G106" s="81"/>
      <c r="H106"/>
    </row>
    <row r="107" spans="6:8" x14ac:dyDescent="0.3">
      <c r="F107"/>
      <c r="G107" s="81"/>
      <c r="H107"/>
    </row>
    <row r="108" spans="6:8" x14ac:dyDescent="0.3">
      <c r="F108"/>
      <c r="G108" s="81"/>
      <c r="H108"/>
    </row>
    <row r="109" spans="6:8" x14ac:dyDescent="0.3">
      <c r="F109"/>
      <c r="G109" s="81"/>
      <c r="H109"/>
    </row>
    <row r="110" spans="6:8" x14ac:dyDescent="0.3">
      <c r="F110"/>
      <c r="G110" s="81"/>
      <c r="H110"/>
    </row>
    <row r="111" spans="6:8" x14ac:dyDescent="0.3">
      <c r="F111"/>
      <c r="G111" s="81"/>
      <c r="H111"/>
    </row>
    <row r="112" spans="6:8" x14ac:dyDescent="0.3">
      <c r="F112"/>
      <c r="G112" s="81"/>
      <c r="H112"/>
    </row>
    <row r="113" spans="6:8" x14ac:dyDescent="0.3">
      <c r="F113"/>
      <c r="G113" s="81"/>
      <c r="H113"/>
    </row>
    <row r="114" spans="6:8" x14ac:dyDescent="0.3">
      <c r="F114"/>
      <c r="G114" s="81"/>
      <c r="H114"/>
    </row>
    <row r="115" spans="6:8" x14ac:dyDescent="0.3">
      <c r="F115"/>
      <c r="G115" s="81"/>
      <c r="H115"/>
    </row>
    <row r="116" spans="6:8" x14ac:dyDescent="0.3">
      <c r="F116"/>
      <c r="G116" s="81"/>
      <c r="H116"/>
    </row>
    <row r="117" spans="6:8" x14ac:dyDescent="0.3">
      <c r="F117"/>
      <c r="G117" s="81"/>
      <c r="H117"/>
    </row>
    <row r="118" spans="6:8" x14ac:dyDescent="0.3">
      <c r="F118"/>
      <c r="G118" s="81"/>
      <c r="H118"/>
    </row>
    <row r="119" spans="6:8" x14ac:dyDescent="0.3">
      <c r="F119"/>
      <c r="G119" s="81"/>
      <c r="H119"/>
    </row>
    <row r="120" spans="6:8" x14ac:dyDescent="0.3">
      <c r="F120"/>
      <c r="G120" s="81"/>
      <c r="H120"/>
    </row>
    <row r="121" spans="6:8" x14ac:dyDescent="0.3">
      <c r="F121"/>
      <c r="G121" s="81"/>
      <c r="H121"/>
    </row>
    <row r="122" spans="6:8" x14ac:dyDescent="0.3">
      <c r="F122"/>
      <c r="G122" s="81"/>
      <c r="H122"/>
    </row>
    <row r="123" spans="6:8" x14ac:dyDescent="0.3">
      <c r="F123"/>
      <c r="G123" s="81"/>
      <c r="H123"/>
    </row>
    <row r="124" spans="6:8" x14ac:dyDescent="0.3">
      <c r="F124"/>
      <c r="G124" s="81"/>
      <c r="H124"/>
    </row>
    <row r="125" spans="6:8" x14ac:dyDescent="0.3">
      <c r="F125"/>
      <c r="G125" s="81"/>
      <c r="H125"/>
    </row>
    <row r="126" spans="6:8" x14ac:dyDescent="0.3">
      <c r="F126"/>
      <c r="G126" s="81"/>
      <c r="H126"/>
    </row>
    <row r="127" spans="6:8" x14ac:dyDescent="0.3">
      <c r="F127"/>
      <c r="G127" s="81"/>
      <c r="H127"/>
    </row>
    <row r="128" spans="6:8" x14ac:dyDescent="0.3">
      <c r="F128"/>
      <c r="G128" s="81"/>
      <c r="H128"/>
    </row>
    <row r="129" spans="6:8" x14ac:dyDescent="0.3">
      <c r="F129"/>
      <c r="G129" s="81"/>
      <c r="H129"/>
    </row>
    <row r="130" spans="6:8" x14ac:dyDescent="0.3">
      <c r="F130"/>
      <c r="G130" s="81"/>
      <c r="H130"/>
    </row>
    <row r="131" spans="6:8" x14ac:dyDescent="0.3">
      <c r="F131"/>
      <c r="G131" s="81"/>
      <c r="H131"/>
    </row>
    <row r="132" spans="6:8" x14ac:dyDescent="0.3">
      <c r="F132"/>
      <c r="G132" s="81"/>
      <c r="H132"/>
    </row>
    <row r="133" spans="6:8" x14ac:dyDescent="0.3">
      <c r="F133"/>
      <c r="G133" s="81"/>
      <c r="H133"/>
    </row>
    <row r="134" spans="6:8" x14ac:dyDescent="0.3">
      <c r="F134"/>
      <c r="G134" s="81"/>
      <c r="H134"/>
    </row>
    <row r="135" spans="6:8" x14ac:dyDescent="0.3">
      <c r="F135"/>
      <c r="G135" s="81"/>
      <c r="H135"/>
    </row>
    <row r="136" spans="6:8" x14ac:dyDescent="0.3">
      <c r="F136"/>
      <c r="G136" s="81"/>
      <c r="H136"/>
    </row>
    <row r="137" spans="6:8" x14ac:dyDescent="0.3">
      <c r="F137"/>
      <c r="G137" s="81"/>
      <c r="H137"/>
    </row>
    <row r="138" spans="6:8" x14ac:dyDescent="0.3">
      <c r="F138"/>
      <c r="G138" s="81"/>
      <c r="H138"/>
    </row>
    <row r="139" spans="6:8" x14ac:dyDescent="0.3">
      <c r="F139"/>
      <c r="G139" s="81"/>
      <c r="H139"/>
    </row>
    <row r="140" spans="6:8" x14ac:dyDescent="0.3">
      <c r="F140"/>
      <c r="G140" s="81"/>
      <c r="H140"/>
    </row>
    <row r="141" spans="6:8" x14ac:dyDescent="0.3">
      <c r="F141"/>
      <c r="G141" s="81"/>
      <c r="H141"/>
    </row>
    <row r="142" spans="6:8" x14ac:dyDescent="0.3">
      <c r="F142"/>
      <c r="G142" s="81"/>
      <c r="H142"/>
    </row>
    <row r="143" spans="6:8" x14ac:dyDescent="0.3">
      <c r="F143"/>
      <c r="G143" s="81"/>
      <c r="H143"/>
    </row>
    <row r="144" spans="6:8" x14ac:dyDescent="0.3">
      <c r="F144"/>
      <c r="G144" s="81"/>
      <c r="H144"/>
    </row>
    <row r="145" spans="6:8" x14ac:dyDescent="0.3">
      <c r="F145"/>
      <c r="G145" s="81"/>
      <c r="H145"/>
    </row>
    <row r="146" spans="6:8" x14ac:dyDescent="0.3">
      <c r="F146"/>
      <c r="G146" s="81"/>
      <c r="H146"/>
    </row>
    <row r="147" spans="6:8" x14ac:dyDescent="0.3">
      <c r="F147"/>
      <c r="G147" s="81"/>
      <c r="H147"/>
    </row>
    <row r="148" spans="6:8" x14ac:dyDescent="0.3">
      <c r="F148"/>
      <c r="G148" s="81"/>
      <c r="H148"/>
    </row>
    <row r="149" spans="6:8" x14ac:dyDescent="0.3">
      <c r="F149"/>
      <c r="G149" s="81"/>
      <c r="H149"/>
    </row>
    <row r="150" spans="6:8" x14ac:dyDescent="0.3">
      <c r="F150"/>
      <c r="G150" s="81"/>
      <c r="H150"/>
    </row>
    <row r="151" spans="6:8" x14ac:dyDescent="0.3">
      <c r="F151"/>
      <c r="G151" s="81"/>
      <c r="H151"/>
    </row>
    <row r="152" spans="6:8" x14ac:dyDescent="0.3">
      <c r="F152"/>
      <c r="G152" s="81"/>
      <c r="H152"/>
    </row>
    <row r="153" spans="6:8" x14ac:dyDescent="0.3">
      <c r="F153"/>
      <c r="G153" s="81"/>
      <c r="H153"/>
    </row>
    <row r="154" spans="6:8" x14ac:dyDescent="0.3">
      <c r="F154"/>
      <c r="G154" s="81"/>
      <c r="H154"/>
    </row>
    <row r="155" spans="6:8" x14ac:dyDescent="0.3">
      <c r="F155"/>
      <c r="G155" s="81"/>
      <c r="H155"/>
    </row>
    <row r="156" spans="6:8" x14ac:dyDescent="0.3">
      <c r="F156"/>
      <c r="G156" s="81"/>
      <c r="H156"/>
    </row>
    <row r="157" spans="6:8" x14ac:dyDescent="0.3">
      <c r="F157"/>
      <c r="G157" s="81"/>
      <c r="H157"/>
    </row>
    <row r="158" spans="6:8" x14ac:dyDescent="0.3">
      <c r="F158"/>
      <c r="G158" s="81"/>
      <c r="H158"/>
    </row>
    <row r="159" spans="6:8" x14ac:dyDescent="0.3">
      <c r="F159"/>
      <c r="G159" s="81"/>
      <c r="H159"/>
    </row>
    <row r="160" spans="6:8" x14ac:dyDescent="0.3">
      <c r="F160"/>
      <c r="G160" s="81"/>
      <c r="H160"/>
    </row>
    <row r="161" spans="6:8" x14ac:dyDescent="0.3">
      <c r="F161"/>
      <c r="G161" s="81"/>
      <c r="H161"/>
    </row>
    <row r="162" spans="6:8" x14ac:dyDescent="0.3">
      <c r="F162"/>
      <c r="G162" s="81"/>
      <c r="H162"/>
    </row>
    <row r="163" spans="6:8" x14ac:dyDescent="0.3">
      <c r="F163"/>
      <c r="G163" s="81"/>
      <c r="H163"/>
    </row>
    <row r="164" spans="6:8" x14ac:dyDescent="0.3">
      <c r="F164"/>
      <c r="G164" s="81"/>
      <c r="H164"/>
    </row>
    <row r="165" spans="6:8" x14ac:dyDescent="0.3">
      <c r="F165"/>
      <c r="G165" s="81"/>
      <c r="H165"/>
    </row>
    <row r="166" spans="6:8" x14ac:dyDescent="0.3">
      <c r="F166"/>
      <c r="G166" s="81"/>
      <c r="H166"/>
    </row>
    <row r="167" spans="6:8" x14ac:dyDescent="0.3">
      <c r="F167"/>
      <c r="G167" s="81"/>
      <c r="H167"/>
    </row>
    <row r="168" spans="6:8" x14ac:dyDescent="0.3">
      <c r="F168"/>
      <c r="G168" s="81"/>
      <c r="H168"/>
    </row>
    <row r="169" spans="6:8" x14ac:dyDescent="0.3">
      <c r="F169"/>
      <c r="G169" s="81"/>
      <c r="H169"/>
    </row>
    <row r="170" spans="6:8" x14ac:dyDescent="0.3">
      <c r="F170"/>
      <c r="G170" s="81"/>
      <c r="H170"/>
    </row>
    <row r="171" spans="6:8" x14ac:dyDescent="0.3">
      <c r="F171"/>
      <c r="G171" s="81"/>
      <c r="H171"/>
    </row>
    <row r="172" spans="6:8" x14ac:dyDescent="0.3">
      <c r="F172"/>
      <c r="G172" s="81"/>
      <c r="H172"/>
    </row>
    <row r="173" spans="6:8" x14ac:dyDescent="0.3">
      <c r="F173"/>
      <c r="G173" s="81"/>
      <c r="H173"/>
    </row>
    <row r="174" spans="6:8" x14ac:dyDescent="0.3">
      <c r="F174"/>
      <c r="G174" s="81"/>
      <c r="H174"/>
    </row>
    <row r="175" spans="6:8" x14ac:dyDescent="0.3">
      <c r="F175"/>
      <c r="G175" s="81"/>
      <c r="H175"/>
    </row>
    <row r="176" spans="6:8" x14ac:dyDescent="0.3">
      <c r="F176"/>
      <c r="G176" s="81"/>
      <c r="H176"/>
    </row>
    <row r="177" spans="6:8" x14ac:dyDescent="0.3">
      <c r="F177"/>
      <c r="G177" s="81"/>
      <c r="H177"/>
    </row>
    <row r="178" spans="6:8" x14ac:dyDescent="0.3">
      <c r="F178"/>
      <c r="G178" s="81"/>
      <c r="H178"/>
    </row>
    <row r="179" spans="6:8" x14ac:dyDescent="0.3">
      <c r="F179"/>
      <c r="G179" s="81"/>
      <c r="H179"/>
    </row>
    <row r="180" spans="6:8" x14ac:dyDescent="0.3">
      <c r="F180"/>
      <c r="G180" s="81"/>
      <c r="H180"/>
    </row>
    <row r="181" spans="6:8" x14ac:dyDescent="0.3">
      <c r="F181"/>
      <c r="G181" s="81"/>
      <c r="H181"/>
    </row>
    <row r="182" spans="6:8" x14ac:dyDescent="0.3">
      <c r="F182"/>
      <c r="G182" s="81"/>
      <c r="H182"/>
    </row>
    <row r="183" spans="6:8" x14ac:dyDescent="0.3">
      <c r="F183"/>
      <c r="G183" s="81"/>
      <c r="H183"/>
    </row>
    <row r="184" spans="6:8" x14ac:dyDescent="0.3">
      <c r="F184"/>
      <c r="G184" s="81"/>
      <c r="H184"/>
    </row>
    <row r="185" spans="6:8" x14ac:dyDescent="0.3">
      <c r="F185"/>
      <c r="G185" s="81"/>
      <c r="H185"/>
    </row>
    <row r="186" spans="6:8" x14ac:dyDescent="0.3">
      <c r="F186"/>
      <c r="G186" s="81"/>
      <c r="H186"/>
    </row>
    <row r="187" spans="6:8" x14ac:dyDescent="0.3">
      <c r="F187"/>
      <c r="G187" s="81"/>
      <c r="H187"/>
    </row>
    <row r="188" spans="6:8" x14ac:dyDescent="0.3">
      <c r="F188"/>
      <c r="G188" s="81"/>
      <c r="H188"/>
    </row>
    <row r="189" spans="6:8" x14ac:dyDescent="0.3">
      <c r="F189"/>
      <c r="G189" s="81"/>
      <c r="H189"/>
    </row>
    <row r="190" spans="6:8" x14ac:dyDescent="0.3">
      <c r="F190"/>
      <c r="G190" s="81"/>
      <c r="H190"/>
    </row>
    <row r="191" spans="6:8" x14ac:dyDescent="0.3">
      <c r="F191"/>
      <c r="G191" s="81"/>
      <c r="H191"/>
    </row>
    <row r="192" spans="6:8" x14ac:dyDescent="0.3">
      <c r="F192"/>
      <c r="G192" s="81"/>
      <c r="H192"/>
    </row>
    <row r="193" spans="6:8" x14ac:dyDescent="0.3">
      <c r="F193"/>
      <c r="G193" s="81"/>
      <c r="H193"/>
    </row>
    <row r="194" spans="6:8" x14ac:dyDescent="0.3">
      <c r="F194"/>
      <c r="G194" s="81"/>
      <c r="H194"/>
    </row>
    <row r="195" spans="6:8" x14ac:dyDescent="0.3">
      <c r="F195"/>
      <c r="G195" s="81"/>
      <c r="H195"/>
    </row>
    <row r="196" spans="6:8" x14ac:dyDescent="0.3">
      <c r="F196"/>
      <c r="G196" s="81"/>
      <c r="H196"/>
    </row>
    <row r="197" spans="6:8" x14ac:dyDescent="0.3">
      <c r="F197"/>
      <c r="G197" s="81"/>
      <c r="H197"/>
    </row>
    <row r="198" spans="6:8" x14ac:dyDescent="0.3">
      <c r="F198"/>
      <c r="G198" s="81"/>
      <c r="H198"/>
    </row>
    <row r="199" spans="6:8" x14ac:dyDescent="0.3">
      <c r="F199"/>
      <c r="G199" s="81"/>
      <c r="H199"/>
    </row>
    <row r="200" spans="6:8" x14ac:dyDescent="0.3">
      <c r="F200"/>
      <c r="G200" s="81"/>
      <c r="H200"/>
    </row>
    <row r="201" spans="6:8" x14ac:dyDescent="0.3">
      <c r="F201"/>
      <c r="G201" s="81"/>
      <c r="H201"/>
    </row>
    <row r="202" spans="6:8" x14ac:dyDescent="0.3">
      <c r="F202"/>
      <c r="G202" s="81"/>
      <c r="H202"/>
    </row>
    <row r="203" spans="6:8" x14ac:dyDescent="0.3">
      <c r="F203"/>
      <c r="G203" s="81"/>
      <c r="H203"/>
    </row>
    <row r="204" spans="6:8" x14ac:dyDescent="0.3">
      <c r="F204"/>
      <c r="G204" s="81"/>
      <c r="H204"/>
    </row>
    <row r="205" spans="6:8" x14ac:dyDescent="0.3">
      <c r="F205"/>
      <c r="G205" s="81"/>
      <c r="H205"/>
    </row>
    <row r="206" spans="6:8" x14ac:dyDescent="0.3">
      <c r="F206"/>
      <c r="G206" s="81"/>
      <c r="H206"/>
    </row>
    <row r="207" spans="6:8" x14ac:dyDescent="0.3">
      <c r="F207"/>
      <c r="G207" s="81"/>
      <c r="H207"/>
    </row>
    <row r="208" spans="6:8" x14ac:dyDescent="0.3">
      <c r="F208"/>
      <c r="G208" s="81"/>
      <c r="H208"/>
    </row>
    <row r="209" spans="6:8" x14ac:dyDescent="0.3">
      <c r="F209"/>
      <c r="G209" s="81"/>
      <c r="H209"/>
    </row>
    <row r="210" spans="6:8" x14ac:dyDescent="0.3">
      <c r="F210"/>
      <c r="G210" s="81"/>
      <c r="H210"/>
    </row>
    <row r="211" spans="6:8" x14ac:dyDescent="0.3">
      <c r="F211"/>
      <c r="G211" s="81"/>
      <c r="H211"/>
    </row>
    <row r="212" spans="6:8" x14ac:dyDescent="0.3">
      <c r="F212"/>
      <c r="G212" s="81"/>
      <c r="H212"/>
    </row>
    <row r="213" spans="6:8" x14ac:dyDescent="0.3">
      <c r="F213"/>
      <c r="G213" s="81"/>
      <c r="H213"/>
    </row>
    <row r="214" spans="6:8" x14ac:dyDescent="0.3">
      <c r="F214"/>
      <c r="G214" s="81"/>
      <c r="H214"/>
    </row>
    <row r="215" spans="6:8" x14ac:dyDescent="0.3">
      <c r="F215"/>
      <c r="G215" s="81"/>
      <c r="H215"/>
    </row>
    <row r="216" spans="6:8" x14ac:dyDescent="0.3">
      <c r="F216"/>
      <c r="G216" s="81"/>
      <c r="H216"/>
    </row>
    <row r="217" spans="6:8" x14ac:dyDescent="0.3">
      <c r="F217"/>
      <c r="G217" s="81"/>
      <c r="H217"/>
    </row>
    <row r="218" spans="6:8" x14ac:dyDescent="0.3">
      <c r="F218"/>
      <c r="G218" s="81"/>
      <c r="H218"/>
    </row>
    <row r="219" spans="6:8" x14ac:dyDescent="0.3">
      <c r="F219"/>
      <c r="G219" s="81"/>
      <c r="H219"/>
    </row>
    <row r="220" spans="6:8" x14ac:dyDescent="0.3">
      <c r="F220"/>
      <c r="G220" s="81"/>
      <c r="H220"/>
    </row>
    <row r="221" spans="6:8" x14ac:dyDescent="0.3">
      <c r="F221"/>
      <c r="G221" s="81"/>
      <c r="H221"/>
    </row>
    <row r="222" spans="6:8" x14ac:dyDescent="0.3">
      <c r="F222"/>
      <c r="G222" s="81"/>
      <c r="H222"/>
    </row>
    <row r="223" spans="6:8" x14ac:dyDescent="0.3">
      <c r="F223"/>
      <c r="G223" s="81"/>
      <c r="H223"/>
    </row>
    <row r="224" spans="6:8" x14ac:dyDescent="0.3">
      <c r="F224"/>
      <c r="G224" s="81"/>
      <c r="H224"/>
    </row>
    <row r="225" spans="6:8" x14ac:dyDescent="0.3">
      <c r="F225"/>
      <c r="G225" s="81"/>
      <c r="H225"/>
    </row>
    <row r="226" spans="6:8" x14ac:dyDescent="0.3">
      <c r="F226"/>
      <c r="G226" s="81"/>
      <c r="H226"/>
    </row>
    <row r="227" spans="6:8" x14ac:dyDescent="0.3">
      <c r="F227"/>
      <c r="G227" s="81"/>
      <c r="H227"/>
    </row>
    <row r="228" spans="6:8" x14ac:dyDescent="0.3">
      <c r="F228"/>
      <c r="G228" s="81"/>
      <c r="H228"/>
    </row>
    <row r="229" spans="6:8" x14ac:dyDescent="0.3">
      <c r="F229"/>
      <c r="G229" s="81"/>
      <c r="H229"/>
    </row>
    <row r="230" spans="6:8" x14ac:dyDescent="0.3">
      <c r="F230"/>
      <c r="G230" s="81"/>
      <c r="H230"/>
    </row>
    <row r="231" spans="6:8" x14ac:dyDescent="0.3">
      <c r="F231"/>
      <c r="G231" s="81"/>
      <c r="H231"/>
    </row>
    <row r="232" spans="6:8" x14ac:dyDescent="0.3">
      <c r="F232"/>
      <c r="G232" s="81"/>
      <c r="H232"/>
    </row>
    <row r="233" spans="6:8" x14ac:dyDescent="0.3">
      <c r="F233"/>
      <c r="G233" s="81"/>
      <c r="H233"/>
    </row>
    <row r="234" spans="6:8" x14ac:dyDescent="0.3">
      <c r="F234"/>
      <c r="G234" s="81"/>
      <c r="H234"/>
    </row>
    <row r="235" spans="6:8" x14ac:dyDescent="0.3">
      <c r="F235"/>
      <c r="G235" s="81"/>
      <c r="H235"/>
    </row>
    <row r="236" spans="6:8" x14ac:dyDescent="0.3">
      <c r="F236"/>
      <c r="G236" s="81"/>
      <c r="H236"/>
    </row>
    <row r="237" spans="6:8" x14ac:dyDescent="0.3">
      <c r="F237"/>
      <c r="G237" s="81"/>
      <c r="H237"/>
    </row>
    <row r="238" spans="6:8" x14ac:dyDescent="0.3">
      <c r="F238"/>
      <c r="G238" s="81"/>
      <c r="H238"/>
    </row>
    <row r="239" spans="6:8" x14ac:dyDescent="0.3">
      <c r="F239"/>
      <c r="G239" s="81"/>
      <c r="H239"/>
    </row>
    <row r="240" spans="6:8" x14ac:dyDescent="0.3">
      <c r="F240"/>
      <c r="G240" s="81"/>
      <c r="H240"/>
    </row>
    <row r="241" spans="6:8" x14ac:dyDescent="0.3">
      <c r="F241"/>
      <c r="G241" s="81"/>
      <c r="H241"/>
    </row>
    <row r="242" spans="6:8" x14ac:dyDescent="0.3">
      <c r="F242"/>
      <c r="G242" s="81"/>
      <c r="H242"/>
    </row>
    <row r="243" spans="6:8" x14ac:dyDescent="0.3">
      <c r="F243"/>
      <c r="G243" s="81"/>
      <c r="H243"/>
    </row>
    <row r="244" spans="6:8" x14ac:dyDescent="0.3">
      <c r="F244"/>
      <c r="G244" s="81"/>
      <c r="H244"/>
    </row>
    <row r="245" spans="6:8" x14ac:dyDescent="0.3">
      <c r="F245"/>
      <c r="G245" s="81"/>
      <c r="H245"/>
    </row>
    <row r="246" spans="6:8" x14ac:dyDescent="0.3">
      <c r="F246"/>
      <c r="G246" s="81"/>
      <c r="H246"/>
    </row>
    <row r="247" spans="6:8" x14ac:dyDescent="0.3">
      <c r="F247"/>
      <c r="G247" s="81"/>
      <c r="H247"/>
    </row>
    <row r="248" spans="6:8" x14ac:dyDescent="0.3">
      <c r="F248"/>
      <c r="G248" s="81"/>
      <c r="H248"/>
    </row>
    <row r="249" spans="6:8" x14ac:dyDescent="0.3">
      <c r="F249"/>
      <c r="G249" s="81"/>
      <c r="H249"/>
    </row>
    <row r="250" spans="6:8" x14ac:dyDescent="0.3">
      <c r="F250"/>
      <c r="G250" s="81"/>
      <c r="H250"/>
    </row>
    <row r="251" spans="6:8" x14ac:dyDescent="0.3">
      <c r="F251"/>
      <c r="G251" s="81"/>
      <c r="H251"/>
    </row>
    <row r="252" spans="6:8" x14ac:dyDescent="0.3">
      <c r="F252"/>
      <c r="G252" s="81"/>
      <c r="H252"/>
    </row>
    <row r="253" spans="6:8" x14ac:dyDescent="0.3">
      <c r="F253"/>
      <c r="G253" s="81"/>
      <c r="H253"/>
    </row>
    <row r="254" spans="6:8" x14ac:dyDescent="0.3">
      <c r="F254"/>
      <c r="G254" s="81"/>
      <c r="H254"/>
    </row>
    <row r="255" spans="6:8" x14ac:dyDescent="0.3">
      <c r="F255"/>
      <c r="G255" s="81"/>
      <c r="H255"/>
    </row>
    <row r="256" spans="6:8" x14ac:dyDescent="0.3">
      <c r="F256"/>
      <c r="G256" s="81"/>
      <c r="H256"/>
    </row>
    <row r="257" spans="6:8" x14ac:dyDescent="0.3">
      <c r="F257"/>
      <c r="G257" s="81"/>
      <c r="H257"/>
    </row>
    <row r="258" spans="6:8" x14ac:dyDescent="0.3">
      <c r="F258"/>
      <c r="G258" s="81"/>
      <c r="H258"/>
    </row>
    <row r="259" spans="6:8" x14ac:dyDescent="0.3">
      <c r="F259"/>
      <c r="G259" s="81"/>
      <c r="H259"/>
    </row>
    <row r="260" spans="6:8" x14ac:dyDescent="0.3">
      <c r="F260"/>
      <c r="G260" s="81"/>
      <c r="H260"/>
    </row>
    <row r="261" spans="6:8" x14ac:dyDescent="0.3">
      <c r="F261"/>
      <c r="G261" s="81"/>
      <c r="H261"/>
    </row>
    <row r="262" spans="6:8" x14ac:dyDescent="0.3">
      <c r="F262"/>
      <c r="G262" s="81"/>
      <c r="H262"/>
    </row>
    <row r="263" spans="6:8" x14ac:dyDescent="0.3">
      <c r="F263"/>
      <c r="G263" s="81"/>
      <c r="H263"/>
    </row>
    <row r="264" spans="6:8" x14ac:dyDescent="0.3">
      <c r="F264"/>
      <c r="G264" s="81"/>
      <c r="H264"/>
    </row>
    <row r="265" spans="6:8" x14ac:dyDescent="0.3">
      <c r="F265"/>
      <c r="G265" s="81"/>
      <c r="H265"/>
    </row>
    <row r="266" spans="6:8" x14ac:dyDescent="0.3">
      <c r="F266"/>
      <c r="G266" s="81"/>
      <c r="H266"/>
    </row>
    <row r="267" spans="6:8" x14ac:dyDescent="0.3">
      <c r="F267"/>
      <c r="G267" s="81"/>
      <c r="H267"/>
    </row>
    <row r="268" spans="6:8" x14ac:dyDescent="0.3">
      <c r="F268"/>
      <c r="G268" s="81"/>
      <c r="H268"/>
    </row>
    <row r="269" spans="6:8" x14ac:dyDescent="0.3">
      <c r="F269"/>
      <c r="G269" s="81"/>
      <c r="H269"/>
    </row>
    <row r="270" spans="6:8" x14ac:dyDescent="0.3">
      <c r="F270"/>
      <c r="G270" s="81"/>
      <c r="H270"/>
    </row>
    <row r="271" spans="6:8" x14ac:dyDescent="0.3">
      <c r="F271"/>
      <c r="G271" s="81"/>
      <c r="H271"/>
    </row>
    <row r="272" spans="6:8" x14ac:dyDescent="0.3">
      <c r="F272"/>
      <c r="G272" s="81"/>
      <c r="H272"/>
    </row>
    <row r="273" spans="6:8" x14ac:dyDescent="0.3">
      <c r="F273"/>
      <c r="G273" s="81"/>
      <c r="H273"/>
    </row>
    <row r="274" spans="6:8" x14ac:dyDescent="0.3">
      <c r="F274"/>
      <c r="G274" s="81"/>
      <c r="H274"/>
    </row>
    <row r="275" spans="6:8" x14ac:dyDescent="0.3">
      <c r="F275"/>
      <c r="G275" s="81"/>
      <c r="H275"/>
    </row>
    <row r="276" spans="6:8" x14ac:dyDescent="0.3">
      <c r="F276"/>
      <c r="G276" s="81"/>
      <c r="H276"/>
    </row>
    <row r="277" spans="6:8" x14ac:dyDescent="0.3">
      <c r="F277"/>
      <c r="G277" s="81"/>
      <c r="H277"/>
    </row>
    <row r="278" spans="6:8" x14ac:dyDescent="0.3">
      <c r="F278"/>
      <c r="G278" s="81"/>
      <c r="H278"/>
    </row>
    <row r="279" spans="6:8" x14ac:dyDescent="0.3">
      <c r="F279"/>
      <c r="G279" s="81"/>
      <c r="H279"/>
    </row>
    <row r="280" spans="6:8" x14ac:dyDescent="0.3">
      <c r="F280"/>
      <c r="G280" s="81"/>
      <c r="H280"/>
    </row>
    <row r="281" spans="6:8" x14ac:dyDescent="0.3">
      <c r="F281"/>
      <c r="G281" s="81"/>
      <c r="H281"/>
    </row>
    <row r="282" spans="6:8" x14ac:dyDescent="0.3">
      <c r="F282"/>
      <c r="G282" s="81"/>
      <c r="H282"/>
    </row>
    <row r="283" spans="6:8" x14ac:dyDescent="0.3">
      <c r="F283"/>
      <c r="G283" s="81"/>
      <c r="H283"/>
    </row>
    <row r="284" spans="6:8" x14ac:dyDescent="0.3">
      <c r="F284"/>
      <c r="G284" s="81"/>
      <c r="H284"/>
    </row>
    <row r="285" spans="6:8" x14ac:dyDescent="0.3">
      <c r="F285"/>
      <c r="G285" s="81"/>
      <c r="H285"/>
    </row>
    <row r="286" spans="6:8" x14ac:dyDescent="0.3">
      <c r="F286"/>
      <c r="G286" s="81"/>
      <c r="H286"/>
    </row>
    <row r="287" spans="6:8" x14ac:dyDescent="0.3">
      <c r="F287"/>
      <c r="G287" s="81"/>
      <c r="H287"/>
    </row>
    <row r="288" spans="6:8" x14ac:dyDescent="0.3">
      <c r="F288"/>
      <c r="G288" s="81"/>
      <c r="H288"/>
    </row>
    <row r="289" spans="6:8" x14ac:dyDescent="0.3">
      <c r="F289"/>
      <c r="G289" s="81"/>
      <c r="H289"/>
    </row>
    <row r="290" spans="6:8" x14ac:dyDescent="0.3">
      <c r="F290"/>
      <c r="G290" s="81"/>
      <c r="H290"/>
    </row>
    <row r="291" spans="6:8" x14ac:dyDescent="0.3">
      <c r="F291"/>
      <c r="G291" s="81"/>
      <c r="H291"/>
    </row>
    <row r="292" spans="6:8" x14ac:dyDescent="0.3">
      <c r="F292"/>
      <c r="G292" s="81"/>
      <c r="H292"/>
    </row>
    <row r="293" spans="6:8" x14ac:dyDescent="0.3">
      <c r="F293"/>
      <c r="G293" s="81"/>
      <c r="H293"/>
    </row>
    <row r="294" spans="6:8" x14ac:dyDescent="0.3">
      <c r="F294"/>
      <c r="G294" s="81"/>
      <c r="H294"/>
    </row>
    <row r="295" spans="6:8" x14ac:dyDescent="0.3">
      <c r="F295"/>
      <c r="G295" s="81"/>
      <c r="H295"/>
    </row>
    <row r="296" spans="6:8" x14ac:dyDescent="0.3">
      <c r="F296"/>
      <c r="G296" s="81"/>
      <c r="H296"/>
    </row>
    <row r="297" spans="6:8" x14ac:dyDescent="0.3">
      <c r="F297"/>
      <c r="G297" s="81"/>
      <c r="H297"/>
    </row>
    <row r="298" spans="6:8" x14ac:dyDescent="0.3">
      <c r="F298"/>
      <c r="G298" s="81"/>
      <c r="H298"/>
    </row>
    <row r="299" spans="6:8" x14ac:dyDescent="0.3">
      <c r="F299"/>
      <c r="G299" s="81"/>
      <c r="H299"/>
    </row>
    <row r="300" spans="6:8" x14ac:dyDescent="0.3">
      <c r="F300"/>
      <c r="G300" s="81"/>
      <c r="H300"/>
    </row>
    <row r="301" spans="6:8" x14ac:dyDescent="0.3">
      <c r="F301"/>
      <c r="G301" s="81"/>
      <c r="H301"/>
    </row>
    <row r="302" spans="6:8" x14ac:dyDescent="0.3">
      <c r="F302"/>
      <c r="G302" s="81"/>
      <c r="H302"/>
    </row>
    <row r="303" spans="6:8" x14ac:dyDescent="0.3">
      <c r="F303"/>
      <c r="G303" s="81"/>
      <c r="H303"/>
    </row>
    <row r="304" spans="6:8" x14ac:dyDescent="0.3">
      <c r="F304"/>
      <c r="G304" s="81"/>
      <c r="H304"/>
    </row>
    <row r="305" spans="6:8" x14ac:dyDescent="0.3">
      <c r="F305"/>
      <c r="G305" s="81"/>
      <c r="H305"/>
    </row>
    <row r="306" spans="6:8" x14ac:dyDescent="0.3">
      <c r="F306"/>
      <c r="G306" s="81"/>
      <c r="H306"/>
    </row>
    <row r="307" spans="6:8" x14ac:dyDescent="0.3">
      <c r="F307"/>
      <c r="G307" s="81"/>
      <c r="H307"/>
    </row>
    <row r="308" spans="6:8" x14ac:dyDescent="0.3">
      <c r="F308"/>
      <c r="G308" s="81"/>
      <c r="H308"/>
    </row>
    <row r="309" spans="6:8" x14ac:dyDescent="0.3">
      <c r="F309"/>
      <c r="G309" s="81"/>
      <c r="H309"/>
    </row>
    <row r="310" spans="6:8" x14ac:dyDescent="0.3">
      <c r="F310"/>
      <c r="G310" s="81"/>
      <c r="H310"/>
    </row>
    <row r="311" spans="6:8" x14ac:dyDescent="0.3">
      <c r="F311"/>
      <c r="G311" s="81"/>
      <c r="H311"/>
    </row>
    <row r="312" spans="6:8" x14ac:dyDescent="0.3">
      <c r="F312"/>
      <c r="G312" s="81"/>
      <c r="H312"/>
    </row>
    <row r="313" spans="6:8" x14ac:dyDescent="0.3">
      <c r="F313"/>
      <c r="G313" s="81"/>
      <c r="H313"/>
    </row>
    <row r="314" spans="6:8" x14ac:dyDescent="0.3">
      <c r="F314"/>
      <c r="G314" s="81"/>
      <c r="H314"/>
    </row>
    <row r="315" spans="6:8" x14ac:dyDescent="0.3">
      <c r="F315"/>
      <c r="G315" s="81"/>
      <c r="H315"/>
    </row>
    <row r="316" spans="6:8" x14ac:dyDescent="0.3">
      <c r="F316"/>
      <c r="G316" s="81"/>
      <c r="H316"/>
    </row>
    <row r="317" spans="6:8" x14ac:dyDescent="0.3">
      <c r="F317"/>
      <c r="G317" s="81"/>
      <c r="H317"/>
    </row>
    <row r="318" spans="6:8" x14ac:dyDescent="0.3">
      <c r="F318"/>
      <c r="G318" s="81"/>
      <c r="H318"/>
    </row>
    <row r="319" spans="6:8" x14ac:dyDescent="0.3">
      <c r="F319"/>
      <c r="G319" s="81"/>
      <c r="H319"/>
    </row>
    <row r="320" spans="6:8" x14ac:dyDescent="0.3">
      <c r="F320"/>
      <c r="G320" s="81"/>
      <c r="H320"/>
    </row>
    <row r="321" spans="6:8" x14ac:dyDescent="0.3">
      <c r="F321"/>
      <c r="G321" s="81"/>
      <c r="H321"/>
    </row>
    <row r="322" spans="6:8" x14ac:dyDescent="0.3">
      <c r="F322"/>
      <c r="G322" s="81"/>
      <c r="H322"/>
    </row>
    <row r="323" spans="6:8" x14ac:dyDescent="0.3">
      <c r="F323"/>
      <c r="G323" s="81"/>
      <c r="H323"/>
    </row>
    <row r="324" spans="6:8" x14ac:dyDescent="0.3">
      <c r="F324"/>
      <c r="G324" s="81"/>
      <c r="H324"/>
    </row>
    <row r="325" spans="6:8" x14ac:dyDescent="0.3">
      <c r="F325"/>
      <c r="G325" s="81"/>
      <c r="H325"/>
    </row>
    <row r="326" spans="6:8" x14ac:dyDescent="0.3">
      <c r="F326"/>
      <c r="G326" s="81"/>
      <c r="H326"/>
    </row>
    <row r="327" spans="6:8" x14ac:dyDescent="0.3">
      <c r="F327"/>
      <c r="G327" s="81"/>
      <c r="H327"/>
    </row>
    <row r="328" spans="6:8" x14ac:dyDescent="0.3">
      <c r="F328"/>
      <c r="G328" s="81"/>
      <c r="H328"/>
    </row>
    <row r="329" spans="6:8" x14ac:dyDescent="0.3">
      <c r="F329"/>
      <c r="G329" s="81"/>
      <c r="H329"/>
    </row>
    <row r="330" spans="6:8" x14ac:dyDescent="0.3">
      <c r="F330"/>
      <c r="G330" s="81"/>
      <c r="H330"/>
    </row>
    <row r="331" spans="6:8" x14ac:dyDescent="0.3">
      <c r="F331"/>
      <c r="G331" s="81"/>
      <c r="H331"/>
    </row>
    <row r="332" spans="6:8" x14ac:dyDescent="0.3">
      <c r="F332"/>
      <c r="G332" s="81"/>
      <c r="H332"/>
    </row>
    <row r="333" spans="6:8" x14ac:dyDescent="0.3">
      <c r="F333"/>
      <c r="G333" s="81"/>
      <c r="H333"/>
    </row>
    <row r="334" spans="6:8" x14ac:dyDescent="0.3">
      <c r="F334"/>
      <c r="G334" s="81"/>
      <c r="H334"/>
    </row>
    <row r="335" spans="6:8" x14ac:dyDescent="0.3">
      <c r="F335"/>
      <c r="G335" s="81"/>
      <c r="H335"/>
    </row>
    <row r="336" spans="6:8" x14ac:dyDescent="0.3">
      <c r="F336"/>
      <c r="G336" s="81"/>
      <c r="H336"/>
    </row>
    <row r="337" spans="6:8" x14ac:dyDescent="0.3">
      <c r="F337"/>
      <c r="G337" s="81"/>
      <c r="H337"/>
    </row>
    <row r="338" spans="6:8" x14ac:dyDescent="0.3">
      <c r="F338"/>
      <c r="G338" s="81"/>
      <c r="H338"/>
    </row>
    <row r="339" spans="6:8" x14ac:dyDescent="0.3">
      <c r="F339"/>
      <c r="G339" s="81"/>
      <c r="H339"/>
    </row>
    <row r="340" spans="6:8" x14ac:dyDescent="0.3">
      <c r="F340"/>
      <c r="G340" s="81"/>
      <c r="H340"/>
    </row>
    <row r="341" spans="6:8" x14ac:dyDescent="0.3">
      <c r="F341"/>
      <c r="G341" s="81"/>
      <c r="H341"/>
    </row>
    <row r="342" spans="6:8" x14ac:dyDescent="0.3">
      <c r="F342"/>
      <c r="G342" s="81"/>
      <c r="H342"/>
    </row>
    <row r="343" spans="6:8" x14ac:dyDescent="0.3">
      <c r="F343"/>
      <c r="G343" s="81"/>
      <c r="H343"/>
    </row>
    <row r="344" spans="6:8" x14ac:dyDescent="0.3">
      <c r="F344"/>
      <c r="G344" s="81"/>
      <c r="H344"/>
    </row>
    <row r="345" spans="6:8" x14ac:dyDescent="0.3">
      <c r="F345"/>
      <c r="G345" s="81"/>
      <c r="H345"/>
    </row>
    <row r="346" spans="6:8" x14ac:dyDescent="0.3">
      <c r="F346"/>
      <c r="G346" s="81"/>
      <c r="H346"/>
    </row>
    <row r="347" spans="6:8" x14ac:dyDescent="0.3">
      <c r="F347"/>
      <c r="G347" s="81"/>
      <c r="H347"/>
    </row>
    <row r="348" spans="6:8" x14ac:dyDescent="0.3">
      <c r="F348"/>
      <c r="G348" s="81"/>
      <c r="H348"/>
    </row>
    <row r="349" spans="6:8" x14ac:dyDescent="0.3">
      <c r="F349"/>
      <c r="G349" s="81"/>
      <c r="H349"/>
    </row>
    <row r="350" spans="6:8" x14ac:dyDescent="0.3">
      <c r="F350"/>
      <c r="G350" s="81"/>
      <c r="H350"/>
    </row>
    <row r="351" spans="6:8" x14ac:dyDescent="0.3">
      <c r="F351"/>
      <c r="G351" s="81"/>
      <c r="H351"/>
    </row>
    <row r="352" spans="6:8" x14ac:dyDescent="0.3">
      <c r="F352"/>
      <c r="G352" s="81"/>
      <c r="H352"/>
    </row>
    <row r="353" spans="6:8" x14ac:dyDescent="0.3">
      <c r="F353"/>
      <c r="G353" s="81"/>
      <c r="H353"/>
    </row>
    <row r="354" spans="6:8" x14ac:dyDescent="0.3">
      <c r="F354"/>
      <c r="G354" s="81"/>
      <c r="H354"/>
    </row>
    <row r="355" spans="6:8" x14ac:dyDescent="0.3">
      <c r="F355"/>
      <c r="G355" s="81"/>
      <c r="H355"/>
    </row>
    <row r="356" spans="6:8" x14ac:dyDescent="0.3">
      <c r="F356"/>
      <c r="G356" s="81"/>
      <c r="H356"/>
    </row>
    <row r="357" spans="6:8" x14ac:dyDescent="0.3">
      <c r="F357"/>
      <c r="G357" s="81"/>
      <c r="H357"/>
    </row>
    <row r="358" spans="6:8" x14ac:dyDescent="0.3">
      <c r="F358"/>
      <c r="G358" s="81"/>
      <c r="H358"/>
    </row>
    <row r="359" spans="6:8" x14ac:dyDescent="0.3">
      <c r="F359"/>
      <c r="G359" s="81"/>
      <c r="H359"/>
    </row>
    <row r="360" spans="6:8" x14ac:dyDescent="0.3">
      <c r="F360"/>
      <c r="G360" s="81"/>
      <c r="H360"/>
    </row>
    <row r="361" spans="6:8" x14ac:dyDescent="0.3">
      <c r="F361"/>
      <c r="G361" s="81"/>
      <c r="H361"/>
    </row>
    <row r="362" spans="6:8" x14ac:dyDescent="0.3">
      <c r="F362"/>
      <c r="G362" s="81"/>
      <c r="H362"/>
    </row>
    <row r="363" spans="6:8" x14ac:dyDescent="0.3">
      <c r="F363"/>
      <c r="G363" s="81"/>
      <c r="H363"/>
    </row>
    <row r="364" spans="6:8" x14ac:dyDescent="0.3">
      <c r="F364"/>
      <c r="G364" s="81"/>
      <c r="H364"/>
    </row>
    <row r="365" spans="6:8" x14ac:dyDescent="0.3">
      <c r="F365"/>
      <c r="G365" s="81"/>
      <c r="H365"/>
    </row>
    <row r="366" spans="6:8" x14ac:dyDescent="0.3">
      <c r="F366"/>
      <c r="G366" s="81"/>
      <c r="H366"/>
    </row>
    <row r="367" spans="6:8" x14ac:dyDescent="0.3">
      <c r="F367"/>
      <c r="G367" s="81"/>
      <c r="H367"/>
    </row>
    <row r="368" spans="6:8" x14ac:dyDescent="0.3">
      <c r="F368"/>
      <c r="G368" s="81"/>
      <c r="H368"/>
    </row>
    <row r="369" spans="6:8" x14ac:dyDescent="0.3">
      <c r="F369"/>
      <c r="G369" s="81"/>
      <c r="H369"/>
    </row>
    <row r="370" spans="6:8" x14ac:dyDescent="0.3">
      <c r="F370"/>
      <c r="G370" s="81"/>
      <c r="H370"/>
    </row>
    <row r="371" spans="6:8" x14ac:dyDescent="0.3">
      <c r="F371"/>
      <c r="G371" s="81"/>
      <c r="H371"/>
    </row>
    <row r="372" spans="6:8" x14ac:dyDescent="0.3">
      <c r="F372"/>
      <c r="G372" s="81"/>
      <c r="H372"/>
    </row>
    <row r="373" spans="6:8" x14ac:dyDescent="0.3">
      <c r="F373"/>
      <c r="G373" s="81"/>
      <c r="H373"/>
    </row>
    <row r="374" spans="6:8" x14ac:dyDescent="0.3">
      <c r="F374"/>
      <c r="G374" s="81"/>
      <c r="H374"/>
    </row>
    <row r="375" spans="6:8" x14ac:dyDescent="0.3">
      <c r="F375"/>
      <c r="G375" s="81"/>
      <c r="H375"/>
    </row>
    <row r="376" spans="6:8" x14ac:dyDescent="0.3">
      <c r="F376"/>
      <c r="G376" s="81"/>
      <c r="H376"/>
    </row>
    <row r="377" spans="6:8" x14ac:dyDescent="0.3">
      <c r="F377"/>
      <c r="G377" s="81"/>
      <c r="H377"/>
    </row>
    <row r="378" spans="6:8" x14ac:dyDescent="0.3">
      <c r="F378"/>
      <c r="G378" s="81"/>
      <c r="H378"/>
    </row>
    <row r="379" spans="6:8" x14ac:dyDescent="0.3">
      <c r="F379"/>
      <c r="G379" s="81"/>
      <c r="H379"/>
    </row>
    <row r="380" spans="6:8" x14ac:dyDescent="0.3">
      <c r="F380"/>
      <c r="G380" s="81"/>
      <c r="H380"/>
    </row>
    <row r="381" spans="6:8" x14ac:dyDescent="0.3">
      <c r="F381"/>
      <c r="G381" s="81"/>
      <c r="H381"/>
    </row>
    <row r="382" spans="6:8" x14ac:dyDescent="0.3">
      <c r="F382"/>
      <c r="G382" s="81"/>
      <c r="H382"/>
    </row>
    <row r="383" spans="6:8" x14ac:dyDescent="0.3">
      <c r="F383"/>
      <c r="G383" s="81"/>
      <c r="H383"/>
    </row>
    <row r="384" spans="6:8" x14ac:dyDescent="0.3">
      <c r="F384"/>
      <c r="G384" s="81"/>
      <c r="H384"/>
    </row>
    <row r="385" spans="6:8" x14ac:dyDescent="0.3">
      <c r="F385"/>
      <c r="G385" s="81"/>
      <c r="H385"/>
    </row>
    <row r="386" spans="6:8" x14ac:dyDescent="0.3">
      <c r="F386"/>
      <c r="G386" s="81"/>
      <c r="H386"/>
    </row>
    <row r="387" spans="6:8" x14ac:dyDescent="0.3">
      <c r="F387"/>
      <c r="G387" s="81"/>
      <c r="H387"/>
    </row>
    <row r="388" spans="6:8" x14ac:dyDescent="0.3">
      <c r="F388"/>
      <c r="G388" s="81"/>
      <c r="H388"/>
    </row>
    <row r="389" spans="6:8" x14ac:dyDescent="0.3">
      <c r="F389"/>
      <c r="G389" s="81"/>
      <c r="H389"/>
    </row>
    <row r="390" spans="6:8" x14ac:dyDescent="0.3">
      <c r="F390"/>
      <c r="G390" s="81"/>
      <c r="H390"/>
    </row>
    <row r="391" spans="6:8" x14ac:dyDescent="0.3">
      <c r="F391"/>
      <c r="G391" s="81"/>
      <c r="H391"/>
    </row>
    <row r="392" spans="6:8" x14ac:dyDescent="0.3">
      <c r="F392"/>
      <c r="G392" s="81"/>
      <c r="H392"/>
    </row>
    <row r="393" spans="6:8" x14ac:dyDescent="0.3">
      <c r="F393"/>
      <c r="G393" s="81"/>
      <c r="H393"/>
    </row>
    <row r="394" spans="6:8" x14ac:dyDescent="0.3">
      <c r="F394"/>
      <c r="G394" s="81"/>
      <c r="H394"/>
    </row>
    <row r="395" spans="6:8" x14ac:dyDescent="0.3">
      <c r="F395"/>
      <c r="G395" s="81"/>
      <c r="H395"/>
    </row>
    <row r="396" spans="6:8" x14ac:dyDescent="0.3">
      <c r="F396"/>
      <c r="G396" s="81"/>
      <c r="H396"/>
    </row>
    <row r="397" spans="6:8" x14ac:dyDescent="0.3">
      <c r="F397"/>
      <c r="G397" s="81"/>
      <c r="H397"/>
    </row>
    <row r="398" spans="6:8" x14ac:dyDescent="0.3">
      <c r="F398"/>
      <c r="G398" s="81"/>
      <c r="H398"/>
    </row>
    <row r="399" spans="6:8" x14ac:dyDescent="0.3">
      <c r="F399"/>
      <c r="G399" s="81"/>
      <c r="H399"/>
    </row>
    <row r="400" spans="6:8" x14ac:dyDescent="0.3">
      <c r="F400"/>
      <c r="G400" s="81"/>
      <c r="H400"/>
    </row>
    <row r="401" spans="6:8" x14ac:dyDescent="0.3">
      <c r="F401"/>
      <c r="G401" s="81"/>
      <c r="H401"/>
    </row>
    <row r="402" spans="6:8" x14ac:dyDescent="0.3">
      <c r="F402"/>
      <c r="G402" s="81"/>
      <c r="H402"/>
    </row>
    <row r="403" spans="6:8" x14ac:dyDescent="0.3">
      <c r="F403"/>
      <c r="G403" s="81"/>
      <c r="H403"/>
    </row>
    <row r="404" spans="6:8" x14ac:dyDescent="0.3">
      <c r="F404"/>
      <c r="G404" s="81"/>
      <c r="H404"/>
    </row>
    <row r="405" spans="6:8" x14ac:dyDescent="0.3">
      <c r="F405"/>
      <c r="G405" s="81"/>
      <c r="H405"/>
    </row>
    <row r="406" spans="6:8" x14ac:dyDescent="0.3">
      <c r="F406"/>
      <c r="G406" s="81"/>
      <c r="H406"/>
    </row>
    <row r="407" spans="6:8" x14ac:dyDescent="0.3">
      <c r="F407"/>
      <c r="G407" s="81"/>
      <c r="H407"/>
    </row>
    <row r="408" spans="6:8" x14ac:dyDescent="0.3">
      <c r="F408"/>
      <c r="G408" s="81"/>
      <c r="H408"/>
    </row>
    <row r="409" spans="6:8" x14ac:dyDescent="0.3">
      <c r="F409"/>
      <c r="G409" s="81"/>
      <c r="H409"/>
    </row>
    <row r="410" spans="6:8" x14ac:dyDescent="0.3">
      <c r="F410"/>
      <c r="G410" s="81"/>
      <c r="H410"/>
    </row>
    <row r="411" spans="6:8" x14ac:dyDescent="0.3">
      <c r="F411"/>
      <c r="G411" s="81"/>
      <c r="H411"/>
    </row>
    <row r="412" spans="6:8" x14ac:dyDescent="0.3">
      <c r="F412"/>
      <c r="G412" s="81"/>
      <c r="H412"/>
    </row>
    <row r="413" spans="6:8" x14ac:dyDescent="0.3">
      <c r="F413"/>
      <c r="G413" s="81"/>
      <c r="H413"/>
    </row>
    <row r="414" spans="6:8" x14ac:dyDescent="0.3">
      <c r="F414"/>
      <c r="G414" s="81"/>
      <c r="H414"/>
    </row>
    <row r="415" spans="6:8" x14ac:dyDescent="0.3">
      <c r="F415"/>
      <c r="G415" s="81"/>
      <c r="H415"/>
    </row>
    <row r="416" spans="6:8" x14ac:dyDescent="0.3">
      <c r="F416"/>
      <c r="G416" s="81"/>
      <c r="H416"/>
    </row>
    <row r="417" spans="6:8" x14ac:dyDescent="0.3">
      <c r="F417"/>
      <c r="G417" s="81"/>
      <c r="H417"/>
    </row>
    <row r="418" spans="6:8" x14ac:dyDescent="0.3">
      <c r="F418"/>
      <c r="G418" s="81"/>
      <c r="H418"/>
    </row>
    <row r="419" spans="6:8" x14ac:dyDescent="0.3">
      <c r="F419"/>
      <c r="G419" s="81"/>
      <c r="H419"/>
    </row>
    <row r="420" spans="6:8" x14ac:dyDescent="0.3">
      <c r="F420"/>
      <c r="G420" s="81"/>
      <c r="H420"/>
    </row>
    <row r="421" spans="6:8" x14ac:dyDescent="0.3">
      <c r="F421"/>
      <c r="G421" s="81"/>
      <c r="H421"/>
    </row>
    <row r="422" spans="6:8" x14ac:dyDescent="0.3">
      <c r="F422"/>
      <c r="G422" s="81"/>
      <c r="H422"/>
    </row>
    <row r="423" spans="6:8" x14ac:dyDescent="0.3">
      <c r="F423"/>
      <c r="G423" s="81"/>
      <c r="H423"/>
    </row>
    <row r="424" spans="6:8" x14ac:dyDescent="0.3">
      <c r="F424"/>
      <c r="G424" s="81"/>
      <c r="H424"/>
    </row>
    <row r="425" spans="6:8" x14ac:dyDescent="0.3">
      <c r="F425"/>
      <c r="G425" s="81"/>
      <c r="H425"/>
    </row>
    <row r="426" spans="6:8" x14ac:dyDescent="0.3">
      <c r="F426"/>
      <c r="G426" s="81"/>
      <c r="H426"/>
    </row>
    <row r="427" spans="6:8" x14ac:dyDescent="0.3">
      <c r="F427"/>
      <c r="G427" s="81"/>
      <c r="H427"/>
    </row>
    <row r="428" spans="6:8" x14ac:dyDescent="0.3">
      <c r="F428"/>
      <c r="G428" s="81"/>
      <c r="H428"/>
    </row>
    <row r="429" spans="6:8" x14ac:dyDescent="0.3">
      <c r="F429"/>
      <c r="G429" s="81"/>
      <c r="H429"/>
    </row>
    <row r="430" spans="6:8" x14ac:dyDescent="0.3">
      <c r="F430"/>
      <c r="G430" s="81"/>
      <c r="H430"/>
    </row>
    <row r="431" spans="6:8" x14ac:dyDescent="0.3">
      <c r="F431"/>
      <c r="G431" s="81"/>
      <c r="H431"/>
    </row>
    <row r="432" spans="6:8" x14ac:dyDescent="0.3">
      <c r="F432"/>
      <c r="G432" s="81"/>
      <c r="H432"/>
    </row>
    <row r="433" spans="6:8" x14ac:dyDescent="0.3">
      <c r="F433"/>
      <c r="G433" s="81"/>
      <c r="H433"/>
    </row>
    <row r="434" spans="6:8" x14ac:dyDescent="0.3">
      <c r="F434"/>
      <c r="G434" s="81"/>
      <c r="H434"/>
    </row>
    <row r="435" spans="6:8" x14ac:dyDescent="0.3">
      <c r="F435"/>
      <c r="G435" s="81"/>
      <c r="H435"/>
    </row>
    <row r="436" spans="6:8" x14ac:dyDescent="0.3">
      <c r="F436"/>
      <c r="G436" s="81"/>
      <c r="H436"/>
    </row>
    <row r="437" spans="6:8" x14ac:dyDescent="0.3">
      <c r="F437"/>
      <c r="G437" s="81"/>
      <c r="H437"/>
    </row>
    <row r="438" spans="6:8" x14ac:dyDescent="0.3">
      <c r="F438"/>
      <c r="G438" s="81"/>
      <c r="H438"/>
    </row>
    <row r="439" spans="6:8" x14ac:dyDescent="0.3">
      <c r="F439"/>
      <c r="G439" s="81"/>
      <c r="H439"/>
    </row>
    <row r="440" spans="6:8" x14ac:dyDescent="0.3">
      <c r="F440"/>
      <c r="G440" s="81"/>
      <c r="H440"/>
    </row>
    <row r="441" spans="6:8" x14ac:dyDescent="0.3">
      <c r="F441"/>
      <c r="G441" s="81"/>
      <c r="H441"/>
    </row>
    <row r="442" spans="6:8" x14ac:dyDescent="0.3">
      <c r="F442"/>
      <c r="G442" s="81"/>
      <c r="H442"/>
    </row>
    <row r="443" spans="6:8" x14ac:dyDescent="0.3">
      <c r="F443"/>
      <c r="G443" s="81"/>
      <c r="H443"/>
    </row>
    <row r="444" spans="6:8" x14ac:dyDescent="0.3">
      <c r="F444"/>
      <c r="G444" s="81"/>
      <c r="H444"/>
    </row>
    <row r="445" spans="6:8" x14ac:dyDescent="0.3">
      <c r="F445"/>
      <c r="G445" s="81"/>
      <c r="H445"/>
    </row>
    <row r="446" spans="6:8" x14ac:dyDescent="0.3">
      <c r="F446"/>
      <c r="G446" s="81"/>
      <c r="H446"/>
    </row>
    <row r="447" spans="6:8" x14ac:dyDescent="0.3">
      <c r="F447"/>
      <c r="G447" s="81"/>
      <c r="H447"/>
    </row>
    <row r="448" spans="6:8" x14ac:dyDescent="0.3">
      <c r="F448"/>
      <c r="G448" s="81"/>
      <c r="H448"/>
    </row>
    <row r="449" spans="6:8" x14ac:dyDescent="0.3">
      <c r="F449"/>
      <c r="G449" s="81"/>
      <c r="H449"/>
    </row>
    <row r="450" spans="6:8" x14ac:dyDescent="0.3">
      <c r="F450"/>
      <c r="G450" s="81"/>
      <c r="H450"/>
    </row>
    <row r="451" spans="6:8" x14ac:dyDescent="0.3">
      <c r="F451"/>
      <c r="G451" s="81"/>
      <c r="H451"/>
    </row>
    <row r="452" spans="6:8" x14ac:dyDescent="0.3">
      <c r="F452"/>
      <c r="G452" s="81"/>
      <c r="H452"/>
    </row>
    <row r="453" spans="6:8" x14ac:dyDescent="0.3">
      <c r="F453"/>
      <c r="G453" s="81"/>
      <c r="H453"/>
    </row>
    <row r="454" spans="6:8" x14ac:dyDescent="0.3">
      <c r="F454"/>
      <c r="G454" s="81"/>
      <c r="H454"/>
    </row>
    <row r="455" spans="6:8" x14ac:dyDescent="0.3">
      <c r="F455"/>
      <c r="G455" s="81"/>
      <c r="H455"/>
    </row>
    <row r="456" spans="6:8" x14ac:dyDescent="0.3">
      <c r="F456"/>
      <c r="G456" s="81"/>
      <c r="H456"/>
    </row>
    <row r="457" spans="6:8" x14ac:dyDescent="0.3">
      <c r="F457"/>
      <c r="G457" s="81"/>
      <c r="H457"/>
    </row>
    <row r="458" spans="6:8" x14ac:dyDescent="0.3">
      <c r="F458"/>
      <c r="G458" s="81"/>
      <c r="H458"/>
    </row>
    <row r="459" spans="6:8" x14ac:dyDescent="0.3">
      <c r="F459"/>
      <c r="G459" s="81"/>
      <c r="H459"/>
    </row>
    <row r="460" spans="6:8" x14ac:dyDescent="0.3">
      <c r="F460"/>
      <c r="G460" s="81"/>
      <c r="H460"/>
    </row>
    <row r="461" spans="6:8" x14ac:dyDescent="0.3">
      <c r="F461"/>
      <c r="G461" s="81"/>
      <c r="H461"/>
    </row>
    <row r="462" spans="6:8" x14ac:dyDescent="0.3">
      <c r="F462"/>
      <c r="G462" s="81"/>
      <c r="H462"/>
    </row>
    <row r="463" spans="6:8" x14ac:dyDescent="0.3">
      <c r="F463"/>
      <c r="G463" s="81"/>
      <c r="H463"/>
    </row>
    <row r="464" spans="6:8" x14ac:dyDescent="0.3">
      <c r="F464"/>
      <c r="G464" s="81"/>
      <c r="H464"/>
    </row>
    <row r="465" spans="6:8" x14ac:dyDescent="0.3">
      <c r="F465"/>
      <c r="G465" s="81"/>
      <c r="H465"/>
    </row>
    <row r="466" spans="6:8" x14ac:dyDescent="0.3">
      <c r="F466"/>
      <c r="G466" s="81"/>
      <c r="H466"/>
    </row>
    <row r="467" spans="6:8" x14ac:dyDescent="0.3">
      <c r="F467"/>
      <c r="G467" s="81"/>
      <c r="H467"/>
    </row>
    <row r="468" spans="6:8" x14ac:dyDescent="0.3">
      <c r="F468"/>
      <c r="G468" s="81"/>
      <c r="H468"/>
    </row>
    <row r="469" spans="6:8" x14ac:dyDescent="0.3">
      <c r="F469"/>
      <c r="G469" s="81"/>
      <c r="H469"/>
    </row>
    <row r="470" spans="6:8" x14ac:dyDescent="0.3">
      <c r="F470"/>
      <c r="G470" s="81"/>
      <c r="H470"/>
    </row>
    <row r="471" spans="6:8" x14ac:dyDescent="0.3">
      <c r="F471"/>
      <c r="G471" s="81"/>
      <c r="H471"/>
    </row>
    <row r="472" spans="6:8" x14ac:dyDescent="0.3">
      <c r="F472"/>
      <c r="G472" s="81"/>
      <c r="H472"/>
    </row>
    <row r="473" spans="6:8" x14ac:dyDescent="0.3">
      <c r="F473"/>
      <c r="G473" s="81"/>
      <c r="H473"/>
    </row>
    <row r="474" spans="6:8" x14ac:dyDescent="0.3">
      <c r="F474"/>
      <c r="G474" s="81"/>
      <c r="H474"/>
    </row>
    <row r="475" spans="6:8" x14ac:dyDescent="0.3">
      <c r="F475"/>
      <c r="G475" s="81"/>
      <c r="H475"/>
    </row>
    <row r="476" spans="6:8" x14ac:dyDescent="0.3">
      <c r="F476"/>
      <c r="G476" s="81"/>
      <c r="H476"/>
    </row>
    <row r="477" spans="6:8" x14ac:dyDescent="0.3">
      <c r="F477"/>
      <c r="G477" s="81"/>
      <c r="H477"/>
    </row>
    <row r="478" spans="6:8" x14ac:dyDescent="0.3">
      <c r="F478"/>
      <c r="G478" s="81"/>
      <c r="H478"/>
    </row>
    <row r="479" spans="6:8" x14ac:dyDescent="0.3">
      <c r="F479"/>
      <c r="G479" s="81"/>
      <c r="H479"/>
    </row>
    <row r="480" spans="6:8" x14ac:dyDescent="0.3">
      <c r="F480"/>
      <c r="G480" s="81"/>
      <c r="H480"/>
    </row>
    <row r="481" spans="6:8" x14ac:dyDescent="0.3">
      <c r="F481"/>
      <c r="G481" s="81"/>
      <c r="H481"/>
    </row>
    <row r="482" spans="6:8" x14ac:dyDescent="0.3">
      <c r="F482"/>
      <c r="G482" s="81"/>
      <c r="H482"/>
    </row>
    <row r="483" spans="6:8" x14ac:dyDescent="0.3">
      <c r="F483"/>
      <c r="G483" s="81"/>
      <c r="H483"/>
    </row>
    <row r="484" spans="6:8" x14ac:dyDescent="0.3">
      <c r="F484"/>
      <c r="G484" s="81"/>
      <c r="H484"/>
    </row>
    <row r="485" spans="6:8" x14ac:dyDescent="0.3">
      <c r="F485"/>
      <c r="G485" s="81"/>
      <c r="H485"/>
    </row>
    <row r="486" spans="6:8" x14ac:dyDescent="0.3">
      <c r="F486"/>
      <c r="G486" s="81"/>
      <c r="H486"/>
    </row>
    <row r="487" spans="6:8" x14ac:dyDescent="0.3">
      <c r="F487"/>
      <c r="G487" s="81"/>
      <c r="H487"/>
    </row>
    <row r="488" spans="6:8" x14ac:dyDescent="0.3">
      <c r="F488"/>
      <c r="G488" s="81"/>
      <c r="H488"/>
    </row>
    <row r="489" spans="6:8" x14ac:dyDescent="0.3">
      <c r="F489"/>
      <c r="G489" s="81"/>
      <c r="H489"/>
    </row>
    <row r="490" spans="6:8" x14ac:dyDescent="0.3">
      <c r="F490"/>
      <c r="G490" s="81"/>
      <c r="H490"/>
    </row>
    <row r="491" spans="6:8" x14ac:dyDescent="0.3">
      <c r="F491"/>
      <c r="G491" s="81"/>
      <c r="H491"/>
    </row>
    <row r="492" spans="6:8" x14ac:dyDescent="0.3">
      <c r="F492"/>
      <c r="G492" s="81"/>
      <c r="H492"/>
    </row>
    <row r="493" spans="6:8" x14ac:dyDescent="0.3">
      <c r="F493"/>
      <c r="G493" s="81"/>
      <c r="H493"/>
    </row>
    <row r="494" spans="6:8" x14ac:dyDescent="0.3">
      <c r="F494"/>
      <c r="G494" s="81"/>
      <c r="H494"/>
    </row>
    <row r="495" spans="6:8" x14ac:dyDescent="0.3">
      <c r="F495"/>
      <c r="G495" s="81"/>
      <c r="H495"/>
    </row>
    <row r="496" spans="6:8" x14ac:dyDescent="0.3">
      <c r="F496"/>
      <c r="G496" s="81"/>
      <c r="H496"/>
    </row>
    <row r="497" spans="6:8" x14ac:dyDescent="0.3">
      <c r="F497"/>
      <c r="G497" s="81"/>
      <c r="H497"/>
    </row>
    <row r="498" spans="6:8" x14ac:dyDescent="0.3">
      <c r="F498"/>
      <c r="G498" s="81"/>
      <c r="H498"/>
    </row>
    <row r="499" spans="6:8" x14ac:dyDescent="0.3">
      <c r="F499"/>
      <c r="G499" s="81"/>
      <c r="H499"/>
    </row>
    <row r="500" spans="6:8" x14ac:dyDescent="0.3">
      <c r="F500"/>
      <c r="G500" s="81"/>
      <c r="H500"/>
    </row>
    <row r="501" spans="6:8" x14ac:dyDescent="0.3">
      <c r="F501"/>
      <c r="G501" s="81"/>
      <c r="H501"/>
    </row>
    <row r="502" spans="6:8" x14ac:dyDescent="0.3">
      <c r="F502"/>
      <c r="G502" s="81"/>
      <c r="H502"/>
    </row>
    <row r="503" spans="6:8" x14ac:dyDescent="0.3">
      <c r="F503"/>
      <c r="G503" s="81"/>
      <c r="H503"/>
    </row>
    <row r="504" spans="6:8" x14ac:dyDescent="0.3">
      <c r="F504"/>
      <c r="G504" s="81"/>
      <c r="H504"/>
    </row>
    <row r="505" spans="6:8" x14ac:dyDescent="0.3">
      <c r="F505"/>
      <c r="G505" s="81"/>
      <c r="H505"/>
    </row>
    <row r="506" spans="6:8" x14ac:dyDescent="0.3">
      <c r="F506"/>
      <c r="G506" s="81"/>
      <c r="H506"/>
    </row>
    <row r="507" spans="6:8" x14ac:dyDescent="0.3">
      <c r="F507"/>
      <c r="G507" s="81"/>
      <c r="H507"/>
    </row>
    <row r="508" spans="6:8" x14ac:dyDescent="0.3">
      <c r="F508"/>
      <c r="G508" s="81"/>
      <c r="H508"/>
    </row>
    <row r="509" spans="6:8" x14ac:dyDescent="0.3">
      <c r="F509"/>
      <c r="G509" s="81"/>
      <c r="H509"/>
    </row>
    <row r="510" spans="6:8" x14ac:dyDescent="0.3">
      <c r="F510"/>
      <c r="G510" s="81"/>
      <c r="H510"/>
    </row>
    <row r="511" spans="6:8" x14ac:dyDescent="0.3">
      <c r="F511"/>
      <c r="G511" s="81"/>
      <c r="H511"/>
    </row>
    <row r="512" spans="6:8" x14ac:dyDescent="0.3">
      <c r="F512"/>
      <c r="G512" s="81"/>
      <c r="H512"/>
    </row>
    <row r="513" spans="6:8" x14ac:dyDescent="0.3">
      <c r="F513"/>
      <c r="G513" s="81"/>
      <c r="H513"/>
    </row>
    <row r="514" spans="6:8" x14ac:dyDescent="0.3">
      <c r="F514"/>
      <c r="G514" s="81"/>
      <c r="H514"/>
    </row>
    <row r="515" spans="6:8" x14ac:dyDescent="0.3">
      <c r="F515"/>
      <c r="G515" s="81"/>
      <c r="H515"/>
    </row>
    <row r="516" spans="6:8" x14ac:dyDescent="0.3">
      <c r="F516"/>
      <c r="G516" s="81"/>
      <c r="H516"/>
    </row>
    <row r="517" spans="6:8" x14ac:dyDescent="0.3">
      <c r="F517"/>
      <c r="G517" s="81"/>
      <c r="H517"/>
    </row>
    <row r="518" spans="6:8" x14ac:dyDescent="0.3">
      <c r="F518"/>
      <c r="G518" s="81"/>
      <c r="H518"/>
    </row>
    <row r="519" spans="6:8" x14ac:dyDescent="0.3">
      <c r="F519"/>
      <c r="G519" s="81"/>
      <c r="H519"/>
    </row>
    <row r="520" spans="6:8" x14ac:dyDescent="0.3">
      <c r="F520"/>
      <c r="G520" s="81"/>
      <c r="H520"/>
    </row>
    <row r="521" spans="6:8" x14ac:dyDescent="0.3">
      <c r="F521"/>
      <c r="G521" s="81"/>
      <c r="H521"/>
    </row>
    <row r="522" spans="6:8" x14ac:dyDescent="0.3">
      <c r="F522"/>
      <c r="G522" s="81"/>
      <c r="H522"/>
    </row>
    <row r="523" spans="6:8" x14ac:dyDescent="0.3">
      <c r="F523"/>
      <c r="G523" s="81"/>
      <c r="H523"/>
    </row>
    <row r="524" spans="6:8" x14ac:dyDescent="0.3">
      <c r="F524"/>
      <c r="G524" s="81"/>
      <c r="H524"/>
    </row>
    <row r="525" spans="6:8" x14ac:dyDescent="0.3">
      <c r="F525"/>
      <c r="G525" s="81"/>
      <c r="H525"/>
    </row>
    <row r="526" spans="6:8" x14ac:dyDescent="0.3">
      <c r="F526"/>
      <c r="G526" s="81"/>
      <c r="H526"/>
    </row>
    <row r="527" spans="6:8" x14ac:dyDescent="0.3">
      <c r="F527"/>
      <c r="G527" s="81"/>
      <c r="H527"/>
    </row>
    <row r="528" spans="6:8" x14ac:dyDescent="0.3">
      <c r="F528"/>
      <c r="G528" s="81"/>
      <c r="H528"/>
    </row>
    <row r="529" spans="6:8" x14ac:dyDescent="0.3">
      <c r="F529"/>
      <c r="G529" s="81"/>
      <c r="H529"/>
    </row>
    <row r="530" spans="6:8" x14ac:dyDescent="0.3">
      <c r="F530"/>
      <c r="G530" s="81"/>
      <c r="H530"/>
    </row>
    <row r="531" spans="6:8" x14ac:dyDescent="0.3">
      <c r="F531"/>
      <c r="G531" s="81"/>
      <c r="H531"/>
    </row>
    <row r="532" spans="6:8" x14ac:dyDescent="0.3">
      <c r="F532"/>
      <c r="G532" s="81"/>
      <c r="H532"/>
    </row>
    <row r="533" spans="6:8" x14ac:dyDescent="0.3">
      <c r="F533"/>
      <c r="G533" s="81"/>
      <c r="H533"/>
    </row>
    <row r="534" spans="6:8" x14ac:dyDescent="0.3">
      <c r="F534"/>
      <c r="G534" s="81"/>
      <c r="H534"/>
    </row>
    <row r="535" spans="6:8" x14ac:dyDescent="0.3">
      <c r="F535"/>
      <c r="G535" s="81"/>
      <c r="H535"/>
    </row>
    <row r="536" spans="6:8" x14ac:dyDescent="0.3">
      <c r="F536"/>
      <c r="G536" s="81"/>
      <c r="H536"/>
    </row>
    <row r="537" spans="6:8" x14ac:dyDescent="0.3">
      <c r="F537"/>
      <c r="G537" s="81"/>
      <c r="H537"/>
    </row>
    <row r="538" spans="6:8" x14ac:dyDescent="0.3">
      <c r="F538"/>
      <c r="G538" s="81"/>
      <c r="H538"/>
    </row>
    <row r="539" spans="6:8" x14ac:dyDescent="0.3">
      <c r="F539"/>
      <c r="G539" s="81"/>
      <c r="H539"/>
    </row>
    <row r="540" spans="6:8" x14ac:dyDescent="0.3">
      <c r="F540"/>
      <c r="G540" s="81"/>
      <c r="H540"/>
    </row>
    <row r="541" spans="6:8" x14ac:dyDescent="0.3">
      <c r="F541"/>
      <c r="G541" s="81"/>
      <c r="H541"/>
    </row>
    <row r="542" spans="6:8" x14ac:dyDescent="0.3">
      <c r="F542"/>
      <c r="G542" s="81"/>
      <c r="H542"/>
    </row>
    <row r="543" spans="6:8" x14ac:dyDescent="0.3">
      <c r="F543"/>
      <c r="G543" s="81"/>
      <c r="H543"/>
    </row>
    <row r="544" spans="6:8" x14ac:dyDescent="0.3">
      <c r="F544"/>
      <c r="G544" s="81"/>
      <c r="H544"/>
    </row>
    <row r="545" spans="6:8" x14ac:dyDescent="0.3">
      <c r="F545"/>
      <c r="G545" s="81"/>
      <c r="H545"/>
    </row>
    <row r="546" spans="6:8" x14ac:dyDescent="0.3">
      <c r="F546"/>
      <c r="G546" s="81"/>
      <c r="H546"/>
    </row>
    <row r="547" spans="6:8" x14ac:dyDescent="0.3">
      <c r="F547"/>
      <c r="G547" s="81"/>
      <c r="H547"/>
    </row>
    <row r="548" spans="6:8" x14ac:dyDescent="0.3">
      <c r="F548"/>
      <c r="G548" s="81"/>
      <c r="H548"/>
    </row>
    <row r="549" spans="6:8" x14ac:dyDescent="0.3">
      <c r="F549"/>
      <c r="G549" s="81"/>
      <c r="H549"/>
    </row>
    <row r="550" spans="6:8" x14ac:dyDescent="0.3">
      <c r="F550"/>
      <c r="G550" s="81"/>
      <c r="H550"/>
    </row>
    <row r="551" spans="6:8" x14ac:dyDescent="0.3">
      <c r="F551"/>
      <c r="G551" s="81"/>
      <c r="H551"/>
    </row>
    <row r="552" spans="6:8" x14ac:dyDescent="0.3">
      <c r="F552"/>
      <c r="G552" s="81"/>
      <c r="H552"/>
    </row>
    <row r="553" spans="6:8" x14ac:dyDescent="0.3">
      <c r="F553"/>
      <c r="G553" s="81"/>
      <c r="H553"/>
    </row>
    <row r="554" spans="6:8" x14ac:dyDescent="0.3">
      <c r="F554"/>
      <c r="G554" s="81"/>
      <c r="H554"/>
    </row>
    <row r="555" spans="6:8" x14ac:dyDescent="0.3">
      <c r="F555"/>
      <c r="G555" s="81"/>
      <c r="H555"/>
    </row>
    <row r="556" spans="6:8" x14ac:dyDescent="0.3">
      <c r="F556"/>
      <c r="G556" s="81"/>
      <c r="H556"/>
    </row>
    <row r="557" spans="6:8" x14ac:dyDescent="0.3">
      <c r="F557"/>
      <c r="G557" s="81"/>
      <c r="H557"/>
    </row>
    <row r="558" spans="6:8" x14ac:dyDescent="0.3">
      <c r="F558"/>
      <c r="G558" s="81"/>
      <c r="H558"/>
    </row>
    <row r="559" spans="6:8" x14ac:dyDescent="0.3">
      <c r="F559"/>
      <c r="G559" s="81"/>
      <c r="H559"/>
    </row>
    <row r="560" spans="6:8" x14ac:dyDescent="0.3">
      <c r="F560"/>
      <c r="G560" s="81"/>
      <c r="H560"/>
    </row>
    <row r="561" spans="6:8" x14ac:dyDescent="0.3">
      <c r="F561"/>
      <c r="G561" s="81"/>
      <c r="H561"/>
    </row>
    <row r="562" spans="6:8" x14ac:dyDescent="0.3">
      <c r="F562"/>
      <c r="G562" s="81"/>
      <c r="H562"/>
    </row>
    <row r="563" spans="6:8" x14ac:dyDescent="0.3">
      <c r="F563"/>
      <c r="G563" s="81"/>
      <c r="H563"/>
    </row>
    <row r="564" spans="6:8" x14ac:dyDescent="0.3">
      <c r="F564"/>
      <c r="G564" s="81"/>
      <c r="H564"/>
    </row>
    <row r="565" spans="6:8" x14ac:dyDescent="0.3">
      <c r="F565"/>
      <c r="G565" s="81"/>
      <c r="H565"/>
    </row>
    <row r="566" spans="6:8" x14ac:dyDescent="0.3">
      <c r="F566"/>
      <c r="G566" s="81"/>
      <c r="H566"/>
    </row>
    <row r="567" spans="6:8" x14ac:dyDescent="0.3">
      <c r="F567"/>
      <c r="G567" s="81"/>
      <c r="H567"/>
    </row>
    <row r="568" spans="6:8" x14ac:dyDescent="0.3">
      <c r="F568"/>
      <c r="G568" s="81"/>
      <c r="H568"/>
    </row>
    <row r="569" spans="6:8" x14ac:dyDescent="0.3">
      <c r="F569"/>
      <c r="G569" s="81"/>
      <c r="H569"/>
    </row>
    <row r="570" spans="6:8" x14ac:dyDescent="0.3">
      <c r="F570"/>
      <c r="G570" s="81"/>
      <c r="H570"/>
    </row>
    <row r="571" spans="6:8" x14ac:dyDescent="0.3">
      <c r="F571"/>
      <c r="G571" s="81"/>
      <c r="H571"/>
    </row>
    <row r="572" spans="6:8" x14ac:dyDescent="0.3">
      <c r="F572"/>
      <c r="G572" s="81"/>
      <c r="H572"/>
    </row>
    <row r="573" spans="6:8" x14ac:dyDescent="0.3">
      <c r="F573"/>
      <c r="G573" s="81"/>
      <c r="H573"/>
    </row>
    <row r="574" spans="6:8" x14ac:dyDescent="0.3">
      <c r="F574"/>
      <c r="G574" s="81"/>
      <c r="H574"/>
    </row>
    <row r="575" spans="6:8" x14ac:dyDescent="0.3">
      <c r="F575"/>
      <c r="G575" s="81"/>
      <c r="H575"/>
    </row>
    <row r="576" spans="6:8" x14ac:dyDescent="0.3">
      <c r="F576"/>
      <c r="G576" s="81"/>
      <c r="H576"/>
    </row>
    <row r="577" spans="6:8" x14ac:dyDescent="0.3">
      <c r="F577"/>
      <c r="G577" s="81"/>
      <c r="H577"/>
    </row>
    <row r="578" spans="6:8" x14ac:dyDescent="0.3">
      <c r="F578"/>
      <c r="G578" s="81"/>
      <c r="H578"/>
    </row>
    <row r="579" spans="6:8" x14ac:dyDescent="0.3">
      <c r="F579"/>
      <c r="G579" s="81"/>
      <c r="H579"/>
    </row>
    <row r="580" spans="6:8" x14ac:dyDescent="0.3">
      <c r="F580"/>
      <c r="G580" s="81"/>
      <c r="H580"/>
    </row>
    <row r="581" spans="6:8" x14ac:dyDescent="0.3">
      <c r="F581"/>
      <c r="G581" s="81"/>
      <c r="H581"/>
    </row>
    <row r="582" spans="6:8" x14ac:dyDescent="0.3">
      <c r="F582"/>
      <c r="G582" s="81"/>
      <c r="H582"/>
    </row>
    <row r="583" spans="6:8" x14ac:dyDescent="0.3">
      <c r="F583"/>
      <c r="G583" s="81"/>
      <c r="H583"/>
    </row>
    <row r="584" spans="6:8" x14ac:dyDescent="0.3">
      <c r="F584"/>
      <c r="G584" s="81"/>
      <c r="H584"/>
    </row>
    <row r="585" spans="6:8" x14ac:dyDescent="0.3">
      <c r="F585"/>
      <c r="G585" s="81"/>
      <c r="H585"/>
    </row>
    <row r="586" spans="6:8" x14ac:dyDescent="0.3">
      <c r="F586"/>
      <c r="G586" s="81"/>
      <c r="H586"/>
    </row>
    <row r="587" spans="6:8" x14ac:dyDescent="0.3">
      <c r="F587"/>
      <c r="G587" s="81"/>
      <c r="H587"/>
    </row>
    <row r="588" spans="6:8" x14ac:dyDescent="0.3">
      <c r="F588"/>
      <c r="G588" s="81"/>
      <c r="H588"/>
    </row>
    <row r="589" spans="6:8" x14ac:dyDescent="0.3">
      <c r="F589"/>
      <c r="G589" s="81"/>
      <c r="H589"/>
    </row>
    <row r="590" spans="6:8" x14ac:dyDescent="0.3">
      <c r="F590"/>
      <c r="G590" s="81"/>
      <c r="H590"/>
    </row>
    <row r="591" spans="6:8" x14ac:dyDescent="0.3">
      <c r="F591"/>
      <c r="G591" s="81"/>
      <c r="H591"/>
    </row>
    <row r="592" spans="6:8" x14ac:dyDescent="0.3">
      <c r="F592"/>
      <c r="G592" s="81"/>
      <c r="H592"/>
    </row>
    <row r="593" spans="6:8" x14ac:dyDescent="0.3">
      <c r="F593"/>
      <c r="G593" s="81"/>
      <c r="H593"/>
    </row>
    <row r="594" spans="6:8" x14ac:dyDescent="0.3">
      <c r="F594"/>
      <c r="G594" s="81"/>
      <c r="H594"/>
    </row>
    <row r="595" spans="6:8" x14ac:dyDescent="0.3">
      <c r="F595"/>
      <c r="G595" s="81"/>
      <c r="H595"/>
    </row>
    <row r="596" spans="6:8" x14ac:dyDescent="0.3">
      <c r="F596"/>
      <c r="G596" s="81"/>
      <c r="H596"/>
    </row>
    <row r="597" spans="6:8" x14ac:dyDescent="0.3">
      <c r="F597"/>
      <c r="G597" s="81"/>
      <c r="H597"/>
    </row>
    <row r="598" spans="6:8" x14ac:dyDescent="0.3">
      <c r="F598"/>
      <c r="G598" s="81"/>
      <c r="H598"/>
    </row>
    <row r="599" spans="6:8" x14ac:dyDescent="0.3">
      <c r="F599"/>
      <c r="G599" s="81"/>
      <c r="H599"/>
    </row>
    <row r="600" spans="6:8" x14ac:dyDescent="0.3">
      <c r="F600"/>
      <c r="G600" s="81"/>
      <c r="H600"/>
    </row>
    <row r="601" spans="6:8" x14ac:dyDescent="0.3">
      <c r="F601"/>
      <c r="G601" s="81"/>
      <c r="H601"/>
    </row>
    <row r="602" spans="6:8" x14ac:dyDescent="0.3">
      <c r="F602"/>
      <c r="G602" s="81"/>
      <c r="H602"/>
    </row>
    <row r="603" spans="6:8" x14ac:dyDescent="0.3">
      <c r="F603"/>
      <c r="G603" s="81"/>
      <c r="H603"/>
    </row>
    <row r="604" spans="6:8" x14ac:dyDescent="0.3">
      <c r="F604"/>
      <c r="G604" s="81"/>
      <c r="H604"/>
    </row>
    <row r="605" spans="6:8" x14ac:dyDescent="0.3">
      <c r="F605"/>
      <c r="G605" s="81"/>
      <c r="H605"/>
    </row>
    <row r="606" spans="6:8" x14ac:dyDescent="0.3">
      <c r="F606"/>
      <c r="G606" s="81"/>
      <c r="H606"/>
    </row>
    <row r="607" spans="6:8" x14ac:dyDescent="0.3">
      <c r="F607"/>
      <c r="G607" s="81"/>
      <c r="H607"/>
    </row>
    <row r="608" spans="6:8" x14ac:dyDescent="0.3">
      <c r="F608"/>
      <c r="G608" s="81"/>
      <c r="H608"/>
    </row>
    <row r="609" spans="6:8" x14ac:dyDescent="0.3">
      <c r="F609"/>
      <c r="G609" s="81"/>
      <c r="H609"/>
    </row>
    <row r="610" spans="6:8" x14ac:dyDescent="0.3">
      <c r="F610"/>
      <c r="G610" s="81"/>
      <c r="H610"/>
    </row>
    <row r="611" spans="6:8" x14ac:dyDescent="0.3">
      <c r="F611"/>
      <c r="G611" s="81"/>
      <c r="H611"/>
    </row>
    <row r="612" spans="6:8" x14ac:dyDescent="0.3">
      <c r="F612"/>
      <c r="G612" s="81"/>
      <c r="H612"/>
    </row>
    <row r="613" spans="6:8" x14ac:dyDescent="0.3">
      <c r="F613"/>
      <c r="G613" s="81"/>
      <c r="H613"/>
    </row>
    <row r="614" spans="6:8" x14ac:dyDescent="0.3">
      <c r="F614"/>
      <c r="G614" s="81"/>
      <c r="H614"/>
    </row>
    <row r="615" spans="6:8" x14ac:dyDescent="0.3">
      <c r="F615"/>
      <c r="G615" s="81"/>
      <c r="H615"/>
    </row>
    <row r="616" spans="6:8" x14ac:dyDescent="0.3">
      <c r="F616"/>
      <c r="G616" s="81"/>
      <c r="H616"/>
    </row>
    <row r="617" spans="6:8" x14ac:dyDescent="0.3">
      <c r="F617"/>
      <c r="G617" s="81"/>
      <c r="H617"/>
    </row>
    <row r="618" spans="6:8" x14ac:dyDescent="0.3">
      <c r="F618"/>
      <c r="G618" s="81"/>
      <c r="H618"/>
    </row>
    <row r="619" spans="6:8" x14ac:dyDescent="0.3">
      <c r="F619"/>
      <c r="G619" s="81"/>
      <c r="H619"/>
    </row>
    <row r="620" spans="6:8" x14ac:dyDescent="0.3">
      <c r="F620"/>
      <c r="G620" s="81"/>
      <c r="H620"/>
    </row>
    <row r="621" spans="6:8" x14ac:dyDescent="0.3">
      <c r="F621"/>
      <c r="G621" s="81"/>
      <c r="H621"/>
    </row>
    <row r="622" spans="6:8" x14ac:dyDescent="0.3">
      <c r="F622"/>
      <c r="G622" s="81"/>
      <c r="H622"/>
    </row>
    <row r="623" spans="6:8" x14ac:dyDescent="0.3">
      <c r="F623"/>
      <c r="G623" s="81"/>
      <c r="H623"/>
    </row>
    <row r="624" spans="6:8" x14ac:dyDescent="0.3">
      <c r="F624"/>
      <c r="G624" s="81"/>
      <c r="H624"/>
    </row>
    <row r="625" spans="6:8" x14ac:dyDescent="0.3">
      <c r="F625"/>
      <c r="G625" s="81"/>
      <c r="H625"/>
    </row>
    <row r="626" spans="6:8" x14ac:dyDescent="0.3">
      <c r="F626"/>
      <c r="G626" s="81"/>
      <c r="H626"/>
    </row>
    <row r="627" spans="6:8" x14ac:dyDescent="0.3">
      <c r="F627"/>
      <c r="G627" s="81"/>
      <c r="H627"/>
    </row>
    <row r="628" spans="6:8" x14ac:dyDescent="0.3">
      <c r="F628"/>
      <c r="G628" s="81"/>
      <c r="H628"/>
    </row>
    <row r="629" spans="6:8" x14ac:dyDescent="0.3">
      <c r="F629"/>
      <c r="G629" s="81"/>
      <c r="H629"/>
    </row>
    <row r="630" spans="6:8" x14ac:dyDescent="0.3">
      <c r="F630"/>
      <c r="G630" s="81"/>
      <c r="H630"/>
    </row>
    <row r="631" spans="6:8" x14ac:dyDescent="0.3">
      <c r="F631"/>
      <c r="G631" s="81"/>
      <c r="H631"/>
    </row>
    <row r="632" spans="6:8" x14ac:dyDescent="0.3">
      <c r="F632"/>
      <c r="G632" s="81"/>
      <c r="H632"/>
    </row>
    <row r="633" spans="6:8" x14ac:dyDescent="0.3">
      <c r="F633"/>
      <c r="G633" s="81"/>
      <c r="H633"/>
    </row>
    <row r="634" spans="6:8" x14ac:dyDescent="0.3">
      <c r="F634"/>
      <c r="G634" s="81"/>
      <c r="H634"/>
    </row>
    <row r="635" spans="6:8" x14ac:dyDescent="0.3">
      <c r="F635"/>
      <c r="G635" s="81"/>
      <c r="H635"/>
    </row>
    <row r="636" spans="6:8" x14ac:dyDescent="0.3">
      <c r="F636"/>
      <c r="G636" s="81"/>
      <c r="H636"/>
    </row>
    <row r="637" spans="6:8" x14ac:dyDescent="0.3">
      <c r="F637"/>
      <c r="G637" s="81"/>
      <c r="H637"/>
    </row>
    <row r="638" spans="6:8" x14ac:dyDescent="0.3">
      <c r="F638"/>
      <c r="G638" s="81"/>
      <c r="H638"/>
    </row>
    <row r="639" spans="6:8" x14ac:dyDescent="0.3">
      <c r="F639"/>
      <c r="G639" s="81"/>
      <c r="H639"/>
    </row>
    <row r="640" spans="6:8" x14ac:dyDescent="0.3">
      <c r="F640"/>
      <c r="G640" s="81"/>
      <c r="H640"/>
    </row>
    <row r="641" spans="6:8" x14ac:dyDescent="0.3">
      <c r="F641"/>
      <c r="G641" s="81"/>
      <c r="H641"/>
    </row>
    <row r="642" spans="6:8" x14ac:dyDescent="0.3">
      <c r="F642"/>
      <c r="G642" s="81"/>
      <c r="H642"/>
    </row>
    <row r="643" spans="6:8" x14ac:dyDescent="0.3">
      <c r="F643"/>
      <c r="G643" s="81"/>
      <c r="H643"/>
    </row>
    <row r="644" spans="6:8" x14ac:dyDescent="0.3">
      <c r="F644"/>
      <c r="G644" s="81"/>
      <c r="H644"/>
    </row>
    <row r="645" spans="6:8" x14ac:dyDescent="0.3">
      <c r="F645"/>
      <c r="G645" s="81"/>
      <c r="H645"/>
    </row>
    <row r="646" spans="6:8" x14ac:dyDescent="0.3">
      <c r="F646"/>
      <c r="G646" s="81"/>
      <c r="H646"/>
    </row>
    <row r="647" spans="6:8" x14ac:dyDescent="0.3">
      <c r="F647"/>
      <c r="G647" s="81"/>
      <c r="H647"/>
    </row>
    <row r="648" spans="6:8" x14ac:dyDescent="0.3">
      <c r="F648"/>
      <c r="G648" s="81"/>
      <c r="H648"/>
    </row>
    <row r="649" spans="6:8" x14ac:dyDescent="0.3">
      <c r="F649"/>
      <c r="G649" s="81"/>
      <c r="H649"/>
    </row>
    <row r="650" spans="6:8" x14ac:dyDescent="0.3">
      <c r="F650"/>
      <c r="G650" s="81"/>
      <c r="H650"/>
    </row>
    <row r="651" spans="6:8" x14ac:dyDescent="0.3">
      <c r="F651"/>
      <c r="G651" s="81"/>
      <c r="H651"/>
    </row>
    <row r="652" spans="6:8" x14ac:dyDescent="0.3">
      <c r="F652"/>
      <c r="G652" s="81"/>
      <c r="H652"/>
    </row>
    <row r="653" spans="6:8" x14ac:dyDescent="0.3">
      <c r="F653"/>
      <c r="G653" s="81"/>
      <c r="H653"/>
    </row>
    <row r="654" spans="6:8" x14ac:dyDescent="0.3">
      <c r="F654"/>
      <c r="G654" s="81"/>
      <c r="H654"/>
    </row>
    <row r="655" spans="6:8" x14ac:dyDescent="0.3">
      <c r="F655"/>
      <c r="G655" s="81"/>
      <c r="H655"/>
    </row>
    <row r="656" spans="6:8" x14ac:dyDescent="0.3">
      <c r="F656"/>
      <c r="G656" s="81"/>
      <c r="H656"/>
    </row>
    <row r="657" spans="6:8" x14ac:dyDescent="0.3">
      <c r="F657"/>
      <c r="G657" s="81"/>
      <c r="H657"/>
    </row>
    <row r="658" spans="6:8" x14ac:dyDescent="0.3">
      <c r="F658"/>
      <c r="G658" s="81"/>
      <c r="H658"/>
    </row>
    <row r="659" spans="6:8" x14ac:dyDescent="0.3">
      <c r="F659"/>
      <c r="G659" s="81"/>
      <c r="H659"/>
    </row>
    <row r="660" spans="6:8" x14ac:dyDescent="0.3">
      <c r="F660"/>
      <c r="G660" s="81"/>
      <c r="H660"/>
    </row>
    <row r="661" spans="6:8" x14ac:dyDescent="0.3">
      <c r="F661"/>
      <c r="G661" s="81"/>
      <c r="H661"/>
    </row>
    <row r="662" spans="6:8" x14ac:dyDescent="0.3">
      <c r="F662"/>
      <c r="G662" s="81"/>
      <c r="H662"/>
    </row>
    <row r="663" spans="6:8" x14ac:dyDescent="0.3">
      <c r="F663"/>
      <c r="G663" s="81"/>
      <c r="H663"/>
    </row>
    <row r="664" spans="6:8" x14ac:dyDescent="0.3">
      <c r="F664"/>
      <c r="G664" s="81"/>
      <c r="H664"/>
    </row>
    <row r="665" spans="6:8" x14ac:dyDescent="0.3">
      <c r="F665"/>
      <c r="G665" s="81"/>
      <c r="H665"/>
    </row>
    <row r="666" spans="6:8" x14ac:dyDescent="0.3">
      <c r="F666"/>
      <c r="G666" s="81"/>
      <c r="H666"/>
    </row>
    <row r="667" spans="6:8" x14ac:dyDescent="0.3">
      <c r="F667"/>
      <c r="G667" s="81"/>
      <c r="H667"/>
    </row>
    <row r="668" spans="6:8" x14ac:dyDescent="0.3">
      <c r="F668"/>
      <c r="G668" s="81"/>
      <c r="H668"/>
    </row>
    <row r="669" spans="6:8" x14ac:dyDescent="0.3">
      <c r="F669"/>
      <c r="G669" s="81"/>
      <c r="H669"/>
    </row>
    <row r="670" spans="6:8" x14ac:dyDescent="0.3">
      <c r="F670"/>
      <c r="G670" s="81"/>
      <c r="H670"/>
    </row>
    <row r="671" spans="6:8" x14ac:dyDescent="0.3">
      <c r="F671"/>
      <c r="G671" s="81"/>
      <c r="H671"/>
    </row>
    <row r="672" spans="6:8" x14ac:dyDescent="0.3">
      <c r="F672"/>
      <c r="G672" s="81"/>
      <c r="H672"/>
    </row>
    <row r="673" spans="6:8" x14ac:dyDescent="0.3">
      <c r="F673"/>
      <c r="G673" s="81"/>
      <c r="H673"/>
    </row>
    <row r="674" spans="6:8" x14ac:dyDescent="0.3">
      <c r="F674"/>
      <c r="G674" s="81"/>
      <c r="H674"/>
    </row>
    <row r="675" spans="6:8" x14ac:dyDescent="0.3">
      <c r="F675"/>
      <c r="G675" s="81"/>
      <c r="H675"/>
    </row>
    <row r="676" spans="6:8" x14ac:dyDescent="0.3">
      <c r="F676"/>
      <c r="G676" s="81"/>
      <c r="H676"/>
    </row>
    <row r="677" spans="6:8" x14ac:dyDescent="0.3">
      <c r="F677"/>
      <c r="G677" s="81"/>
      <c r="H677"/>
    </row>
    <row r="678" spans="6:8" x14ac:dyDescent="0.3">
      <c r="F678"/>
      <c r="G678" s="81"/>
      <c r="H678"/>
    </row>
    <row r="679" spans="6:8" x14ac:dyDescent="0.3">
      <c r="F679"/>
      <c r="G679" s="81"/>
      <c r="H679"/>
    </row>
    <row r="680" spans="6:8" x14ac:dyDescent="0.3">
      <c r="F680"/>
      <c r="G680" s="81"/>
      <c r="H680"/>
    </row>
    <row r="681" spans="6:8" x14ac:dyDescent="0.3">
      <c r="F681"/>
      <c r="G681" s="81"/>
      <c r="H681"/>
    </row>
    <row r="682" spans="6:8" x14ac:dyDescent="0.3">
      <c r="F682"/>
      <c r="G682" s="81"/>
      <c r="H682"/>
    </row>
    <row r="683" spans="6:8" x14ac:dyDescent="0.3">
      <c r="F683"/>
      <c r="G683" s="81"/>
      <c r="H683"/>
    </row>
    <row r="684" spans="6:8" x14ac:dyDescent="0.3">
      <c r="F684"/>
      <c r="G684" s="81"/>
      <c r="H684"/>
    </row>
    <row r="685" spans="6:8" x14ac:dyDescent="0.3">
      <c r="F685"/>
      <c r="G685" s="81"/>
      <c r="H685"/>
    </row>
    <row r="686" spans="6:8" x14ac:dyDescent="0.3">
      <c r="F686"/>
      <c r="G686" s="81"/>
      <c r="H686"/>
    </row>
    <row r="687" spans="6:8" x14ac:dyDescent="0.3">
      <c r="F687"/>
      <c r="G687" s="81"/>
      <c r="H687"/>
    </row>
    <row r="688" spans="6:8" x14ac:dyDescent="0.3">
      <c r="F688"/>
      <c r="G688" s="81"/>
      <c r="H688"/>
    </row>
    <row r="689" spans="6:8" x14ac:dyDescent="0.3">
      <c r="F689"/>
      <c r="G689" s="81"/>
      <c r="H689"/>
    </row>
    <row r="690" spans="6:8" x14ac:dyDescent="0.3">
      <c r="F690"/>
      <c r="G690" s="81"/>
      <c r="H690"/>
    </row>
    <row r="691" spans="6:8" x14ac:dyDescent="0.3">
      <c r="F691"/>
      <c r="G691" s="81"/>
      <c r="H691"/>
    </row>
    <row r="692" spans="6:8" x14ac:dyDescent="0.3">
      <c r="F692"/>
      <c r="G692" s="81"/>
      <c r="H692"/>
    </row>
    <row r="693" spans="6:8" x14ac:dyDescent="0.3">
      <c r="F693"/>
      <c r="G693" s="81"/>
      <c r="H693"/>
    </row>
    <row r="694" spans="6:8" x14ac:dyDescent="0.3">
      <c r="F694"/>
      <c r="G694" s="81"/>
      <c r="H694"/>
    </row>
    <row r="695" spans="6:8" x14ac:dyDescent="0.3">
      <c r="F695"/>
      <c r="G695" s="81"/>
      <c r="H695"/>
    </row>
    <row r="696" spans="6:8" x14ac:dyDescent="0.3">
      <c r="F696"/>
      <c r="G696" s="81"/>
      <c r="H696"/>
    </row>
    <row r="697" spans="6:8" x14ac:dyDescent="0.3">
      <c r="F697"/>
      <c r="G697" s="81"/>
      <c r="H697"/>
    </row>
    <row r="698" spans="6:8" x14ac:dyDescent="0.3">
      <c r="F698"/>
      <c r="G698" s="81"/>
      <c r="H698"/>
    </row>
    <row r="699" spans="6:8" x14ac:dyDescent="0.3">
      <c r="F699"/>
      <c r="G699" s="81"/>
      <c r="H699"/>
    </row>
    <row r="700" spans="6:8" x14ac:dyDescent="0.3">
      <c r="F700"/>
      <c r="G700" s="81"/>
      <c r="H700"/>
    </row>
    <row r="701" spans="6:8" x14ac:dyDescent="0.3">
      <c r="F701"/>
      <c r="G701" s="81"/>
      <c r="H701"/>
    </row>
    <row r="702" spans="6:8" x14ac:dyDescent="0.3">
      <c r="F702"/>
      <c r="G702" s="81"/>
      <c r="H702"/>
    </row>
    <row r="703" spans="6:8" x14ac:dyDescent="0.3">
      <c r="F703"/>
      <c r="G703" s="81"/>
      <c r="H703"/>
    </row>
    <row r="704" spans="6:8" x14ac:dyDescent="0.3">
      <c r="F704"/>
      <c r="G704" s="81"/>
      <c r="H704"/>
    </row>
    <row r="705" spans="6:8" x14ac:dyDescent="0.3">
      <c r="F705"/>
      <c r="G705" s="81"/>
      <c r="H705"/>
    </row>
    <row r="706" spans="6:8" x14ac:dyDescent="0.3">
      <c r="F706"/>
      <c r="G706" s="81"/>
      <c r="H706"/>
    </row>
    <row r="707" spans="6:8" x14ac:dyDescent="0.3">
      <c r="F707"/>
      <c r="G707" s="81"/>
      <c r="H707"/>
    </row>
    <row r="708" spans="6:8" x14ac:dyDescent="0.3">
      <c r="F708"/>
      <c r="G708" s="81"/>
      <c r="H708"/>
    </row>
    <row r="709" spans="6:8" x14ac:dyDescent="0.3">
      <c r="F709"/>
      <c r="G709" s="81"/>
      <c r="H709"/>
    </row>
    <row r="710" spans="6:8" x14ac:dyDescent="0.3">
      <c r="F710"/>
      <c r="G710" s="81"/>
      <c r="H710"/>
    </row>
    <row r="711" spans="6:8" x14ac:dyDescent="0.3">
      <c r="F711"/>
      <c r="G711" s="81"/>
      <c r="H711"/>
    </row>
    <row r="712" spans="6:8" x14ac:dyDescent="0.3">
      <c r="F712"/>
      <c r="G712" s="81"/>
      <c r="H712"/>
    </row>
    <row r="713" spans="6:8" x14ac:dyDescent="0.3">
      <c r="F713"/>
      <c r="G713" s="81"/>
      <c r="H713"/>
    </row>
    <row r="714" spans="6:8" x14ac:dyDescent="0.3">
      <c r="F714"/>
      <c r="G714" s="81"/>
      <c r="H714"/>
    </row>
    <row r="715" spans="6:8" x14ac:dyDescent="0.3">
      <c r="F715"/>
      <c r="G715" s="81"/>
      <c r="H715"/>
    </row>
    <row r="716" spans="6:8" x14ac:dyDescent="0.3">
      <c r="F716"/>
      <c r="G716" s="81"/>
      <c r="H716"/>
    </row>
    <row r="717" spans="6:8" x14ac:dyDescent="0.3">
      <c r="F717"/>
      <c r="G717" s="81"/>
      <c r="H717"/>
    </row>
    <row r="718" spans="6:8" x14ac:dyDescent="0.3">
      <c r="F718"/>
      <c r="G718" s="81"/>
      <c r="H718"/>
    </row>
    <row r="719" spans="6:8" x14ac:dyDescent="0.3">
      <c r="F719"/>
      <c r="G719" s="81"/>
      <c r="H719"/>
    </row>
    <row r="720" spans="6:8" x14ac:dyDescent="0.3">
      <c r="F720"/>
      <c r="G720" s="81"/>
      <c r="H720"/>
    </row>
    <row r="721" spans="6:8" x14ac:dyDescent="0.3">
      <c r="F721"/>
      <c r="G721" s="81"/>
      <c r="H721"/>
    </row>
    <row r="722" spans="6:8" x14ac:dyDescent="0.3">
      <c r="F722"/>
      <c r="G722" s="81"/>
      <c r="H722"/>
    </row>
    <row r="723" spans="6:8" x14ac:dyDescent="0.3">
      <c r="F723"/>
      <c r="G723" s="81"/>
      <c r="H723"/>
    </row>
    <row r="724" spans="6:8" x14ac:dyDescent="0.3">
      <c r="F724"/>
      <c r="G724" s="81"/>
      <c r="H724"/>
    </row>
    <row r="725" spans="6:8" x14ac:dyDescent="0.3">
      <c r="F725"/>
      <c r="G725" s="81"/>
      <c r="H725"/>
    </row>
    <row r="726" spans="6:8" x14ac:dyDescent="0.3">
      <c r="F726"/>
      <c r="G726" s="81"/>
      <c r="H726"/>
    </row>
    <row r="727" spans="6:8" x14ac:dyDescent="0.3">
      <c r="F727"/>
      <c r="G727" s="81"/>
      <c r="H727"/>
    </row>
    <row r="728" spans="6:8" x14ac:dyDescent="0.3">
      <c r="F728"/>
      <c r="G728" s="81"/>
      <c r="H728"/>
    </row>
    <row r="729" spans="6:8" x14ac:dyDescent="0.3">
      <c r="F729"/>
      <c r="G729" s="81"/>
      <c r="H729"/>
    </row>
    <row r="730" spans="6:8" x14ac:dyDescent="0.3">
      <c r="F730"/>
      <c r="G730" s="81"/>
      <c r="H730"/>
    </row>
    <row r="731" spans="6:8" x14ac:dyDescent="0.3">
      <c r="F731"/>
      <c r="G731" s="81"/>
      <c r="H731"/>
    </row>
    <row r="732" spans="6:8" x14ac:dyDescent="0.3">
      <c r="F732"/>
      <c r="G732" s="81"/>
      <c r="H732"/>
    </row>
    <row r="733" spans="6:8" x14ac:dyDescent="0.3">
      <c r="F733"/>
      <c r="G733" s="81"/>
      <c r="H733"/>
    </row>
    <row r="734" spans="6:8" x14ac:dyDescent="0.3">
      <c r="F734"/>
      <c r="G734" s="81"/>
      <c r="H734"/>
    </row>
    <row r="735" spans="6:8" x14ac:dyDescent="0.3">
      <c r="F735"/>
      <c r="G735" s="81"/>
      <c r="H735"/>
    </row>
    <row r="736" spans="6:8" x14ac:dyDescent="0.3">
      <c r="F736"/>
      <c r="G736" s="81"/>
      <c r="H736"/>
    </row>
    <row r="737" spans="6:8" x14ac:dyDescent="0.3">
      <c r="F737"/>
      <c r="G737" s="81"/>
      <c r="H737"/>
    </row>
    <row r="738" spans="6:8" x14ac:dyDescent="0.3">
      <c r="F738"/>
      <c r="G738" s="81"/>
      <c r="H738"/>
    </row>
    <row r="739" spans="6:8" x14ac:dyDescent="0.3">
      <c r="F739"/>
      <c r="G739" s="81"/>
      <c r="H739"/>
    </row>
    <row r="740" spans="6:8" x14ac:dyDescent="0.3">
      <c r="F740"/>
      <c r="G740" s="81"/>
      <c r="H740"/>
    </row>
    <row r="741" spans="6:8" x14ac:dyDescent="0.3">
      <c r="F741"/>
      <c r="G741" s="81"/>
      <c r="H741"/>
    </row>
    <row r="742" spans="6:8" x14ac:dyDescent="0.3">
      <c r="F742"/>
      <c r="G742" s="81"/>
      <c r="H742"/>
    </row>
    <row r="743" spans="6:8" x14ac:dyDescent="0.3">
      <c r="F743"/>
      <c r="G743" s="81"/>
      <c r="H743"/>
    </row>
    <row r="744" spans="6:8" x14ac:dyDescent="0.3">
      <c r="F744"/>
      <c r="G744" s="81"/>
      <c r="H744"/>
    </row>
    <row r="745" spans="6:8" x14ac:dyDescent="0.3">
      <c r="F745"/>
      <c r="G745" s="81"/>
      <c r="H745"/>
    </row>
    <row r="746" spans="6:8" x14ac:dyDescent="0.3">
      <c r="F746"/>
      <c r="G746" s="81"/>
      <c r="H746"/>
    </row>
    <row r="747" spans="6:8" x14ac:dyDescent="0.3">
      <c r="F747"/>
      <c r="G747" s="81"/>
      <c r="H747"/>
    </row>
    <row r="748" spans="6:8" x14ac:dyDescent="0.3">
      <c r="F748"/>
      <c r="G748" s="81"/>
      <c r="H748"/>
    </row>
    <row r="749" spans="6:8" x14ac:dyDescent="0.3">
      <c r="F749"/>
      <c r="G749" s="81"/>
      <c r="H749"/>
    </row>
    <row r="750" spans="6:8" x14ac:dyDescent="0.3">
      <c r="F750"/>
      <c r="G750" s="81"/>
      <c r="H750"/>
    </row>
    <row r="751" spans="6:8" x14ac:dyDescent="0.3">
      <c r="F751"/>
      <c r="G751" s="81"/>
      <c r="H751"/>
    </row>
    <row r="752" spans="6:8" x14ac:dyDescent="0.3">
      <c r="F752"/>
      <c r="G752" s="81"/>
      <c r="H752"/>
    </row>
    <row r="753" spans="6:8" x14ac:dyDescent="0.3">
      <c r="F753"/>
      <c r="G753" s="81"/>
      <c r="H753"/>
    </row>
    <row r="754" spans="6:8" x14ac:dyDescent="0.3">
      <c r="F754"/>
      <c r="G754" s="81"/>
      <c r="H754"/>
    </row>
    <row r="755" spans="6:8" x14ac:dyDescent="0.3">
      <c r="F755"/>
      <c r="G755" s="81"/>
      <c r="H755"/>
    </row>
    <row r="756" spans="6:8" x14ac:dyDescent="0.3">
      <c r="F756"/>
      <c r="G756" s="81"/>
      <c r="H756"/>
    </row>
    <row r="757" spans="6:8" x14ac:dyDescent="0.3">
      <c r="F757"/>
      <c r="G757" s="81"/>
      <c r="H757"/>
    </row>
    <row r="758" spans="6:8" x14ac:dyDescent="0.3">
      <c r="F758"/>
      <c r="G758" s="81"/>
      <c r="H758"/>
    </row>
    <row r="759" spans="6:8" x14ac:dyDescent="0.3">
      <c r="F759"/>
      <c r="G759" s="81"/>
      <c r="H759"/>
    </row>
    <row r="760" spans="6:8" x14ac:dyDescent="0.3">
      <c r="F760"/>
      <c r="G760" s="81"/>
      <c r="H760"/>
    </row>
    <row r="761" spans="6:8" x14ac:dyDescent="0.3">
      <c r="F761"/>
      <c r="G761" s="81"/>
      <c r="H761"/>
    </row>
    <row r="762" spans="6:8" x14ac:dyDescent="0.3">
      <c r="F762"/>
      <c r="G762" s="81"/>
      <c r="H762"/>
    </row>
    <row r="763" spans="6:8" x14ac:dyDescent="0.3">
      <c r="F763"/>
      <c r="G763" s="81"/>
      <c r="H763"/>
    </row>
    <row r="764" spans="6:8" x14ac:dyDescent="0.3">
      <c r="F764"/>
      <c r="G764" s="81"/>
      <c r="H764"/>
    </row>
    <row r="765" spans="6:8" x14ac:dyDescent="0.3">
      <c r="F765"/>
      <c r="G765" s="81"/>
      <c r="H765"/>
    </row>
    <row r="766" spans="6:8" x14ac:dyDescent="0.3">
      <c r="F766"/>
      <c r="G766" s="81"/>
      <c r="H766"/>
    </row>
    <row r="767" spans="6:8" x14ac:dyDescent="0.3">
      <c r="F767"/>
      <c r="G767" s="81"/>
      <c r="H767"/>
    </row>
    <row r="768" spans="6:8" x14ac:dyDescent="0.3">
      <c r="F768"/>
      <c r="G768" s="81"/>
      <c r="H768"/>
    </row>
    <row r="769" spans="6:8" x14ac:dyDescent="0.3">
      <c r="F769"/>
      <c r="G769" s="81"/>
      <c r="H769"/>
    </row>
    <row r="770" spans="6:8" x14ac:dyDescent="0.3">
      <c r="F770"/>
      <c r="G770" s="81"/>
      <c r="H770"/>
    </row>
    <row r="771" spans="6:8" x14ac:dyDescent="0.3">
      <c r="F771"/>
      <c r="G771" s="81"/>
      <c r="H771"/>
    </row>
    <row r="772" spans="6:8" x14ac:dyDescent="0.3">
      <c r="F772"/>
      <c r="G772" s="81"/>
      <c r="H772"/>
    </row>
    <row r="773" spans="6:8" x14ac:dyDescent="0.3">
      <c r="F773"/>
      <c r="G773" s="81"/>
      <c r="H773"/>
    </row>
    <row r="774" spans="6:8" x14ac:dyDescent="0.3">
      <c r="F774"/>
      <c r="G774" s="81"/>
      <c r="H774"/>
    </row>
    <row r="775" spans="6:8" x14ac:dyDescent="0.3">
      <c r="F775"/>
      <c r="G775" s="81"/>
      <c r="H775"/>
    </row>
    <row r="776" spans="6:8" x14ac:dyDescent="0.3">
      <c r="F776"/>
      <c r="G776" s="81"/>
      <c r="H776"/>
    </row>
    <row r="777" spans="6:8" x14ac:dyDescent="0.3">
      <c r="F777"/>
      <c r="G777" s="81"/>
      <c r="H777"/>
    </row>
    <row r="778" spans="6:8" x14ac:dyDescent="0.3">
      <c r="F778"/>
      <c r="G778" s="81"/>
      <c r="H778"/>
    </row>
    <row r="779" spans="6:8" x14ac:dyDescent="0.3">
      <c r="F779"/>
      <c r="G779" s="81"/>
      <c r="H779"/>
    </row>
    <row r="780" spans="6:8" x14ac:dyDescent="0.3">
      <c r="F780"/>
      <c r="G780" s="81"/>
      <c r="H780"/>
    </row>
    <row r="781" spans="6:8" x14ac:dyDescent="0.3">
      <c r="F781"/>
      <c r="G781" s="81"/>
      <c r="H781"/>
    </row>
    <row r="782" spans="6:8" x14ac:dyDescent="0.3">
      <c r="F782"/>
      <c r="G782" s="81"/>
      <c r="H782"/>
    </row>
    <row r="783" spans="6:8" x14ac:dyDescent="0.3">
      <c r="F783"/>
      <c r="G783" s="81"/>
      <c r="H783"/>
    </row>
    <row r="784" spans="6:8" x14ac:dyDescent="0.3">
      <c r="F784"/>
      <c r="G784" s="81"/>
      <c r="H784"/>
    </row>
    <row r="785" spans="6:8" x14ac:dyDescent="0.3">
      <c r="F785"/>
      <c r="G785" s="81"/>
      <c r="H785"/>
    </row>
    <row r="786" spans="6:8" x14ac:dyDescent="0.3">
      <c r="F786"/>
      <c r="G786" s="81"/>
      <c r="H786"/>
    </row>
    <row r="787" spans="6:8" x14ac:dyDescent="0.3">
      <c r="F787"/>
      <c r="G787" s="81"/>
      <c r="H787"/>
    </row>
    <row r="788" spans="6:8" x14ac:dyDescent="0.3">
      <c r="F788"/>
      <c r="G788" s="81"/>
      <c r="H788"/>
    </row>
    <row r="789" spans="6:8" x14ac:dyDescent="0.3">
      <c r="F789"/>
      <c r="G789" s="81"/>
      <c r="H789"/>
    </row>
    <row r="790" spans="6:8" x14ac:dyDescent="0.3">
      <c r="F790"/>
      <c r="G790" s="81"/>
      <c r="H790"/>
    </row>
    <row r="791" spans="6:8" x14ac:dyDescent="0.3">
      <c r="F791"/>
      <c r="G791" s="81"/>
      <c r="H791"/>
    </row>
    <row r="792" spans="6:8" x14ac:dyDescent="0.3">
      <c r="F792"/>
      <c r="G792" s="81"/>
      <c r="H792"/>
    </row>
    <row r="793" spans="6:8" x14ac:dyDescent="0.3">
      <c r="F793"/>
      <c r="G793" s="81"/>
      <c r="H793"/>
    </row>
    <row r="794" spans="6:8" x14ac:dyDescent="0.3">
      <c r="F794"/>
      <c r="G794" s="81"/>
      <c r="H794"/>
    </row>
    <row r="795" spans="6:8" x14ac:dyDescent="0.3">
      <c r="F795"/>
      <c r="G795" s="81"/>
      <c r="H795"/>
    </row>
    <row r="796" spans="6:8" x14ac:dyDescent="0.3">
      <c r="F796"/>
      <c r="G796" s="81"/>
      <c r="H796"/>
    </row>
    <row r="797" spans="6:8" x14ac:dyDescent="0.3">
      <c r="F797"/>
      <c r="G797" s="81"/>
      <c r="H797"/>
    </row>
    <row r="798" spans="6:8" x14ac:dyDescent="0.3">
      <c r="F798"/>
      <c r="G798" s="81"/>
      <c r="H798"/>
    </row>
    <row r="799" spans="6:8" x14ac:dyDescent="0.3">
      <c r="F799"/>
      <c r="G799" s="81"/>
      <c r="H799"/>
    </row>
    <row r="800" spans="6:8" x14ac:dyDescent="0.3">
      <c r="F800"/>
      <c r="G800" s="81"/>
      <c r="H800"/>
    </row>
    <row r="801" spans="6:8" x14ac:dyDescent="0.3">
      <c r="F801"/>
      <c r="G801" s="81"/>
      <c r="H801"/>
    </row>
    <row r="802" spans="6:8" x14ac:dyDescent="0.3">
      <c r="F802"/>
      <c r="G802" s="81"/>
      <c r="H802"/>
    </row>
    <row r="803" spans="6:8" x14ac:dyDescent="0.3">
      <c r="F803"/>
      <c r="G803" s="81"/>
      <c r="H803"/>
    </row>
    <row r="804" spans="6:8" x14ac:dyDescent="0.3">
      <c r="F804"/>
      <c r="G804" s="81"/>
      <c r="H804"/>
    </row>
    <row r="805" spans="6:8" x14ac:dyDescent="0.3">
      <c r="F805"/>
      <c r="G805" s="81"/>
      <c r="H805"/>
    </row>
    <row r="806" spans="6:8" x14ac:dyDescent="0.3">
      <c r="F806"/>
      <c r="G806" s="81"/>
      <c r="H806"/>
    </row>
    <row r="807" spans="6:8" x14ac:dyDescent="0.3">
      <c r="F807"/>
      <c r="G807" s="81"/>
      <c r="H807"/>
    </row>
    <row r="808" spans="6:8" x14ac:dyDescent="0.3">
      <c r="F808"/>
      <c r="G808" s="81"/>
      <c r="H808"/>
    </row>
    <row r="809" spans="6:8" x14ac:dyDescent="0.3">
      <c r="F809"/>
      <c r="G809" s="81"/>
      <c r="H809"/>
    </row>
    <row r="810" spans="6:8" x14ac:dyDescent="0.3">
      <c r="F810"/>
      <c r="G810" s="81"/>
      <c r="H810"/>
    </row>
    <row r="811" spans="6:8" x14ac:dyDescent="0.3">
      <c r="F811"/>
      <c r="G811" s="81"/>
      <c r="H811"/>
    </row>
    <row r="812" spans="6:8" x14ac:dyDescent="0.3">
      <c r="F812"/>
      <c r="G812" s="81"/>
      <c r="H812"/>
    </row>
    <row r="813" spans="6:8" x14ac:dyDescent="0.3">
      <c r="F813"/>
      <c r="G813" s="81"/>
      <c r="H813"/>
    </row>
    <row r="814" spans="6:8" x14ac:dyDescent="0.3">
      <c r="F814"/>
      <c r="G814" s="81"/>
      <c r="H814"/>
    </row>
    <row r="815" spans="6:8" x14ac:dyDescent="0.3">
      <c r="F815"/>
      <c r="G815" s="81"/>
      <c r="H815"/>
    </row>
    <row r="816" spans="6:8" x14ac:dyDescent="0.3">
      <c r="F816"/>
      <c r="G816" s="81"/>
      <c r="H816"/>
    </row>
    <row r="817" spans="6:8" x14ac:dyDescent="0.3">
      <c r="F817"/>
      <c r="G817" s="81"/>
      <c r="H817"/>
    </row>
    <row r="818" spans="6:8" x14ac:dyDescent="0.3">
      <c r="F818"/>
      <c r="G818" s="81"/>
      <c r="H818"/>
    </row>
    <row r="819" spans="6:8" x14ac:dyDescent="0.3">
      <c r="F819"/>
      <c r="G819" s="81"/>
      <c r="H819"/>
    </row>
    <row r="820" spans="6:8" x14ac:dyDescent="0.3">
      <c r="F820"/>
      <c r="G820" s="81"/>
      <c r="H820"/>
    </row>
    <row r="821" spans="6:8" x14ac:dyDescent="0.3">
      <c r="F821"/>
      <c r="G821" s="81"/>
      <c r="H821"/>
    </row>
    <row r="822" spans="6:8" x14ac:dyDescent="0.3">
      <c r="F822"/>
      <c r="G822" s="81"/>
      <c r="H822"/>
    </row>
    <row r="823" spans="6:8" x14ac:dyDescent="0.3">
      <c r="F823"/>
      <c r="G823" s="81"/>
      <c r="H823"/>
    </row>
    <row r="824" spans="6:8" x14ac:dyDescent="0.3">
      <c r="F824"/>
      <c r="G824" s="81"/>
      <c r="H824"/>
    </row>
    <row r="825" spans="6:8" x14ac:dyDescent="0.3">
      <c r="F825"/>
      <c r="G825" s="81"/>
      <c r="H825"/>
    </row>
    <row r="826" spans="6:8" x14ac:dyDescent="0.3">
      <c r="F826"/>
      <c r="G826" s="81"/>
      <c r="H826"/>
    </row>
    <row r="827" spans="6:8" x14ac:dyDescent="0.3">
      <c r="F827"/>
      <c r="G827" s="81"/>
      <c r="H827"/>
    </row>
    <row r="828" spans="6:8" x14ac:dyDescent="0.3">
      <c r="F828"/>
      <c r="G828" s="81"/>
      <c r="H828"/>
    </row>
    <row r="829" spans="6:8" x14ac:dyDescent="0.3">
      <c r="F829"/>
      <c r="G829" s="81"/>
      <c r="H829"/>
    </row>
    <row r="830" spans="6:8" x14ac:dyDescent="0.3">
      <c r="F830"/>
      <c r="G830" s="81"/>
      <c r="H830"/>
    </row>
    <row r="831" spans="6:8" x14ac:dyDescent="0.3">
      <c r="F831"/>
      <c r="G831" s="81"/>
      <c r="H831"/>
    </row>
    <row r="832" spans="6:8" x14ac:dyDescent="0.3">
      <c r="F832"/>
      <c r="G832" s="81"/>
      <c r="H832"/>
    </row>
    <row r="833" spans="6:8" x14ac:dyDescent="0.3">
      <c r="F833"/>
      <c r="G833" s="81"/>
      <c r="H833"/>
    </row>
    <row r="834" spans="6:8" x14ac:dyDescent="0.3">
      <c r="F834"/>
      <c r="G834" s="81"/>
      <c r="H834"/>
    </row>
    <row r="835" spans="6:8" x14ac:dyDescent="0.3">
      <c r="F835"/>
      <c r="G835" s="81"/>
      <c r="H835"/>
    </row>
    <row r="836" spans="6:8" x14ac:dyDescent="0.3">
      <c r="F836"/>
      <c r="G836" s="81"/>
      <c r="H836"/>
    </row>
    <row r="837" spans="6:8" x14ac:dyDescent="0.3">
      <c r="F837"/>
      <c r="G837" s="81"/>
      <c r="H837"/>
    </row>
    <row r="838" spans="6:8" x14ac:dyDescent="0.3">
      <c r="F838"/>
      <c r="G838" s="81"/>
      <c r="H838"/>
    </row>
    <row r="839" spans="6:8" x14ac:dyDescent="0.3">
      <c r="F839"/>
      <c r="G839" s="81"/>
      <c r="H839"/>
    </row>
    <row r="840" spans="6:8" x14ac:dyDescent="0.3">
      <c r="F840"/>
      <c r="G840" s="81"/>
      <c r="H840"/>
    </row>
    <row r="841" spans="6:8" x14ac:dyDescent="0.3">
      <c r="F841"/>
      <c r="G841" s="81"/>
      <c r="H841"/>
    </row>
    <row r="842" spans="6:8" x14ac:dyDescent="0.3">
      <c r="F842"/>
      <c r="G842" s="81"/>
      <c r="H842"/>
    </row>
    <row r="843" spans="6:8" x14ac:dyDescent="0.3">
      <c r="F843"/>
      <c r="G843" s="81"/>
      <c r="H843"/>
    </row>
    <row r="844" spans="6:8" x14ac:dyDescent="0.3">
      <c r="F844"/>
      <c r="G844" s="81"/>
      <c r="H844"/>
    </row>
    <row r="845" spans="6:8" x14ac:dyDescent="0.3">
      <c r="F845"/>
      <c r="G845" s="81"/>
      <c r="H845"/>
    </row>
    <row r="846" spans="6:8" x14ac:dyDescent="0.3">
      <c r="F846"/>
      <c r="G846" s="81"/>
      <c r="H846"/>
    </row>
    <row r="847" spans="6:8" x14ac:dyDescent="0.3">
      <c r="F847"/>
      <c r="G847" s="81"/>
      <c r="H847"/>
    </row>
    <row r="848" spans="6:8" x14ac:dyDescent="0.3">
      <c r="F848"/>
      <c r="G848" s="81"/>
      <c r="H848"/>
    </row>
    <row r="849" spans="6:8" x14ac:dyDescent="0.3">
      <c r="F849"/>
      <c r="G849" s="81"/>
      <c r="H849"/>
    </row>
    <row r="850" spans="6:8" x14ac:dyDescent="0.3">
      <c r="F850"/>
      <c r="G850" s="81"/>
      <c r="H850"/>
    </row>
    <row r="851" spans="6:8" x14ac:dyDescent="0.3">
      <c r="F851"/>
      <c r="G851" s="81"/>
      <c r="H851"/>
    </row>
    <row r="852" spans="6:8" x14ac:dyDescent="0.3">
      <c r="F852"/>
      <c r="G852" s="81"/>
      <c r="H852"/>
    </row>
    <row r="853" spans="6:8" x14ac:dyDescent="0.3">
      <c r="F853"/>
      <c r="G853" s="81"/>
      <c r="H853"/>
    </row>
    <row r="854" spans="6:8" x14ac:dyDescent="0.3">
      <c r="F854"/>
      <c r="G854" s="81"/>
      <c r="H854"/>
    </row>
    <row r="855" spans="6:8" x14ac:dyDescent="0.3">
      <c r="F855"/>
      <c r="G855" s="81"/>
      <c r="H855"/>
    </row>
    <row r="856" spans="6:8" x14ac:dyDescent="0.3">
      <c r="F856"/>
      <c r="G856" s="81"/>
      <c r="H856"/>
    </row>
    <row r="857" spans="6:8" x14ac:dyDescent="0.3">
      <c r="F857"/>
      <c r="G857" s="81"/>
      <c r="H857"/>
    </row>
    <row r="858" spans="6:8" x14ac:dyDescent="0.3">
      <c r="F858"/>
      <c r="G858" s="81"/>
      <c r="H858"/>
    </row>
    <row r="859" spans="6:8" x14ac:dyDescent="0.3">
      <c r="F859"/>
      <c r="G859" s="81"/>
      <c r="H859"/>
    </row>
    <row r="860" spans="6:8" x14ac:dyDescent="0.3">
      <c r="F860"/>
      <c r="G860" s="81"/>
      <c r="H860"/>
    </row>
    <row r="861" spans="6:8" x14ac:dyDescent="0.3">
      <c r="F861"/>
      <c r="G861" s="81"/>
      <c r="H861"/>
    </row>
    <row r="862" spans="6:8" x14ac:dyDescent="0.3">
      <c r="F862"/>
      <c r="G862" s="81"/>
      <c r="H862"/>
    </row>
    <row r="863" spans="6:8" x14ac:dyDescent="0.3">
      <c r="F863"/>
      <c r="G863" s="81"/>
      <c r="H863"/>
    </row>
    <row r="864" spans="6:8" x14ac:dyDescent="0.3">
      <c r="F864"/>
      <c r="G864" s="81"/>
      <c r="H864"/>
    </row>
    <row r="865" spans="6:8" x14ac:dyDescent="0.3">
      <c r="F865"/>
      <c r="G865" s="81"/>
      <c r="H865"/>
    </row>
    <row r="866" spans="6:8" x14ac:dyDescent="0.3">
      <c r="F866"/>
      <c r="G866" s="81"/>
      <c r="H866"/>
    </row>
    <row r="867" spans="6:8" x14ac:dyDescent="0.3">
      <c r="F867"/>
      <c r="G867" s="81"/>
      <c r="H867"/>
    </row>
    <row r="868" spans="6:8" x14ac:dyDescent="0.3">
      <c r="F868"/>
      <c r="G868" s="81"/>
      <c r="H868"/>
    </row>
    <row r="869" spans="6:8" x14ac:dyDescent="0.3">
      <c r="F869"/>
      <c r="G869" s="81"/>
      <c r="H869"/>
    </row>
    <row r="870" spans="6:8" x14ac:dyDescent="0.3">
      <c r="F870"/>
      <c r="G870" s="81"/>
      <c r="H870"/>
    </row>
    <row r="871" spans="6:8" x14ac:dyDescent="0.3">
      <c r="F871"/>
      <c r="G871" s="81"/>
      <c r="H871"/>
    </row>
    <row r="872" spans="6:8" x14ac:dyDescent="0.3">
      <c r="F872"/>
      <c r="G872" s="81"/>
      <c r="H872"/>
    </row>
    <row r="873" spans="6:8" x14ac:dyDescent="0.3">
      <c r="F873"/>
      <c r="G873" s="81"/>
      <c r="H873"/>
    </row>
    <row r="874" spans="6:8" x14ac:dyDescent="0.3">
      <c r="F874"/>
      <c r="G874" s="81"/>
      <c r="H874"/>
    </row>
    <row r="875" spans="6:8" x14ac:dyDescent="0.3">
      <c r="F875"/>
      <c r="G875" s="81"/>
      <c r="H875"/>
    </row>
    <row r="876" spans="6:8" x14ac:dyDescent="0.3">
      <c r="F876"/>
      <c r="G876" s="81"/>
      <c r="H876"/>
    </row>
    <row r="877" spans="6:8" x14ac:dyDescent="0.3">
      <c r="F877"/>
      <c r="G877" s="81"/>
      <c r="H877"/>
    </row>
    <row r="878" spans="6:8" x14ac:dyDescent="0.3">
      <c r="F878"/>
      <c r="G878" s="81"/>
      <c r="H878"/>
    </row>
    <row r="879" spans="6:8" x14ac:dyDescent="0.3">
      <c r="F879"/>
      <c r="G879" s="81"/>
      <c r="H879"/>
    </row>
    <row r="880" spans="6:8" x14ac:dyDescent="0.3">
      <c r="F880"/>
      <c r="G880" s="81"/>
      <c r="H880"/>
    </row>
    <row r="881" spans="6:8" x14ac:dyDescent="0.3">
      <c r="F881"/>
      <c r="G881" s="81"/>
      <c r="H881"/>
    </row>
    <row r="882" spans="6:8" x14ac:dyDescent="0.3">
      <c r="F882"/>
      <c r="G882" s="81"/>
      <c r="H882"/>
    </row>
    <row r="883" spans="6:8" x14ac:dyDescent="0.3">
      <c r="F883"/>
      <c r="G883" s="81"/>
      <c r="H883"/>
    </row>
    <row r="884" spans="6:8" x14ac:dyDescent="0.3">
      <c r="F884"/>
      <c r="G884" s="81"/>
      <c r="H884"/>
    </row>
    <row r="885" spans="6:8" x14ac:dyDescent="0.3">
      <c r="F885"/>
      <c r="G885" s="81"/>
      <c r="H885"/>
    </row>
    <row r="886" spans="6:8" x14ac:dyDescent="0.3">
      <c r="F886"/>
      <c r="G886" s="81"/>
      <c r="H886"/>
    </row>
    <row r="887" spans="6:8" x14ac:dyDescent="0.3">
      <c r="F887"/>
      <c r="G887" s="81"/>
      <c r="H887"/>
    </row>
    <row r="888" spans="6:8" x14ac:dyDescent="0.3">
      <c r="F888"/>
      <c r="G888" s="81"/>
      <c r="H888"/>
    </row>
    <row r="889" spans="6:8" x14ac:dyDescent="0.3">
      <c r="F889"/>
      <c r="G889" s="81"/>
      <c r="H889"/>
    </row>
    <row r="890" spans="6:8" x14ac:dyDescent="0.3">
      <c r="F890"/>
      <c r="G890" s="81"/>
      <c r="H890"/>
    </row>
    <row r="891" spans="6:8" x14ac:dyDescent="0.3">
      <c r="F891"/>
      <c r="G891" s="81"/>
      <c r="H891"/>
    </row>
    <row r="892" spans="6:8" x14ac:dyDescent="0.3">
      <c r="F892"/>
      <c r="G892" s="81"/>
      <c r="H892"/>
    </row>
    <row r="893" spans="6:8" x14ac:dyDescent="0.3">
      <c r="F893"/>
      <c r="G893" s="81"/>
      <c r="H893"/>
    </row>
    <row r="894" spans="6:8" x14ac:dyDescent="0.3">
      <c r="F894"/>
      <c r="G894" s="81"/>
      <c r="H894"/>
    </row>
    <row r="895" spans="6:8" x14ac:dyDescent="0.3">
      <c r="F895"/>
      <c r="G895" s="81"/>
      <c r="H895"/>
    </row>
    <row r="896" spans="6:8" x14ac:dyDescent="0.3">
      <c r="F896"/>
      <c r="G896" s="81"/>
      <c r="H896"/>
    </row>
    <row r="897" spans="6:8" x14ac:dyDescent="0.3">
      <c r="F897"/>
      <c r="G897" s="81"/>
      <c r="H897"/>
    </row>
    <row r="898" spans="6:8" x14ac:dyDescent="0.3">
      <c r="F898"/>
      <c r="G898" s="81"/>
      <c r="H898"/>
    </row>
    <row r="899" spans="6:8" x14ac:dyDescent="0.3">
      <c r="F899"/>
      <c r="G899" s="81"/>
      <c r="H899"/>
    </row>
    <row r="900" spans="6:8" x14ac:dyDescent="0.3">
      <c r="F900"/>
      <c r="G900" s="81"/>
      <c r="H900"/>
    </row>
    <row r="901" spans="6:8" x14ac:dyDescent="0.3">
      <c r="F901"/>
      <c r="G901" s="81"/>
      <c r="H901"/>
    </row>
    <row r="902" spans="6:8" x14ac:dyDescent="0.3">
      <c r="F902"/>
      <c r="G902" s="81"/>
      <c r="H902"/>
    </row>
    <row r="903" spans="6:8" x14ac:dyDescent="0.3">
      <c r="F903"/>
      <c r="G903" s="81"/>
      <c r="H903"/>
    </row>
    <row r="904" spans="6:8" x14ac:dyDescent="0.3">
      <c r="F904"/>
      <c r="G904" s="81"/>
      <c r="H904"/>
    </row>
    <row r="905" spans="6:8" x14ac:dyDescent="0.3">
      <c r="F905"/>
      <c r="G905" s="81"/>
      <c r="H905"/>
    </row>
    <row r="906" spans="6:8" x14ac:dyDescent="0.3">
      <c r="F906"/>
      <c r="G906" s="81"/>
      <c r="H906"/>
    </row>
    <row r="907" spans="6:8" x14ac:dyDescent="0.3">
      <c r="F907"/>
      <c r="G907" s="81"/>
      <c r="H907"/>
    </row>
    <row r="908" spans="6:8" x14ac:dyDescent="0.3">
      <c r="F908"/>
      <c r="G908" s="81"/>
      <c r="H908"/>
    </row>
    <row r="909" spans="6:8" x14ac:dyDescent="0.3">
      <c r="F909"/>
      <c r="G909" s="81"/>
      <c r="H909"/>
    </row>
    <row r="910" spans="6:8" x14ac:dyDescent="0.3">
      <c r="F910"/>
      <c r="G910" s="81"/>
      <c r="H910"/>
    </row>
    <row r="911" spans="6:8" x14ac:dyDescent="0.3">
      <c r="F911"/>
      <c r="G911" s="81"/>
      <c r="H911"/>
    </row>
    <row r="912" spans="6:8" x14ac:dyDescent="0.3">
      <c r="F912"/>
      <c r="G912" s="81"/>
      <c r="H912"/>
    </row>
    <row r="913" spans="6:8" x14ac:dyDescent="0.3">
      <c r="F913"/>
      <c r="G913" s="81"/>
      <c r="H913"/>
    </row>
    <row r="914" spans="6:8" x14ac:dyDescent="0.3">
      <c r="F914"/>
      <c r="G914" s="81"/>
      <c r="H914"/>
    </row>
    <row r="915" spans="6:8" x14ac:dyDescent="0.3">
      <c r="F915"/>
      <c r="G915" s="81"/>
      <c r="H915"/>
    </row>
    <row r="916" spans="6:8" x14ac:dyDescent="0.3">
      <c r="F916"/>
      <c r="G916" s="81"/>
      <c r="H916"/>
    </row>
    <row r="917" spans="6:8" x14ac:dyDescent="0.3">
      <c r="F917"/>
      <c r="G917" s="81"/>
      <c r="H917"/>
    </row>
    <row r="918" spans="6:8" x14ac:dyDescent="0.3">
      <c r="F918"/>
      <c r="G918" s="81"/>
      <c r="H918"/>
    </row>
    <row r="919" spans="6:8" x14ac:dyDescent="0.3">
      <c r="F919"/>
      <c r="G919" s="81"/>
      <c r="H919"/>
    </row>
    <row r="920" spans="6:8" x14ac:dyDescent="0.3">
      <c r="F920"/>
      <c r="G920" s="81"/>
      <c r="H920"/>
    </row>
    <row r="921" spans="6:8" x14ac:dyDescent="0.3">
      <c r="F921"/>
      <c r="G921" s="81"/>
      <c r="H921"/>
    </row>
    <row r="922" spans="6:8" x14ac:dyDescent="0.3">
      <c r="F922"/>
      <c r="G922" s="81"/>
      <c r="H922"/>
    </row>
    <row r="923" spans="6:8" x14ac:dyDescent="0.3">
      <c r="F923"/>
      <c r="G923" s="81"/>
      <c r="H923"/>
    </row>
    <row r="924" spans="6:8" x14ac:dyDescent="0.3">
      <c r="F924"/>
      <c r="G924" s="81"/>
      <c r="H924"/>
    </row>
    <row r="925" spans="6:8" x14ac:dyDescent="0.3">
      <c r="F925"/>
      <c r="G925" s="81"/>
      <c r="H925"/>
    </row>
    <row r="926" spans="6:8" x14ac:dyDescent="0.3">
      <c r="F926"/>
      <c r="G926" s="81"/>
      <c r="H926"/>
    </row>
    <row r="927" spans="6:8" x14ac:dyDescent="0.3">
      <c r="F927"/>
      <c r="G927" s="81"/>
      <c r="H927"/>
    </row>
    <row r="928" spans="6:8" x14ac:dyDescent="0.3">
      <c r="F928"/>
      <c r="G928" s="81"/>
      <c r="H928"/>
    </row>
    <row r="929" spans="6:8" x14ac:dyDescent="0.3">
      <c r="F929"/>
      <c r="G929" s="81"/>
      <c r="H929"/>
    </row>
    <row r="930" spans="6:8" x14ac:dyDescent="0.3">
      <c r="F930"/>
      <c r="G930" s="81"/>
      <c r="H930"/>
    </row>
    <row r="931" spans="6:8" x14ac:dyDescent="0.3">
      <c r="F931"/>
      <c r="G931" s="81"/>
      <c r="H931"/>
    </row>
    <row r="932" spans="6:8" x14ac:dyDescent="0.3">
      <c r="F932"/>
      <c r="G932" s="81"/>
      <c r="H932"/>
    </row>
    <row r="933" spans="6:8" x14ac:dyDescent="0.3">
      <c r="F933"/>
      <c r="G933" s="81"/>
      <c r="H933"/>
    </row>
    <row r="934" spans="6:8" x14ac:dyDescent="0.3">
      <c r="F934"/>
      <c r="G934" s="81"/>
      <c r="H934"/>
    </row>
    <row r="935" spans="6:8" x14ac:dyDescent="0.3">
      <c r="F935"/>
      <c r="G935" s="81"/>
      <c r="H935"/>
    </row>
    <row r="936" spans="6:8" x14ac:dyDescent="0.3">
      <c r="F936"/>
      <c r="G936" s="81"/>
      <c r="H936"/>
    </row>
    <row r="937" spans="6:8" x14ac:dyDescent="0.3">
      <c r="F937"/>
      <c r="G937" s="81"/>
      <c r="H937"/>
    </row>
    <row r="938" spans="6:8" x14ac:dyDescent="0.3">
      <c r="F938"/>
      <c r="G938" s="81"/>
      <c r="H938"/>
    </row>
    <row r="939" spans="6:8" x14ac:dyDescent="0.3">
      <c r="F939"/>
      <c r="G939" s="81"/>
      <c r="H939"/>
    </row>
    <row r="940" spans="6:8" x14ac:dyDescent="0.3">
      <c r="F940"/>
      <c r="G940" s="81"/>
      <c r="H940"/>
    </row>
    <row r="941" spans="6:8" x14ac:dyDescent="0.3">
      <c r="F941"/>
      <c r="G941" s="81"/>
      <c r="H941"/>
    </row>
    <row r="942" spans="6:8" x14ac:dyDescent="0.3">
      <c r="F942"/>
      <c r="G942" s="81"/>
      <c r="H942"/>
    </row>
    <row r="943" spans="6:8" x14ac:dyDescent="0.3">
      <c r="F943"/>
      <c r="G943" s="81"/>
      <c r="H943"/>
    </row>
    <row r="944" spans="6:8" x14ac:dyDescent="0.3">
      <c r="F944"/>
      <c r="G944" s="81"/>
      <c r="H944"/>
    </row>
    <row r="945" spans="6:8" x14ac:dyDescent="0.3">
      <c r="F945"/>
      <c r="G945" s="81"/>
      <c r="H945"/>
    </row>
    <row r="946" spans="6:8" x14ac:dyDescent="0.3">
      <c r="F946"/>
      <c r="G946" s="81"/>
      <c r="H946"/>
    </row>
    <row r="947" spans="6:8" x14ac:dyDescent="0.3">
      <c r="F947"/>
      <c r="G947" s="81"/>
      <c r="H947"/>
    </row>
    <row r="948" spans="6:8" x14ac:dyDescent="0.3">
      <c r="F948"/>
      <c r="G948" s="81"/>
      <c r="H948"/>
    </row>
    <row r="949" spans="6:8" x14ac:dyDescent="0.3">
      <c r="F949"/>
      <c r="G949" s="81"/>
      <c r="H949"/>
    </row>
    <row r="950" spans="6:8" x14ac:dyDescent="0.3">
      <c r="F950"/>
      <c r="G950" s="81"/>
      <c r="H950"/>
    </row>
    <row r="951" spans="6:8" x14ac:dyDescent="0.3">
      <c r="F951"/>
      <c r="G951" s="81"/>
      <c r="H951"/>
    </row>
    <row r="952" spans="6:8" x14ac:dyDescent="0.3">
      <c r="F952"/>
      <c r="G952" s="81"/>
      <c r="H952"/>
    </row>
    <row r="953" spans="6:8" x14ac:dyDescent="0.3">
      <c r="F953"/>
      <c r="G953" s="81"/>
      <c r="H953"/>
    </row>
    <row r="954" spans="6:8" x14ac:dyDescent="0.3">
      <c r="F954"/>
      <c r="G954" s="81"/>
      <c r="H954"/>
    </row>
    <row r="955" spans="6:8" x14ac:dyDescent="0.3">
      <c r="F955"/>
      <c r="G955" s="81"/>
      <c r="H955"/>
    </row>
    <row r="956" spans="6:8" x14ac:dyDescent="0.3">
      <c r="F956"/>
      <c r="G956" s="81"/>
      <c r="H956"/>
    </row>
    <row r="957" spans="6:8" x14ac:dyDescent="0.3">
      <c r="F957"/>
      <c r="G957" s="81"/>
      <c r="H957"/>
    </row>
    <row r="958" spans="6:8" x14ac:dyDescent="0.3">
      <c r="F958"/>
      <c r="G958" s="81"/>
      <c r="H958"/>
    </row>
    <row r="959" spans="6:8" x14ac:dyDescent="0.3">
      <c r="F959"/>
      <c r="G959" s="81"/>
      <c r="H959"/>
    </row>
    <row r="960" spans="6:8" x14ac:dyDescent="0.3">
      <c r="F960"/>
      <c r="G960" s="81"/>
      <c r="H960"/>
    </row>
    <row r="961" spans="6:8" x14ac:dyDescent="0.3">
      <c r="F961"/>
      <c r="G961" s="81"/>
      <c r="H961"/>
    </row>
    <row r="962" spans="6:8" x14ac:dyDescent="0.3">
      <c r="F962"/>
      <c r="G962" s="81"/>
      <c r="H962"/>
    </row>
    <row r="963" spans="6:8" x14ac:dyDescent="0.3">
      <c r="F963"/>
      <c r="G963" s="81"/>
      <c r="H963"/>
    </row>
    <row r="964" spans="6:8" x14ac:dyDescent="0.3">
      <c r="F964"/>
      <c r="G964" s="81"/>
      <c r="H964"/>
    </row>
    <row r="965" spans="6:8" x14ac:dyDescent="0.3">
      <c r="F965"/>
      <c r="G965" s="81"/>
      <c r="H965"/>
    </row>
    <row r="966" spans="6:8" x14ac:dyDescent="0.3">
      <c r="F966"/>
      <c r="G966" s="81"/>
      <c r="H966"/>
    </row>
    <row r="967" spans="6:8" x14ac:dyDescent="0.3">
      <c r="F967"/>
      <c r="G967" s="81"/>
      <c r="H967"/>
    </row>
    <row r="968" spans="6:8" x14ac:dyDescent="0.3">
      <c r="F968"/>
      <c r="G968" s="81"/>
      <c r="H968"/>
    </row>
    <row r="969" spans="6:8" x14ac:dyDescent="0.3">
      <c r="F969"/>
      <c r="G969" s="81"/>
      <c r="H969"/>
    </row>
    <row r="970" spans="6:8" x14ac:dyDescent="0.3">
      <c r="F970"/>
      <c r="G970" s="81"/>
      <c r="H970"/>
    </row>
    <row r="971" spans="6:8" x14ac:dyDescent="0.3">
      <c r="F971"/>
      <c r="G971" s="81"/>
      <c r="H971"/>
    </row>
    <row r="972" spans="6:8" x14ac:dyDescent="0.3">
      <c r="F972"/>
      <c r="G972" s="81"/>
      <c r="H972"/>
    </row>
    <row r="973" spans="6:8" x14ac:dyDescent="0.3">
      <c r="F973"/>
      <c r="G973" s="81"/>
      <c r="H973"/>
    </row>
    <row r="974" spans="6:8" x14ac:dyDescent="0.3">
      <c r="F974"/>
      <c r="G974" s="81"/>
      <c r="H974"/>
    </row>
    <row r="975" spans="6:8" x14ac:dyDescent="0.3">
      <c r="F975"/>
      <c r="G975" s="81"/>
      <c r="H975"/>
    </row>
    <row r="976" spans="6:8" x14ac:dyDescent="0.3">
      <c r="F976"/>
      <c r="G976" s="81"/>
      <c r="H976"/>
    </row>
    <row r="977" spans="6:8" x14ac:dyDescent="0.3">
      <c r="F977"/>
      <c r="G977" s="81"/>
      <c r="H977"/>
    </row>
    <row r="978" spans="6:8" x14ac:dyDescent="0.3">
      <c r="F978"/>
      <c r="G978" s="81"/>
      <c r="H978"/>
    </row>
    <row r="979" spans="6:8" x14ac:dyDescent="0.3">
      <c r="F979"/>
      <c r="G979" s="81"/>
      <c r="H979"/>
    </row>
    <row r="980" spans="6:8" x14ac:dyDescent="0.3">
      <c r="F980"/>
      <c r="G980" s="81"/>
      <c r="H980"/>
    </row>
    <row r="981" spans="6:8" x14ac:dyDescent="0.3">
      <c r="F981"/>
      <c r="G981" s="81"/>
      <c r="H981"/>
    </row>
    <row r="982" spans="6:8" x14ac:dyDescent="0.3">
      <c r="F982"/>
      <c r="G982" s="81"/>
      <c r="H982"/>
    </row>
    <row r="983" spans="6:8" x14ac:dyDescent="0.3">
      <c r="F983"/>
      <c r="G983" s="81"/>
      <c r="H983"/>
    </row>
    <row r="984" spans="6:8" x14ac:dyDescent="0.3">
      <c r="F984"/>
      <c r="G984" s="81"/>
      <c r="H984"/>
    </row>
    <row r="985" spans="6:8" x14ac:dyDescent="0.3">
      <c r="F985"/>
      <c r="G985" s="81"/>
      <c r="H985"/>
    </row>
    <row r="986" spans="6:8" x14ac:dyDescent="0.3">
      <c r="F986"/>
      <c r="G986" s="81"/>
      <c r="H986"/>
    </row>
    <row r="987" spans="6:8" x14ac:dyDescent="0.3">
      <c r="F987"/>
      <c r="G987" s="81"/>
      <c r="H987"/>
    </row>
    <row r="988" spans="6:8" x14ac:dyDescent="0.3">
      <c r="F988"/>
      <c r="G988" s="81"/>
      <c r="H988"/>
    </row>
    <row r="989" spans="6:8" x14ac:dyDescent="0.3">
      <c r="F989"/>
      <c r="G989" s="81"/>
      <c r="H989"/>
    </row>
    <row r="990" spans="6:8" x14ac:dyDescent="0.3">
      <c r="F990"/>
      <c r="G990" s="81"/>
      <c r="H990"/>
    </row>
    <row r="991" spans="6:8" x14ac:dyDescent="0.3">
      <c r="F991"/>
      <c r="G991" s="81"/>
      <c r="H991"/>
    </row>
    <row r="992" spans="6:8" x14ac:dyDescent="0.3">
      <c r="F992"/>
      <c r="G992" s="81"/>
      <c r="H992"/>
    </row>
    <row r="993" spans="6:8" x14ac:dyDescent="0.3">
      <c r="F993"/>
      <c r="G993" s="81"/>
      <c r="H993"/>
    </row>
    <row r="994" spans="6:8" x14ac:dyDescent="0.3">
      <c r="F994"/>
      <c r="G994" s="81"/>
      <c r="H994"/>
    </row>
    <row r="995" spans="6:8" x14ac:dyDescent="0.3">
      <c r="F995"/>
      <c r="G995" s="81"/>
      <c r="H995"/>
    </row>
    <row r="996" spans="6:8" x14ac:dyDescent="0.3">
      <c r="F996"/>
      <c r="G996" s="81"/>
      <c r="H996"/>
    </row>
    <row r="997" spans="6:8" x14ac:dyDescent="0.3">
      <c r="F997"/>
      <c r="G997" s="81"/>
      <c r="H997"/>
    </row>
    <row r="998" spans="6:8" x14ac:dyDescent="0.3">
      <c r="F998"/>
      <c r="G998" s="81"/>
      <c r="H998"/>
    </row>
    <row r="999" spans="6:8" x14ac:dyDescent="0.3">
      <c r="F999"/>
      <c r="G999" s="81"/>
      <c r="H999"/>
    </row>
    <row r="1000" spans="6:8" x14ac:dyDescent="0.3">
      <c r="F1000"/>
      <c r="G1000" s="81"/>
      <c r="H1000"/>
    </row>
    <row r="1001" spans="6:8" x14ac:dyDescent="0.3">
      <c r="F1001"/>
      <c r="G1001" s="81"/>
      <c r="H1001"/>
    </row>
    <row r="1002" spans="6:8" x14ac:dyDescent="0.3">
      <c r="F1002"/>
      <c r="G1002" s="81"/>
      <c r="H1002"/>
    </row>
    <row r="1003" spans="6:8" x14ac:dyDescent="0.3">
      <c r="F1003"/>
      <c r="G1003" s="81"/>
      <c r="H1003"/>
    </row>
    <row r="1004" spans="6:8" x14ac:dyDescent="0.3">
      <c r="F1004"/>
      <c r="G1004" s="81"/>
      <c r="H1004"/>
    </row>
    <row r="1005" spans="6:8" x14ac:dyDescent="0.3">
      <c r="F1005"/>
      <c r="G1005" s="81"/>
      <c r="H1005"/>
    </row>
    <row r="1006" spans="6:8" x14ac:dyDescent="0.3">
      <c r="F1006"/>
      <c r="G1006" s="81"/>
      <c r="H1006"/>
    </row>
    <row r="1007" spans="6:8" x14ac:dyDescent="0.3">
      <c r="F1007"/>
      <c r="G1007" s="81"/>
      <c r="H1007"/>
    </row>
    <row r="1008" spans="6:8" x14ac:dyDescent="0.3">
      <c r="F1008"/>
      <c r="G1008" s="81"/>
      <c r="H1008"/>
    </row>
    <row r="1009" spans="6:8" x14ac:dyDescent="0.3">
      <c r="F1009"/>
      <c r="G1009" s="81"/>
      <c r="H1009"/>
    </row>
    <row r="1010" spans="6:8" x14ac:dyDescent="0.3">
      <c r="F1010"/>
      <c r="G1010" s="81"/>
      <c r="H1010"/>
    </row>
    <row r="1011" spans="6:8" x14ac:dyDescent="0.3">
      <c r="F1011"/>
      <c r="G1011" s="81"/>
      <c r="H1011"/>
    </row>
    <row r="1012" spans="6:8" x14ac:dyDescent="0.3">
      <c r="F1012"/>
      <c r="G1012" s="81"/>
      <c r="H1012"/>
    </row>
    <row r="1013" spans="6:8" x14ac:dyDescent="0.3">
      <c r="F1013"/>
      <c r="G1013" s="81"/>
      <c r="H1013"/>
    </row>
    <row r="1014" spans="6:8" x14ac:dyDescent="0.3">
      <c r="F1014"/>
      <c r="G1014" s="81"/>
      <c r="H1014"/>
    </row>
    <row r="1015" spans="6:8" x14ac:dyDescent="0.3">
      <c r="F1015"/>
      <c r="G1015" s="81"/>
      <c r="H1015"/>
    </row>
    <row r="1016" spans="6:8" x14ac:dyDescent="0.3">
      <c r="F1016"/>
      <c r="G1016" s="81"/>
      <c r="H1016"/>
    </row>
    <row r="1017" spans="6:8" x14ac:dyDescent="0.3">
      <c r="F1017"/>
      <c r="G1017" s="81"/>
      <c r="H1017"/>
    </row>
    <row r="1018" spans="6:8" x14ac:dyDescent="0.3">
      <c r="F1018"/>
      <c r="G1018" s="81"/>
      <c r="H1018"/>
    </row>
    <row r="1019" spans="6:8" x14ac:dyDescent="0.3">
      <c r="F1019"/>
      <c r="G1019" s="81"/>
      <c r="H1019"/>
    </row>
    <row r="1020" spans="6:8" x14ac:dyDescent="0.3">
      <c r="F1020"/>
      <c r="G1020" s="81"/>
      <c r="H1020"/>
    </row>
    <row r="1021" spans="6:8" x14ac:dyDescent="0.3">
      <c r="F1021"/>
      <c r="G1021" s="81"/>
      <c r="H1021"/>
    </row>
    <row r="1022" spans="6:8" x14ac:dyDescent="0.3">
      <c r="F1022"/>
      <c r="G1022" s="81"/>
      <c r="H1022"/>
    </row>
    <row r="1023" spans="6:8" x14ac:dyDescent="0.3">
      <c r="F1023"/>
      <c r="G1023" s="81"/>
      <c r="H1023"/>
    </row>
    <row r="1024" spans="6:8" x14ac:dyDescent="0.3">
      <c r="F1024"/>
      <c r="G1024" s="81"/>
      <c r="H1024"/>
    </row>
    <row r="1025" spans="6:8" x14ac:dyDescent="0.3">
      <c r="F1025"/>
      <c r="G1025" s="81"/>
      <c r="H1025"/>
    </row>
    <row r="1026" spans="6:8" x14ac:dyDescent="0.3">
      <c r="F1026"/>
      <c r="G1026" s="81"/>
      <c r="H1026"/>
    </row>
    <row r="1027" spans="6:8" x14ac:dyDescent="0.3">
      <c r="F1027"/>
      <c r="G1027" s="81"/>
      <c r="H1027"/>
    </row>
    <row r="1028" spans="6:8" x14ac:dyDescent="0.3">
      <c r="F1028"/>
      <c r="G1028" s="81"/>
      <c r="H1028"/>
    </row>
    <row r="1029" spans="6:8" x14ac:dyDescent="0.3">
      <c r="F1029"/>
      <c r="G1029" s="81"/>
      <c r="H1029"/>
    </row>
    <row r="1030" spans="6:8" x14ac:dyDescent="0.3">
      <c r="F1030"/>
      <c r="G1030" s="81"/>
      <c r="H1030"/>
    </row>
    <row r="1031" spans="6:8" x14ac:dyDescent="0.3">
      <c r="F1031"/>
      <c r="G1031" s="81"/>
      <c r="H1031"/>
    </row>
    <row r="1032" spans="6:8" x14ac:dyDescent="0.3">
      <c r="F1032"/>
      <c r="G1032" s="81"/>
      <c r="H1032"/>
    </row>
    <row r="1033" spans="6:8" x14ac:dyDescent="0.3">
      <c r="F1033"/>
      <c r="G1033" s="81"/>
      <c r="H1033"/>
    </row>
    <row r="1034" spans="6:8" x14ac:dyDescent="0.3">
      <c r="F1034"/>
      <c r="G1034" s="81"/>
      <c r="H1034"/>
    </row>
    <row r="1035" spans="6:8" x14ac:dyDescent="0.3">
      <c r="F1035"/>
      <c r="G1035" s="81"/>
      <c r="H1035"/>
    </row>
    <row r="1036" spans="6:8" x14ac:dyDescent="0.3">
      <c r="F1036"/>
      <c r="G1036" s="81"/>
      <c r="H1036"/>
    </row>
    <row r="1037" spans="6:8" x14ac:dyDescent="0.3">
      <c r="F1037"/>
      <c r="G1037" s="81"/>
      <c r="H1037"/>
    </row>
    <row r="1038" spans="6:8" x14ac:dyDescent="0.3">
      <c r="F1038"/>
      <c r="G1038" s="81"/>
      <c r="H1038"/>
    </row>
    <row r="1039" spans="6:8" x14ac:dyDescent="0.3">
      <c r="F1039"/>
      <c r="G1039" s="81"/>
      <c r="H1039"/>
    </row>
    <row r="1040" spans="6:8" x14ac:dyDescent="0.3">
      <c r="F1040"/>
      <c r="G1040" s="81"/>
      <c r="H1040"/>
    </row>
    <row r="1041" spans="6:8" x14ac:dyDescent="0.3">
      <c r="F1041"/>
      <c r="G1041" s="81"/>
      <c r="H1041"/>
    </row>
    <row r="1042" spans="6:8" x14ac:dyDescent="0.3">
      <c r="F1042"/>
      <c r="G1042" s="81"/>
      <c r="H1042"/>
    </row>
    <row r="1043" spans="6:8" x14ac:dyDescent="0.3">
      <c r="F1043"/>
      <c r="G1043" s="81"/>
      <c r="H1043"/>
    </row>
    <row r="1044" spans="6:8" x14ac:dyDescent="0.3">
      <c r="F1044"/>
      <c r="G1044" s="81"/>
      <c r="H1044"/>
    </row>
    <row r="1045" spans="6:8" x14ac:dyDescent="0.3">
      <c r="F1045"/>
      <c r="G1045" s="81"/>
      <c r="H1045"/>
    </row>
    <row r="1046" spans="6:8" x14ac:dyDescent="0.3">
      <c r="F1046"/>
      <c r="G1046" s="81"/>
      <c r="H1046"/>
    </row>
    <row r="1047" spans="6:8" x14ac:dyDescent="0.3">
      <c r="F1047"/>
      <c r="G1047" s="81"/>
      <c r="H1047"/>
    </row>
    <row r="1048" spans="6:8" x14ac:dyDescent="0.3">
      <c r="F1048"/>
      <c r="G1048" s="81"/>
      <c r="H1048"/>
    </row>
    <row r="1049" spans="6:8" x14ac:dyDescent="0.3">
      <c r="F1049"/>
      <c r="G1049" s="81"/>
      <c r="H1049"/>
    </row>
    <row r="1050" spans="6:8" x14ac:dyDescent="0.3">
      <c r="F1050"/>
      <c r="G1050" s="81"/>
      <c r="H1050"/>
    </row>
    <row r="1051" spans="6:8" x14ac:dyDescent="0.3">
      <c r="F1051"/>
      <c r="G1051" s="81"/>
      <c r="H1051"/>
    </row>
    <row r="1052" spans="6:8" x14ac:dyDescent="0.3">
      <c r="F1052"/>
      <c r="G1052" s="81"/>
      <c r="H1052"/>
    </row>
    <row r="1053" spans="6:8" x14ac:dyDescent="0.3">
      <c r="F1053"/>
      <c r="G1053" s="81"/>
      <c r="H1053"/>
    </row>
    <row r="1054" spans="6:8" x14ac:dyDescent="0.3">
      <c r="F1054"/>
      <c r="G1054" s="81"/>
      <c r="H1054"/>
    </row>
    <row r="1055" spans="6:8" x14ac:dyDescent="0.3">
      <c r="F1055"/>
      <c r="G1055" s="81"/>
      <c r="H1055"/>
    </row>
    <row r="1056" spans="6:8" x14ac:dyDescent="0.3">
      <c r="F1056"/>
      <c r="G1056" s="81"/>
      <c r="H1056"/>
    </row>
    <row r="1057" spans="6:8" x14ac:dyDescent="0.3">
      <c r="F1057"/>
      <c r="G1057" s="81"/>
      <c r="H1057"/>
    </row>
    <row r="1058" spans="6:8" x14ac:dyDescent="0.3">
      <c r="F1058"/>
      <c r="G1058" s="81"/>
      <c r="H1058"/>
    </row>
    <row r="1059" spans="6:8" x14ac:dyDescent="0.3">
      <c r="F1059"/>
      <c r="G1059" s="81"/>
      <c r="H1059"/>
    </row>
    <row r="1060" spans="6:8" x14ac:dyDescent="0.3">
      <c r="F1060"/>
      <c r="G1060" s="81"/>
      <c r="H1060"/>
    </row>
    <row r="1061" spans="6:8" x14ac:dyDescent="0.3">
      <c r="F1061"/>
      <c r="G1061" s="81"/>
      <c r="H1061"/>
    </row>
    <row r="1062" spans="6:8" x14ac:dyDescent="0.3">
      <c r="F1062"/>
      <c r="G1062" s="81"/>
      <c r="H1062"/>
    </row>
    <row r="1063" spans="6:8" x14ac:dyDescent="0.3">
      <c r="F1063"/>
      <c r="G1063" s="81"/>
      <c r="H1063"/>
    </row>
    <row r="1064" spans="6:8" x14ac:dyDescent="0.3">
      <c r="F1064"/>
      <c r="G1064" s="81"/>
      <c r="H1064"/>
    </row>
    <row r="1065" spans="6:8" x14ac:dyDescent="0.3">
      <c r="F1065"/>
      <c r="G1065" s="81"/>
      <c r="H1065"/>
    </row>
    <row r="1066" spans="6:8" x14ac:dyDescent="0.3">
      <c r="F1066"/>
      <c r="G1066" s="81"/>
      <c r="H1066"/>
    </row>
    <row r="1067" spans="6:8" x14ac:dyDescent="0.3">
      <c r="F1067"/>
      <c r="G1067" s="81"/>
      <c r="H1067"/>
    </row>
    <row r="1068" spans="6:8" x14ac:dyDescent="0.3">
      <c r="F1068"/>
      <c r="G1068" s="81"/>
      <c r="H1068"/>
    </row>
    <row r="1069" spans="6:8" x14ac:dyDescent="0.3">
      <c r="F1069"/>
      <c r="G1069" s="81"/>
      <c r="H1069"/>
    </row>
    <row r="1070" spans="6:8" x14ac:dyDescent="0.3">
      <c r="F1070"/>
      <c r="G1070" s="81"/>
      <c r="H1070"/>
    </row>
    <row r="1071" spans="6:8" x14ac:dyDescent="0.3">
      <c r="F1071"/>
      <c r="G1071" s="81"/>
      <c r="H1071"/>
    </row>
    <row r="1072" spans="6:8" x14ac:dyDescent="0.3">
      <c r="F1072"/>
      <c r="G1072" s="81"/>
      <c r="H1072"/>
    </row>
    <row r="1073" spans="6:8" x14ac:dyDescent="0.3">
      <c r="F1073"/>
      <c r="G1073" s="81"/>
      <c r="H1073"/>
    </row>
    <row r="1074" spans="6:8" x14ac:dyDescent="0.3">
      <c r="F1074"/>
      <c r="G1074" s="81"/>
      <c r="H1074"/>
    </row>
    <row r="1075" spans="6:8" x14ac:dyDescent="0.3">
      <c r="F1075"/>
      <c r="G1075" s="81"/>
      <c r="H1075"/>
    </row>
    <row r="1076" spans="6:8" x14ac:dyDescent="0.3">
      <c r="F1076"/>
      <c r="G1076" s="81"/>
      <c r="H1076"/>
    </row>
    <row r="1077" spans="6:8" x14ac:dyDescent="0.3">
      <c r="F1077"/>
      <c r="G1077" s="81"/>
      <c r="H1077"/>
    </row>
    <row r="1078" spans="6:8" x14ac:dyDescent="0.3">
      <c r="F1078"/>
      <c r="G1078" s="81"/>
      <c r="H1078"/>
    </row>
    <row r="1079" spans="6:8" x14ac:dyDescent="0.3">
      <c r="F1079"/>
      <c r="G1079" s="81"/>
      <c r="H1079"/>
    </row>
    <row r="1080" spans="6:8" x14ac:dyDescent="0.3">
      <c r="F1080"/>
      <c r="G1080" s="81"/>
      <c r="H1080"/>
    </row>
    <row r="1081" spans="6:8" x14ac:dyDescent="0.3">
      <c r="F1081"/>
      <c r="G1081" s="81"/>
      <c r="H1081"/>
    </row>
    <row r="1082" spans="6:8" x14ac:dyDescent="0.3">
      <c r="F1082"/>
      <c r="G1082" s="81"/>
      <c r="H1082"/>
    </row>
    <row r="1083" spans="6:8" x14ac:dyDescent="0.3">
      <c r="F1083"/>
      <c r="G1083" s="81"/>
      <c r="H1083"/>
    </row>
    <row r="1084" spans="6:8" x14ac:dyDescent="0.3">
      <c r="F1084"/>
      <c r="G1084" s="81"/>
      <c r="H1084"/>
    </row>
    <row r="1085" spans="6:8" x14ac:dyDescent="0.3">
      <c r="F1085"/>
      <c r="G1085" s="81"/>
      <c r="H1085"/>
    </row>
  </sheetData>
  <autoFilter ref="A1:A1085" xr:uid="{2A0D5BFB-FEA3-4574-A18E-29524BA795F8}"/>
  <mergeCells count="2">
    <mergeCell ref="A1:C1"/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Datos</vt:lpstr>
      <vt:lpstr>Niveles Imputados</vt:lpstr>
      <vt:lpstr>Gradientes x Pozo</vt:lpstr>
      <vt:lpstr>Hoja1</vt:lpstr>
      <vt:lpstr>Consolidado Pozos</vt:lpstr>
      <vt:lpstr>Sampues - # 52-II-C-PZ-01</vt:lpstr>
      <vt:lpstr>Finca el socorro (Ovejas) - # 4</vt:lpstr>
      <vt:lpstr>Ovejas - # 44-II-D-PO-14</vt:lpstr>
      <vt:lpstr>Los Palmitos - # 44-IV-B-PZ-01 </vt:lpstr>
      <vt:lpstr>Morroa (Bremen) - # 44-IV-C-PZ-</vt:lpstr>
      <vt:lpstr>Bremen - # 44-IV-C-PZ-01 B</vt:lpstr>
      <vt:lpstr>Las Tinas (Morroa)A</vt:lpstr>
      <vt:lpstr>Las Tinas (Morroa)B</vt:lpstr>
      <vt:lpstr>Arroyo salida a Betulia (Coroza</vt:lpstr>
      <vt:lpstr> (Corozal) - # 44-IV-D-PZ-01 B</vt:lpstr>
      <vt:lpstr>Sabanas de cali (El Tesoro)</vt:lpstr>
      <vt:lpstr>Finca el tesoro - # 44-IV-D-PZ-</vt:lpstr>
      <vt:lpstr>Basurero Viejo, Pileta (Corozal</vt:lpstr>
      <vt:lpstr>Corozal - # 44-IV-D-PO-14</vt:lpstr>
      <vt:lpstr>Corozal - # 44-IV-D-PZ-20</vt:lpstr>
      <vt:lpstr>Corozal - # 44-IV-D-PZ-22</vt:lpstr>
      <vt:lpstr>Cantagallo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Segundo Cohen Manrique</dc:creator>
  <cp:lastModifiedBy>Carlos Segundo Cohen Manrique</cp:lastModifiedBy>
  <dcterms:created xsi:type="dcterms:W3CDTF">2025-05-01T23:09:00Z</dcterms:created>
  <dcterms:modified xsi:type="dcterms:W3CDTF">2026-09-02T19:16:41Z</dcterms:modified>
</cp:coreProperties>
</file>
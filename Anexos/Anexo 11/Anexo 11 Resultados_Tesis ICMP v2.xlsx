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8_{F0BF28F6-7137-4E20-8D84-5A8FADDE96C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atos" sheetId="1" r:id="rId1"/>
    <sheet name="Cambios" sheetId="2" r:id="rId2"/>
    <sheet name="Sensibilidad" sheetId="3" r:id="rId3"/>
    <sheet name="Ranking" sheetId="4" r:id="rId4"/>
    <sheet name="Spearman" sheetId="5" r:id="rId5"/>
    <sheet name="Bootstr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5" i="2"/>
  <c r="P3" i="2"/>
  <c r="P4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" i="2"/>
</calcChain>
</file>

<file path=xl/sharedStrings.xml><?xml version="1.0" encoding="utf-8"?>
<sst xmlns="http://schemas.openxmlformats.org/spreadsheetml/2006/main" count="252" uniqueCount="93">
  <si>
    <t>Fecha</t>
  </si>
  <si>
    <t>Sampues</t>
  </si>
  <si>
    <t>Finca_Socorro</t>
  </si>
  <si>
    <t>Ovejas</t>
  </si>
  <si>
    <t>Los_Palmitos</t>
  </si>
  <si>
    <t>Morroa_A</t>
  </si>
  <si>
    <t>Bremen_B</t>
  </si>
  <si>
    <t>LasTinas_A</t>
  </si>
  <si>
    <t>LasTinas_B</t>
  </si>
  <si>
    <t>Arroyo_A</t>
  </si>
  <si>
    <t>Arroyo_B</t>
  </si>
  <si>
    <t>Sabanas_PZ02</t>
  </si>
  <si>
    <t>Sabanas_PZ04</t>
  </si>
  <si>
    <t>Basurero</t>
  </si>
  <si>
    <t>Corozal_PO14</t>
  </si>
  <si>
    <t>Corozal_PZ20</t>
  </si>
  <si>
    <t>Corozal_PZ22</t>
  </si>
  <si>
    <t>Cantagallo</t>
  </si>
  <si>
    <t>Pozo</t>
  </si>
  <si>
    <t>Tendencia</t>
  </si>
  <si>
    <t>Intensidad</t>
  </si>
  <si>
    <t>ISH</t>
  </si>
  <si>
    <t>IMCP</t>
  </si>
  <si>
    <t>Descenso</t>
  </si>
  <si>
    <t>Moderado</t>
  </si>
  <si>
    <t>Leve</t>
  </si>
  <si>
    <t>Recuperación</t>
  </si>
  <si>
    <t>Fuerte</t>
  </si>
  <si>
    <t>Balanceado</t>
  </si>
  <si>
    <t>Magnitud</t>
  </si>
  <si>
    <t>Tasa</t>
  </si>
  <si>
    <t>IMCP_mean</t>
  </si>
  <si>
    <t>IMCP_std</t>
  </si>
  <si>
    <t>Nivel 2010</t>
  </si>
  <si>
    <t>Nivel 2025</t>
  </si>
  <si>
    <t>Delta m</t>
  </si>
  <si>
    <t>Gradiente m por año</t>
  </si>
  <si>
    <t>Cambio %</t>
  </si>
  <si>
    <t>Delta m norm</t>
  </si>
  <si>
    <t>Gradiente m por año norm</t>
  </si>
  <si>
    <t>Cambio % norm</t>
  </si>
  <si>
    <t>Bootstrap</t>
  </si>
  <si>
    <t>Sensibilidad</t>
  </si>
  <si>
    <t>Ranking</t>
  </si>
  <si>
    <t>Spearman</t>
  </si>
  <si>
    <t>Sobol</t>
  </si>
  <si>
    <t>w_delta</t>
  </si>
  <si>
    <t>w_gradiente</t>
  </si>
  <si>
    <t>w_porcentaje</t>
  </si>
  <si>
    <t>Indices S1</t>
  </si>
  <si>
    <t>Indices ST</t>
  </si>
  <si>
    <t>Intrepretación</t>
  </si>
  <si>
    <t>Conteo</t>
  </si>
  <si>
    <t># Pozos</t>
  </si>
  <si>
    <t>Critica</t>
  </si>
  <si>
    <t>BS</t>
  </si>
  <si>
    <t>SM</t>
  </si>
  <si>
    <t>AS</t>
  </si>
  <si>
    <t>Clasificar pozos para gestión</t>
  </si>
  <si>
    <t>Tipo</t>
  </si>
  <si>
    <t>Acción</t>
  </si>
  <si>
    <t>Estables</t>
  </si>
  <si>
    <t>aptos para explotación</t>
  </si>
  <si>
    <t>Intermedios</t>
  </si>
  <si>
    <t>monitoreo</t>
  </si>
  <si>
    <t>Inestables</t>
  </si>
  <si>
    <t>restricción</t>
  </si>
  <si>
    <t>Resumen IMCP</t>
  </si>
  <si>
    <t>Elemento</t>
  </si>
  <si>
    <t>Configuración</t>
  </si>
  <si>
    <t>Método</t>
  </si>
  <si>
    <t>Sobol Global Sensitivity Analysis</t>
  </si>
  <si>
    <t>Librería</t>
  </si>
  <si>
    <t>SALib</t>
  </si>
  <si>
    <t>Muestreo</t>
  </si>
  <si>
    <t>Saltelli</t>
  </si>
  <si>
    <t>Variables</t>
  </si>
  <si>
    <t>Muestras base</t>
  </si>
  <si>
    <t>Evaluaciones</t>
  </si>
  <si>
    <t>Salida</t>
  </si>
  <si>
    <t>IMCP promedio</t>
  </si>
  <si>
    <t>Índices</t>
  </si>
  <si>
    <t>S1 y ST</t>
  </si>
  <si>
    <t>Dominancia principal</t>
  </si>
  <si>
    <t>Cambio porcentual (65.6%)</t>
  </si>
  <si>
    <t>Robustez</t>
  </si>
  <si>
    <t>Alta</t>
  </si>
  <si>
    <t>Aplicación</t>
  </si>
  <si>
    <t>Evaluación de incertidumbre del IMCP</t>
  </si>
  <si>
    <t>Escala</t>
  </si>
  <si>
    <t>Acuífero Morroa</t>
  </si>
  <si>
    <t>Periodo</t>
  </si>
  <si>
    <t>2010–2025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</si>
</sst>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Sensibilidad!$C$27</c:f>
              <c:strCache>
                <c:ptCount val="1"/>
                <c:pt idx="0">
                  <c:v>Indices 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Sensibilidad!$C$28:$C$30</c:f>
              <c:strCache>
                <c:ptCount val="3"/>
                <c:pt idx="0">
                  <c:v>w_delta</c:v>
                </c:pt>
                <c:pt idx="1">
                  <c:v>w_gradiente</c:v>
                </c:pt>
                <c:pt idx="2">
                  <c:v>w_porcentaje</c:v>
                </c:pt>
              </c:strCache>
            </c:strRef>
          </c:cat>
          <c:val>
            <c:numRef>
              <c:f>Sensibilidad!$D$28:$D$30</c:f>
              <c:numCache>
                <c:formatCode>General</c:formatCode>
                <c:ptCount val="3"/>
                <c:pt idx="0">
                  <c:v>0.16467185895137701</c:v>
                </c:pt>
                <c:pt idx="1">
                  <c:v>0.14697871500000001</c:v>
                </c:pt>
                <c:pt idx="2">
                  <c:v>0.62780243499999999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5-4D0C-A919-C9A0DB6F2E29}"/>
            </c:ext>
          </c:extLst>
        </c:ser>
        <c:ser>
          <c:idx val="1"/>
          <c:order val="1"/>
          <c:tx>
            <c:strRef>
              <c:f>Sensibilidad!$C$32</c:f>
              <c:strCache>
                <c:ptCount val="1"/>
                <c:pt idx="0">
                  <c:v>Indices 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Sensibilidad!$D$33:$D$35</c:f>
              <c:numCache>
                <c:formatCode>General</c:formatCode>
                <c:ptCount val="3"/>
                <c:pt idx="0">
                  <c:v>0.20613063500000001</c:v>
                </c:pt>
                <c:pt idx="1">
                  <c:v>0.20988431360000001</c:v>
                </c:pt>
                <c:pt idx="2">
                  <c:v>0.65580708200000004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5-4D0C-A919-C9A0DB6F2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488495"/>
        <c:axId val="1263488975"/>
      </c:barChart>
      <c:catAx>
        <c:axId val="12634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88975"/>
        <c:crosses val="autoZero"/>
        <c:auto val="1"/>
        <c:lblAlgn val="ctr"/>
        <c:lblOffset val="100"/>
        <c:noMultiLvlLbl val="0"/>
      </c:catAx>
      <c:valAx>
        <c:axId val="12634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88495"/>
        <c:crosses val="autoZero"/>
        <c:crossBetween val="between"/>
        <c:majorUnit val="0.1500000000000000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838530622085601"/>
          <c:y val="0.89547581398110032"/>
          <c:w val="0.58931128389744614"/>
          <c:h val="7.7108147636446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154305</xdr:colOff>
      <xdr:row>25</xdr:row>
      <xdr:rowOff>98107</xdr:rowOff>
    </xdr:from>
    <xdr:to>
      <xdr:col>10</xdr:col>
      <xdr:colOff>655320</xdr:colOff>
      <xdr:row>40</xdr:row>
      <xdr:rowOff>134302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5FEC55-CD40-38BB-A4D9-24F6943A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670560</xdr:colOff>
      <xdr:row>41</xdr:row>
      <xdr:rowOff>83820</xdr:rowOff>
    </xdr:from>
    <xdr:to>
      <xdr:col>8</xdr:col>
      <xdr:colOff>552450</xdr:colOff>
      <xdr:row>46</xdr:row>
      <xdr:rowOff>70485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2DD71F4-44D0-DF88-A07E-B1B89EC463D6}"/>
            </a:ext>
          </a:extLst>
        </xdr:cNvPr>
        <xdr:cNvSpPr txBox="1"/>
      </xdr:nvSpPr>
      <xdr:spPr>
        <a:xfrm>
          <a:off x="4617720" y="7581900"/>
          <a:ext cx="2114550" cy="901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SOBOL: Esto justifica que el IMCP es sensible a las condiciones iniciales de cada pozo y no solo a la "fuerza" del descenso</a:t>
          </a:r>
          <a:endParaRPr lang="es-CO" sz="1100"/>
        </a:p>
      </xdr:txBody>
    </xdr:sp>
    <xdr:clientData/>
  </xdr:twoCellAnchor>
  <xdr:twoCellAnchor>
    <xdr:from>
      <xdr:col>8</xdr:col>
      <xdr:colOff>304800</xdr:colOff>
      <xdr:row>26</xdr:row>
      <xdr:rowOff>68580</xdr:rowOff>
    </xdr:from>
    <xdr:to>
      <xdr:col>10</xdr:col>
      <xdr:colOff>662940</xdr:colOff>
      <xdr:row>40</xdr:row>
      <xdr:rowOff>144780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57C63D67-A2B3-68A8-6726-DA7730F09944}"/>
            </a:ext>
          </a:extLst>
        </xdr:cNvPr>
        <xdr:cNvSpPr/>
      </xdr:nvSpPr>
      <xdr:spPr>
        <a:xfrm>
          <a:off x="6484620" y="4823460"/>
          <a:ext cx="1577340" cy="2636520"/>
        </a:xfrm>
        <a:prstGeom prst="ellipse">
          <a:avLst/>
        </a:prstGeom>
        <a:noFill/>
        <a:ln>
          <a:solidFill>
            <a:srgbClr val="00B05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327660</xdr:colOff>
      <xdr:row>28</xdr:row>
      <xdr:rowOff>53340</xdr:rowOff>
    </xdr:from>
    <xdr:to>
      <xdr:col>8</xdr:col>
      <xdr:colOff>15240</xdr:colOff>
      <xdr:row>31</xdr:row>
      <xdr:rowOff>91440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FB8CACA-D6DB-9369-9C43-911B858CD8DD}"/>
            </a:ext>
          </a:extLst>
        </xdr:cNvPr>
        <xdr:cNvSpPr txBox="1"/>
      </xdr:nvSpPr>
      <xdr:spPr>
        <a:xfrm>
          <a:off x="5158740" y="5173980"/>
          <a:ext cx="1036320" cy="586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>
              <a:ln>
                <a:noFill/>
              </a:ln>
              <a:solidFill>
                <a:schemeClr val="tx2"/>
              </a:solidFill>
            </a:rPr>
            <a:t>Término de mayor peso</a:t>
          </a:r>
        </a:p>
      </xdr:txBody>
    </xdr:sp>
    <xdr:clientData/>
  </xdr:twoCellAnchor>
  <xdr:twoCellAnchor>
    <xdr:from>
      <xdr:col>8</xdr:col>
      <xdr:colOff>22860</xdr:colOff>
      <xdr:row>29</xdr:row>
      <xdr:rowOff>144780</xdr:rowOff>
    </xdr:from>
    <xdr:to>
      <xdr:col>8</xdr:col>
      <xdr:colOff>327660</xdr:colOff>
      <xdr:row>30</xdr:row>
      <xdr:rowOff>129540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F1A7B67B-278D-A87C-7F7F-E9E87E0BADB1}"/>
            </a:ext>
          </a:extLst>
        </xdr:cNvPr>
        <xdr:cNvCxnSpPr/>
      </xdr:nvCxnSpPr>
      <xdr:spPr>
        <a:xfrm>
          <a:off x="6202680" y="5448300"/>
          <a:ext cx="304800" cy="1676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</xdr:colOff>
      <xdr:row>5</xdr:row>
      <xdr:rowOff>30480</xdr:rowOff>
    </xdr:from>
    <xdr:to>
      <xdr:col>29</xdr:col>
      <xdr:colOff>190500</xdr:colOff>
      <xdr:row>25</xdr:row>
      <xdr:rowOff>160020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489F8212-5BDD-916D-121E-97F937B4E1E4}"/>
            </a:ext>
          </a:extLst>
        </xdr:cNvPr>
        <xdr:cNvSpPr/>
      </xdr:nvSpPr>
      <xdr:spPr>
        <a:xfrm>
          <a:off x="10805160" y="944880"/>
          <a:ext cx="8069580" cy="37871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114300</xdr:colOff>
      <xdr:row>0</xdr:row>
      <xdr:rowOff>85725</xdr:rowOff>
    </xdr:from>
    <xdr:to>
      <xdr:col>14</xdr:col>
      <xdr:colOff>91440</xdr:colOff>
      <xdr:row>25</xdr:row>
      <xdr:rowOff>73361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7D1187-7410-92DA-A09C-94A886D1D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552825" y="85725"/>
          <a:ext cx="5467350" cy="4512011"/>
        </a:xfrm>
        <a:prstGeom prst="rect">
          <a:avLst/>
        </a:prstGeom>
      </xdr:spPr>
    </xdr:pic>
    <xdr:clientData/>
  </xdr:twoCellAnchor>
  <xdr:twoCellAnchor>
    <xdr:from>
      <xdr:col>5</xdr:col>
      <xdr:colOff>409575</xdr:colOff>
      <xdr:row>23</xdr:row>
      <xdr:rowOff>104775</xdr:rowOff>
    </xdr:from>
    <xdr:to>
      <xdr:col>8</xdr:col>
      <xdr:colOff>104775</xdr:colOff>
      <xdr:row>25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03FC6B5-36CB-0F1C-A246-EFA9AF97F9E9}"/>
            </a:ext>
          </a:extLst>
        </xdr:cNvPr>
        <xdr:cNvSpPr txBox="1"/>
      </xdr:nvSpPr>
      <xdr:spPr>
        <a:xfrm>
          <a:off x="3848100" y="4267200"/>
          <a:ext cx="1524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/>
            <a:t>Transiciones por pozo</a:t>
          </a:r>
        </a:p>
      </xdr:txBody>
    </xdr:sp>
    <xdr:clientData/>
  </xdr:twoCellAnchor>
  <xdr:twoCellAnchor>
    <xdr:from>
      <xdr:col>0</xdr:col>
      <xdr:colOff>281940</xdr:colOff>
      <xdr:row>18</xdr:row>
      <xdr:rowOff>121920</xdr:rowOff>
    </xdr:from>
    <xdr:to>
      <xdr:col>3</xdr:col>
      <xdr:colOff>586740</xdr:colOff>
      <xdr:row>22</xdr:row>
      <xdr:rowOff>106680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889818E-318F-FBD8-4BB3-1C17D6B2358E}"/>
            </a:ext>
          </a:extLst>
        </xdr:cNvPr>
        <xdr:cNvSpPr txBox="1"/>
      </xdr:nvSpPr>
      <xdr:spPr>
        <a:xfrm>
          <a:off x="281940" y="3413760"/>
          <a:ext cx="25222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>
              <a:solidFill>
                <a:schemeClr val="tx2"/>
              </a:solidFill>
            </a:rPr>
            <a:t>Clasificación relativa del comportamiento dinámico de cada pozo basada en el índice sintético ICMP.</a:t>
          </a:r>
          <a:endParaRPr lang="es-CO" sz="1100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289560</xdr:colOff>
      <xdr:row>23</xdr:row>
      <xdr:rowOff>0</xdr:rowOff>
    </xdr:from>
    <xdr:to>
      <xdr:col>3</xdr:col>
      <xdr:colOff>579120</xdr:colOff>
      <xdr:row>30</xdr:row>
      <xdr:rowOff>15240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2C83C7D-CFC0-43AD-8C47-D0D2AAF8BD0D}"/>
            </a:ext>
          </a:extLst>
        </xdr:cNvPr>
        <xdr:cNvSpPr txBox="1"/>
      </xdr:nvSpPr>
      <xdr:spPr>
        <a:xfrm>
          <a:off x="289560" y="4206240"/>
          <a:ext cx="2506980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>
              <a:solidFill>
                <a:srgbClr val="7030A0"/>
              </a:solidFill>
            </a:rPr>
            <a:t>Cada valor (1–17) representa una posición dentro de un espectro de estabilidad–variabilidad.</a:t>
          </a:r>
        </a:p>
        <a:p>
          <a:r>
            <a:rPr lang="es-CO">
              <a:solidFill>
                <a:srgbClr val="7030A0"/>
              </a:solidFill>
            </a:rPr>
            <a:t>Valores similares → comportamiento similar </a:t>
          </a:r>
        </a:p>
        <a:p>
          <a:r>
            <a:rPr lang="es-CO">
              <a:solidFill>
                <a:srgbClr val="7030A0"/>
              </a:solidFill>
            </a:rPr>
            <a:t>Valores extremos → comportamientos contrastantes</a:t>
          </a:r>
        </a:p>
      </xdr:txBody>
    </xdr:sp>
    <xdr:clientData/>
  </xdr:twoCellAnchor>
  <xdr:twoCellAnchor>
    <xdr:from>
      <xdr:col>4</xdr:col>
      <xdr:colOff>220980</xdr:colOff>
      <xdr:row>25</xdr:row>
      <xdr:rowOff>129540</xdr:rowOff>
    </xdr:from>
    <xdr:to>
      <xdr:col>8</xdr:col>
      <xdr:colOff>312420</xdr:colOff>
      <xdr:row>30</xdr:row>
      <xdr:rowOff>167640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F25530B-426B-8F70-E035-8E9B222880D1}"/>
            </a:ext>
          </a:extLst>
        </xdr:cNvPr>
        <xdr:cNvSpPr txBox="1"/>
      </xdr:nvSpPr>
      <xdr:spPr>
        <a:xfrm>
          <a:off x="3048000" y="4701540"/>
          <a:ext cx="252984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Permite identificar una radiografía dinámica del acuífero:</a:t>
          </a:r>
        </a:p>
        <a:p>
          <a:r>
            <a:rPr lang="es-CO"/>
            <a:t>a. Pozos estables </a:t>
          </a:r>
        </a:p>
        <a:p>
          <a:r>
            <a:rPr lang="es-CO"/>
            <a:t>b. Pozos sensibles </a:t>
          </a:r>
        </a:p>
        <a:p>
          <a:r>
            <a:rPr lang="es-CO"/>
            <a:t>c.</a:t>
          </a:r>
          <a:r>
            <a:rPr lang="es-CO" baseline="0"/>
            <a:t>  </a:t>
          </a:r>
          <a:r>
            <a:rPr lang="es-CO"/>
            <a:t>Pozos críticos</a:t>
          </a:r>
        </a:p>
        <a:p>
          <a:endParaRPr lang="es-CO" sz="1100"/>
        </a:p>
      </xdr:txBody>
    </xdr:sp>
    <xdr:clientData/>
  </xdr:twoCellAnchor>
  <xdr:twoCellAnchor>
    <xdr:from>
      <xdr:col>0</xdr:col>
      <xdr:colOff>327660</xdr:colOff>
      <xdr:row>31</xdr:row>
      <xdr:rowOff>60960</xdr:rowOff>
    </xdr:from>
    <xdr:to>
      <xdr:col>8</xdr:col>
      <xdr:colOff>266700</xdr:colOff>
      <xdr:row>49</xdr:row>
      <xdr:rowOff>53340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E81BC17-BAE9-AD8C-5D67-03B54612E456}"/>
            </a:ext>
          </a:extLst>
        </xdr:cNvPr>
        <xdr:cNvSpPr txBox="1"/>
      </xdr:nvSpPr>
      <xdr:spPr>
        <a:xfrm>
          <a:off x="327660" y="5730240"/>
          <a:ext cx="5204460" cy="3284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¿Qué significa cada dimensión?</a:t>
          </a:r>
        </a:p>
        <a:p>
          <a:r>
            <a:rPr lang="es-CO" sz="1100"/>
            <a:t>1. Balanceado: Representa el estado global del sistema (</a:t>
          </a:r>
          <a:r>
            <a:rPr lang="es-CO"/>
            <a:t>integra todas las variables y refleja estabilidad general)</a:t>
          </a:r>
        </a:p>
        <a:p>
          <a:r>
            <a:rPr lang="es-CO"/>
            <a:t>Interpretación:</a:t>
          </a:r>
        </a:p>
        <a:p>
          <a:r>
            <a:rPr lang="es-CO"/>
            <a:t>Alto (ej: 13–17) → sistema estable </a:t>
          </a:r>
        </a:p>
        <a:p>
          <a:r>
            <a:rPr lang="es-CO"/>
            <a:t>Bajo (ej: 1–5) → sistema muy dinámico/inestable</a:t>
          </a:r>
        </a:p>
        <a:p>
          <a:endParaRPr lang="es-CO"/>
        </a:p>
        <a:p>
          <a:r>
            <a:rPr lang="es-CO" sz="1100"/>
            <a:t>2. Magnitud: Representa la intensidad del comportamiento (asociado con </a:t>
          </a:r>
          <a:r>
            <a:rPr lang="es-CO"/>
            <a:t>amplitud de variación y cambios absolutos)</a:t>
          </a:r>
        </a:p>
        <a:p>
          <a:r>
            <a:rPr lang="es-CO"/>
            <a:t>Interpretación:</a:t>
          </a:r>
        </a:p>
        <a:p>
          <a:r>
            <a:rPr lang="es-CO"/>
            <a:t>Alto → grandes fluctuaciones </a:t>
          </a:r>
        </a:p>
        <a:p>
          <a:r>
            <a:rPr lang="es-CO"/>
            <a:t>Bajo → comportamiento contenido</a:t>
          </a:r>
        </a:p>
        <a:p>
          <a:endParaRPr lang="es-CO" sz="1100"/>
        </a:p>
        <a:p>
          <a:r>
            <a:rPr lang="es-CO" sz="1100"/>
            <a:t>3. Tasa: Representa la velocidad del cambio (</a:t>
          </a:r>
          <a:r>
            <a:rPr lang="es-CO"/>
            <a:t>Relacionado con</a:t>
          </a:r>
          <a:r>
            <a:rPr lang="es-CO" baseline="0"/>
            <a:t> </a:t>
          </a:r>
          <a:r>
            <a:rPr lang="es-CO"/>
            <a:t>tendencia y rapidez de respuesta</a:t>
          </a:r>
          <a:r>
            <a:rPr lang="es-CO" sz="1100"/>
            <a:t>)</a:t>
          </a:r>
        </a:p>
        <a:p>
          <a:r>
            <a:rPr lang="es-CO"/>
            <a:t>Interpretación:</a:t>
          </a:r>
        </a:p>
        <a:p>
          <a:r>
            <a:rPr lang="es-CO"/>
            <a:t>Alto → cambios rápidos (riesgo) </a:t>
          </a:r>
        </a:p>
        <a:p>
          <a:r>
            <a:rPr lang="es-CO"/>
            <a:t>Bajo → evolución lenta</a:t>
          </a:r>
        </a:p>
        <a:p>
          <a:endParaRPr lang="es-CO" sz="1100"/>
        </a:p>
      </xdr:txBody>
    </xdr:sp>
    <xdr:clientData/>
  </xdr:twoCellAnchor>
  <xdr:twoCellAnchor>
    <xdr:from>
      <xdr:col>9</xdr:col>
      <xdr:colOff>175260</xdr:colOff>
      <xdr:row>26</xdr:row>
      <xdr:rowOff>99060</xdr:rowOff>
    </xdr:from>
    <xdr:to>
      <xdr:col>18</xdr:col>
      <xdr:colOff>167640</xdr:colOff>
      <xdr:row>44</xdr:row>
      <xdr:rowOff>15240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9380D7C-D0BA-95F9-F262-16BB2AFB3DFC}"/>
            </a:ext>
          </a:extLst>
        </xdr:cNvPr>
        <xdr:cNvSpPr txBox="1"/>
      </xdr:nvSpPr>
      <xdr:spPr>
        <a:xfrm>
          <a:off x="6050280" y="4853940"/>
          <a:ext cx="5478780" cy="3208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Análisis de cambios y transiciones:</a:t>
          </a:r>
        </a:p>
        <a:p>
          <a:endParaRPr lang="es-CO" sz="1100" b="0"/>
        </a:p>
        <a:p>
          <a:r>
            <a:rPr lang="es-CO" sz="1100" b="0"/>
            <a:t>1. 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1</a:t>
          </a:r>
          <a:r>
            <a:rPr lang="es-CO" sz="1100" b="0"/>
            <a:t> (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Sampues</a:t>
          </a:r>
          <a:r>
            <a:rPr lang="es-CO" sz="1100" b="0"/>
            <a:t>): </a:t>
          </a:r>
          <a:r>
            <a:rPr lang="es-CO"/>
            <a:t>No cambia (13 → 13 → 13)</a:t>
          </a:r>
        </a:p>
        <a:p>
          <a:r>
            <a:rPr lang="es-CO" sz="1100" b="0"/>
            <a:t>Interpretación: </a:t>
          </a:r>
          <a:r>
            <a:rPr lang="es-CO"/>
            <a:t>El pozo tiene comportamiento robusto independientemente de cómo se mida (Sistema consistente, Dinámica estable y Sin distorsión entre métricas).</a:t>
          </a:r>
        </a:p>
        <a:p>
          <a:endParaRPr lang="es-CO" sz="1100" b="0"/>
        </a:p>
        <a:p>
          <a:r>
            <a:rPr lang="es-CO" sz="1100" b="0"/>
            <a:t>2.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2</a:t>
          </a:r>
          <a:r>
            <a:rPr lang="es-CO" sz="1100" b="0"/>
            <a:t>(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Los_Palmitos</a:t>
          </a:r>
          <a:r>
            <a:rPr lang="es-CO"/>
            <a:t>): Cambios leves (2 → 3 → 3)</a:t>
          </a:r>
        </a:p>
        <a:p>
          <a:r>
            <a:rPr lang="es-CO"/>
            <a:t>Interpretación: Ajuste menor.</a:t>
          </a:r>
          <a:r>
            <a:rPr lang="es-CO" baseline="0"/>
            <a:t> </a:t>
          </a:r>
          <a:r>
            <a:rPr lang="es-CO"/>
            <a:t>Hay cierta sensibilidad, pero no crítica.</a:t>
          </a:r>
        </a:p>
        <a:p>
          <a:endParaRPr lang="es-CO" sz="1100" b="0"/>
        </a:p>
        <a:p>
          <a:r>
            <a:rPr lang="es-CO" sz="1100" b="0"/>
            <a:t>3.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3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O" sz="1100" b="0"/>
            <a:t>(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Sabanas_PZ02 y Corozal_PO14 </a:t>
          </a:r>
          <a:r>
            <a:rPr lang="es-CO" sz="1100" b="0"/>
            <a:t>)</a:t>
          </a:r>
          <a:r>
            <a:rPr lang="es-CO"/>
            <a:t>: Cambios fuertes (16 → 17 → 17 o 17 → 16 → 16)</a:t>
          </a:r>
        </a:p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Interpretación: </a:t>
          </a:r>
          <a:r>
            <a:rPr lang="es-CO"/>
            <a:t>Desacople entre métricas. El sistema responde distinto según: magnitud y  velocidad. Es un comportamiento típico de:</a:t>
          </a:r>
        </a:p>
        <a:p>
          <a:r>
            <a:rPr lang="es-CO"/>
            <a:t>- cambios en bombeo </a:t>
          </a:r>
        </a:p>
        <a:p>
          <a:r>
            <a:rPr lang="es-CO"/>
            <a:t>- eventos de recarga </a:t>
          </a:r>
        </a:p>
        <a:p>
          <a:r>
            <a:rPr lang="es-CO"/>
            <a:t>- heterogeneidad hidráulica</a:t>
          </a:r>
        </a:p>
        <a:p>
          <a:endParaRPr lang="es-CO"/>
        </a:p>
        <a:p>
          <a:r>
            <a:rPr lang="es-CO" sz="1100" b="0"/>
            <a:t>4. </a:t>
          </a:r>
          <a:r>
            <a:rPr lang="es-CO"/>
            <a:t>Caso crítico (Bremen_B y Corozal_PZ20): cruces (6 → 5 → 5, 7 ↔ 8)</a:t>
          </a:r>
        </a:p>
        <a:p>
          <a:r>
            <a:rPr lang="es-CO" sz="1100" b="0"/>
            <a:t>Interpretación: </a:t>
          </a:r>
          <a:r>
            <a:rPr lang="es-CO"/>
            <a:t>El pozo está en zona de transición dinámica.</a:t>
          </a:r>
          <a:endParaRPr lang="es-CO" sz="1100" b="0"/>
        </a:p>
      </xdr:txBody>
    </xdr:sp>
    <xdr:clientData/>
  </xdr:twoCellAnchor>
  <xdr:twoCellAnchor>
    <xdr:from>
      <xdr:col>18</xdr:col>
      <xdr:colOff>358140</xdr:colOff>
      <xdr:row>34</xdr:row>
      <xdr:rowOff>76200</xdr:rowOff>
    </xdr:from>
    <xdr:to>
      <xdr:col>19</xdr:col>
      <xdr:colOff>190500</xdr:colOff>
      <xdr:row>35</xdr:row>
      <xdr:rowOff>83820</xdr:rowOff>
    </xdr:to>
    <xdr:sp macro="" textlink="">
      <xdr:nvSpPr>
        <xdr:cNvPr id="11" name="Flecha: a la derecha 10">
          <a:extLst>
            <a:ext uri="{FF2B5EF4-FFF2-40B4-BE49-F238E27FC236}">
              <a16:creationId xmlns:a16="http://schemas.microsoft.com/office/drawing/2014/main" id="{75C58B3D-6AF5-916A-7918-7ADC5F5448D0}"/>
            </a:ext>
          </a:extLst>
        </xdr:cNvPr>
        <xdr:cNvSpPr/>
      </xdr:nvSpPr>
      <xdr:spPr>
        <a:xfrm>
          <a:off x="11719560" y="6294120"/>
          <a:ext cx="44196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567690</xdr:colOff>
      <xdr:row>36</xdr:row>
      <xdr:rowOff>118110</xdr:rowOff>
    </xdr:from>
    <xdr:to>
      <xdr:col>21</xdr:col>
      <xdr:colOff>758190</xdr:colOff>
      <xdr:row>39</xdr:row>
      <xdr:rowOff>11430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064CCE47-503E-4FF5-B02C-329171D362A3}"/>
            </a:ext>
          </a:extLst>
        </xdr:cNvPr>
        <xdr:cNvSpPr/>
      </xdr:nvSpPr>
      <xdr:spPr>
        <a:xfrm rot="5400000">
          <a:off x="13815060" y="6827520"/>
          <a:ext cx="44196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388620</xdr:colOff>
          <xdr:row>39</xdr:row>
          <xdr:rowOff>83820</xdr:rowOff>
        </xdr:from>
        <xdr:to>
          <xdr:col>23</xdr:col>
          <xdr:colOff>0</xdr:colOff>
          <xdr:row>42</xdr:row>
          <xdr:rowOff>47625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20</xdr:col>
      <xdr:colOff>182880</xdr:colOff>
      <xdr:row>42</xdr:row>
      <xdr:rowOff>144780</xdr:rowOff>
    </xdr:from>
    <xdr:to>
      <xdr:col>23</xdr:col>
      <xdr:colOff>167640</xdr:colOff>
      <xdr:row>46</xdr:row>
      <xdr:rowOff>137160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4B9BAE6F-B310-8AAA-7FFF-C447B2915DE6}"/>
                </a:ext>
              </a:extLst>
            </xdr:cNvPr>
            <xdr:cNvSpPr txBox="1"/>
          </xdr:nvSpPr>
          <xdr:spPr>
            <a:xfrm>
              <a:off x="12763500" y="7825740"/>
              <a:ext cx="2430780" cy="7239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O"/>
                <a:t>Donde: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𝑟𝑒𝑓</m:t>
                      </m:r>
                    </m:sub>
                  </m:sSub>
                </m:oMath>
              </a14:m>
              <a:r>
                <a:rPr lang="ar-AE"/>
                <a:t>: </a:t>
              </a:r>
              <a:r>
                <a:rPr lang="es-CO"/>
                <a:t>estado objetivo (estable)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𝑢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ar-AE"/>
                <a:t>: </a:t>
              </a:r>
              <a:r>
                <a:rPr lang="es-CO"/>
                <a:t>control (bombeo, recarga artificial)</a:t>
              </a:r>
            </a:p>
            <a:p>
              <a:endParaRPr lang="es-CO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4B9BAE6F-B310-8AAA-7FFF-C447B2915DE6}"/>
                </a:ext>
              </a:extLst>
            </xdr:cNvPr>
            <xdr:cNvSpPr txBox="1"/>
          </xdr:nvSpPr>
          <xdr:spPr>
            <a:xfrm>
              <a:off x="12763500" y="7825740"/>
              <a:ext cx="2430780" cy="7239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O"/>
                <a:t>Donde: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𝑥_𝑟𝑒𝑓</a:t>
              </a:r>
              <a:r>
                <a:rPr lang="ar-AE"/>
                <a:t>: </a:t>
              </a:r>
              <a:r>
                <a:rPr lang="es-CO"/>
                <a:t>estado objetivo (estable) 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𝑢_𝑡</a:t>
              </a:r>
              <a:r>
                <a:rPr lang="ar-AE"/>
                <a:t>: </a:t>
              </a:r>
              <a:r>
                <a:rPr lang="es-CO"/>
                <a:t>control (bombeo, recarga artificial)</a:t>
              </a:r>
            </a:p>
            <a:p>
              <a:endParaRPr lang="es-CO" sz="1100"/>
            </a:p>
          </xdr:txBody>
        </xdr:sp>
      </mc:Fallback>
    </mc:AlternateContent>
    <xdr:clientData/>
  </xdr:twoCellAnchor>
  <xdr:twoCellAnchor>
    <xdr:from>
      <xdr:col>22</xdr:col>
      <xdr:colOff>106680</xdr:colOff>
      <xdr:row>36</xdr:row>
      <xdr:rowOff>91440</xdr:rowOff>
    </xdr:from>
    <xdr:to>
      <xdr:col>27</xdr:col>
      <xdr:colOff>83820</xdr:colOff>
      <xdr:row>38</xdr:row>
      <xdr:rowOff>160020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2EEB801-6E55-05C3-E914-C44018D397F8}"/>
            </a:ext>
          </a:extLst>
        </xdr:cNvPr>
        <xdr:cNvSpPr txBox="1"/>
      </xdr:nvSpPr>
      <xdr:spPr>
        <a:xfrm>
          <a:off x="14523720" y="6675120"/>
          <a:ext cx="30251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Sistema dinámico controlable basado en estados discretos derivados de datos reales.</a:t>
          </a:r>
          <a:endParaRPr lang="es-CO" sz="1100"/>
        </a:p>
      </xdr:txBody>
    </xdr:sp>
    <xdr:clientData/>
  </xdr:twoCellAnchor>
  <xdr:twoCellAnchor>
    <xdr:from>
      <xdr:col>21</xdr:col>
      <xdr:colOff>815340</xdr:colOff>
      <xdr:row>37</xdr:row>
      <xdr:rowOff>121920</xdr:rowOff>
    </xdr:from>
    <xdr:to>
      <xdr:col>22</xdr:col>
      <xdr:colOff>106680</xdr:colOff>
      <xdr:row>37</xdr:row>
      <xdr:rowOff>125730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A4B9C4F-556D-56B4-1E0D-72EAF44F100C}"/>
            </a:ext>
          </a:extLst>
        </xdr:cNvPr>
        <xdr:cNvCxnSpPr>
          <a:endCxn id="15" idx="1"/>
        </xdr:cNvCxnSpPr>
      </xdr:nvCxnSpPr>
      <xdr:spPr>
        <a:xfrm>
          <a:off x="14188440" y="6888480"/>
          <a:ext cx="335280" cy="381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350520</xdr:colOff>
      <xdr:row>42</xdr:row>
      <xdr:rowOff>144780</xdr:rowOff>
    </xdr:from>
    <xdr:to>
      <xdr:col>24</xdr:col>
      <xdr:colOff>251460</xdr:colOff>
      <xdr:row>42</xdr:row>
      <xdr:rowOff>144780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E7F4013E-0E20-4BEB-A0A3-CE199A40B7F7}"/>
            </a:ext>
          </a:extLst>
        </xdr:cNvPr>
        <xdr:cNvCxnSpPr/>
      </xdr:nvCxnSpPr>
      <xdr:spPr>
        <a:xfrm>
          <a:off x="15377160" y="7825740"/>
          <a:ext cx="510540" cy="0"/>
        </a:xfrm>
        <a:prstGeom prst="straightConnector1">
          <a:avLst/>
        </a:prstGeom>
        <a:ln w="571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312420</xdr:colOff>
      <xdr:row>41</xdr:row>
      <xdr:rowOff>91440</xdr:rowOff>
    </xdr:from>
    <xdr:to>
      <xdr:col>28</xdr:col>
      <xdr:colOff>7620</xdr:colOff>
      <xdr:row>44</xdr:row>
      <xdr:rowOff>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4F154BD-6913-F03B-1F9E-3D2BFDBFC788}"/>
            </a:ext>
          </a:extLst>
        </xdr:cNvPr>
        <xdr:cNvSpPr txBox="1"/>
      </xdr:nvSpPr>
      <xdr:spPr>
        <a:xfrm>
          <a:off x="15948660" y="7589520"/>
          <a:ext cx="2133600" cy="457200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>
              <a:solidFill>
                <a:schemeClr val="tx2"/>
              </a:solidFill>
            </a:rPr>
            <a:t>Sistema de Control para Gemelos Digitales para la gestión hídrica. </a:t>
          </a:r>
          <a:endParaRPr lang="es-CO" sz="1100">
            <a:solidFill>
              <a:schemeClr val="tx2"/>
            </a:solidFill>
          </a:endParaRPr>
        </a:p>
      </xdr:txBody>
    </xdr:sp>
    <xdr:clientData/>
  </xdr:twoCellAnchor>
  <xdr:twoCellAnchor>
    <xdr:from>
      <xdr:col>21</xdr:col>
      <xdr:colOff>514350</xdr:colOff>
      <xdr:row>28</xdr:row>
      <xdr:rowOff>19050</xdr:rowOff>
    </xdr:from>
    <xdr:to>
      <xdr:col>21</xdr:col>
      <xdr:colOff>704850</xdr:colOff>
      <xdr:row>30</xdr:row>
      <xdr:rowOff>95250</xdr:rowOff>
    </xdr:to>
    <xdr:sp macro="" textlink="">
      <xdr:nvSpPr>
        <xdr:cNvPr id="22" name="Flecha: a la derecha 21">
          <a:extLst>
            <a:ext uri="{FF2B5EF4-FFF2-40B4-BE49-F238E27FC236}">
              <a16:creationId xmlns:a16="http://schemas.microsoft.com/office/drawing/2014/main" id="{595E55D0-CC5D-43B2-B0E3-E90C26FE0139}"/>
            </a:ext>
          </a:extLst>
        </xdr:cNvPr>
        <xdr:cNvSpPr/>
      </xdr:nvSpPr>
      <xdr:spPr>
        <a:xfrm rot="16200000">
          <a:off x="13761720" y="5265420"/>
          <a:ext cx="44196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419100</xdr:colOff>
      <xdr:row>26</xdr:row>
      <xdr:rowOff>76200</xdr:rowOff>
    </xdr:from>
    <xdr:to>
      <xdr:col>23</xdr:col>
      <xdr:colOff>563880</xdr:colOff>
      <xdr:row>27</xdr:row>
      <xdr:rowOff>167640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8ACCCB4-5CA4-C370-EF96-0D126F216FC3}"/>
            </a:ext>
          </a:extLst>
        </xdr:cNvPr>
        <xdr:cNvSpPr txBox="1"/>
      </xdr:nvSpPr>
      <xdr:spPr>
        <a:xfrm>
          <a:off x="12390120" y="4831080"/>
          <a:ext cx="3200400" cy="27432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 b="1"/>
            <a:t>Definición</a:t>
          </a:r>
          <a:r>
            <a:rPr lang="es-CO" sz="1100" b="1" baseline="0"/>
            <a:t> del Modelo Sistemas de Control Óptimo</a:t>
          </a:r>
          <a:endParaRPr lang="es-CO" sz="1100" b="1"/>
        </a:p>
      </xdr:txBody>
    </xdr:sp>
    <xdr:clientData/>
  </xdr:twoCellAnchor>
  <xdr:twoCellAnchor>
    <xdr:from>
      <xdr:col>17</xdr:col>
      <xdr:colOff>259080</xdr:colOff>
      <xdr:row>5</xdr:row>
      <xdr:rowOff>144780</xdr:rowOff>
    </xdr:from>
    <xdr:to>
      <xdr:col>26</xdr:col>
      <xdr:colOff>68580</xdr:colOff>
      <xdr:row>25</xdr:row>
      <xdr:rowOff>114300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3CCE113-A497-F244-DD9A-158E619979CB}"/>
            </a:ext>
          </a:extLst>
        </xdr:cNvPr>
        <xdr:cNvSpPr txBox="1"/>
      </xdr:nvSpPr>
      <xdr:spPr>
        <a:xfrm>
          <a:off x="11010900" y="1059180"/>
          <a:ext cx="5913120" cy="3627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chemeClr val="accent2">
                  <a:lumMod val="75000"/>
                </a:schemeClr>
              </a:solidFill>
            </a:rPr>
            <a:t>Diseño modelado del predictivo: </a:t>
          </a:r>
        </a:p>
        <a:p>
          <a:endParaRPr lang="es-CO" sz="1100" b="1"/>
        </a:p>
        <a:p>
          <a:pPr algn="ctr"/>
          <a:r>
            <a:rPr lang="es-CO"/>
            <a:t>x</a:t>
          </a:r>
          <a:r>
            <a:rPr lang="es-CO" baseline="-25000"/>
            <a:t>t</a:t>
          </a:r>
          <a:r>
            <a:rPr lang="es-CO"/>
            <a:t>​=estado del pozo (1–17)  =&gt; ICEH</a:t>
          </a:r>
          <a:r>
            <a:rPr lang="es-CO" baseline="-25000"/>
            <a:t>t</a:t>
          </a:r>
          <a:r>
            <a:rPr lang="es-CO"/>
            <a:t> o ICMP​</a:t>
          </a:r>
          <a:r>
            <a:rPr lang="es-CO" baseline="-25000"/>
            <a:t>t</a:t>
          </a:r>
        </a:p>
        <a:p>
          <a:pPr algn="ctr"/>
          <a:r>
            <a:rPr lang="es-CO" sz="1100" baseline="0"/>
            <a:t>Control Discreto: </a:t>
          </a:r>
          <a:r>
            <a:rPr lang="es-CO"/>
            <a:t>(1–17) → máquina de estados</a:t>
          </a:r>
        </a:p>
        <a:p>
          <a:pPr algn="ctr"/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Control Continuo (valor del índice) </a:t>
          </a:r>
          <a:r>
            <a:rPr lang="es-CO"/>
            <a:t>→ control más fino</a:t>
          </a:r>
        </a:p>
        <a:p>
          <a:pPr algn="ctr"/>
          <a:endParaRPr lang="es-CO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O" sz="1100" baseline="0"/>
        </a:p>
      </xdr:txBody>
    </xdr:sp>
    <xdr:clientData/>
  </xdr:twoCellAnchor>
  <xdr:twoCellAnchor>
    <xdr:from>
      <xdr:col>17</xdr:col>
      <xdr:colOff>259080</xdr:colOff>
      <xdr:row>13</xdr:row>
      <xdr:rowOff>68580</xdr:rowOff>
    </xdr:from>
    <xdr:to>
      <xdr:col>20</xdr:col>
      <xdr:colOff>624840</xdr:colOff>
      <xdr:row>17</xdr:row>
      <xdr:rowOff>121920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512A3C9E-7968-F40B-CE4E-39D83ECEC0DD}"/>
            </a:ext>
          </a:extLst>
        </xdr:cNvPr>
        <xdr:cNvGrpSpPr/>
      </xdr:nvGrpSpPr>
      <xdr:grpSpPr>
        <a:xfrm>
          <a:off x="11010900" y="2419350"/>
          <a:ext cx="2200275" cy="781050"/>
          <a:chOff x="11376660" y="2941320"/>
          <a:chExt cx="2194560" cy="784860"/>
        </a:xfrm>
      </xdr:grpSpPr>
      <xdr:sp macro="" textlink="">
        <xdr:nvSpPr>
          <xdr:cNvPr id="27" name="Abrir llave 26">
            <a:extLst>
              <a:ext uri="{FF2B5EF4-FFF2-40B4-BE49-F238E27FC236}">
                <a16:creationId xmlns:a16="http://schemas.microsoft.com/office/drawing/2014/main" id="{29DD0C77-4F0A-4FB4-B246-851C8BE264D5}"/>
              </a:ext>
            </a:extLst>
          </xdr:cNvPr>
          <xdr:cNvSpPr/>
        </xdr:nvSpPr>
        <xdr:spPr>
          <a:xfrm>
            <a:off x="11734800" y="2941320"/>
            <a:ext cx="419100" cy="762000"/>
          </a:xfrm>
          <a:prstGeom prst="leftBrac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4257F2A0-F0DF-5C90-8971-ED197BA7E399}"/>
              </a:ext>
            </a:extLst>
          </xdr:cNvPr>
          <xdr:cNvSpPr txBox="1"/>
        </xdr:nvSpPr>
        <xdr:spPr>
          <a:xfrm>
            <a:off x="12024360" y="2956560"/>
            <a:ext cx="114300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tasa de bombeo</a:t>
            </a: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5CBA4B89-8D21-4B60-897E-33D7CD84EEC3}"/>
              </a:ext>
            </a:extLst>
          </xdr:cNvPr>
          <xdr:cNvSpPr txBox="1"/>
        </xdr:nvSpPr>
        <xdr:spPr>
          <a:xfrm>
            <a:off x="12047220" y="3192780"/>
            <a:ext cx="114300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recarga artificial</a:t>
            </a:r>
          </a:p>
        </xdr:txBody>
      </xdr: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9C7CBB2D-BBFF-45DB-A8A1-082DB5FF47C6}"/>
              </a:ext>
            </a:extLst>
          </xdr:cNvPr>
          <xdr:cNvSpPr txBox="1"/>
        </xdr:nvSpPr>
        <xdr:spPr>
          <a:xfrm>
            <a:off x="12062460" y="3429000"/>
            <a:ext cx="150876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restricción</a:t>
            </a:r>
            <a:r>
              <a:rPr lang="es-CO" sz="1100" baseline="0"/>
              <a:t> operativa</a:t>
            </a:r>
            <a:endParaRPr lang="es-CO" sz="1100"/>
          </a:p>
        </xdr:txBody>
      </xdr:sp>
      <xdr:sp macro="" textlink="">
        <xdr:nvSpPr>
          <xdr:cNvPr id="31" name="CuadroTexto 30">
            <a:extLst>
              <a:ext uri="{FF2B5EF4-FFF2-40B4-BE49-F238E27FC236}">
                <a16:creationId xmlns:a16="http://schemas.microsoft.com/office/drawing/2014/main" id="{C93874BB-74C1-44CA-8FAC-D19951C72B05}"/>
              </a:ext>
            </a:extLst>
          </xdr:cNvPr>
          <xdr:cNvSpPr txBox="1"/>
        </xdr:nvSpPr>
        <xdr:spPr>
          <a:xfrm>
            <a:off x="11376660" y="3185160"/>
            <a:ext cx="42672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u</a:t>
            </a:r>
            <a:r>
              <a:rPr lang="es-CO" sz="1100" baseline="-25000"/>
              <a:t>t</a:t>
            </a:r>
            <a:r>
              <a:rPr lang="es-CO" sz="1100"/>
              <a:t> = </a:t>
            </a:r>
          </a:p>
        </xdr:txBody>
      </xdr:sp>
    </xdr:grpSp>
    <xdr:clientData/>
  </xdr:twoCellAnchor>
  <xdr:twoCellAnchor>
    <xdr:from>
      <xdr:col>20</xdr:col>
      <xdr:colOff>449580</xdr:colOff>
      <xdr:row>13</xdr:row>
      <xdr:rowOff>99060</xdr:rowOff>
    </xdr:from>
    <xdr:to>
      <xdr:col>23</xdr:col>
      <xdr:colOff>198120</xdr:colOff>
      <xdr:row>17</xdr:row>
      <xdr:rowOff>152400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1227BB09-F1BD-BBD4-9AE3-D04ABF41E612}"/>
            </a:ext>
          </a:extLst>
        </xdr:cNvPr>
        <xdr:cNvGrpSpPr/>
      </xdr:nvGrpSpPr>
      <xdr:grpSpPr>
        <a:xfrm>
          <a:off x="13030200" y="2447925"/>
          <a:ext cx="2200275" cy="781050"/>
          <a:chOff x="14157960" y="2941320"/>
          <a:chExt cx="2194560" cy="784860"/>
        </a:xfrm>
      </xdr:grpSpPr>
      <xdr:sp macro="" textlink="">
        <xdr:nvSpPr>
          <xdr:cNvPr id="32" name="Abrir llave 31">
            <a:extLst>
              <a:ext uri="{FF2B5EF4-FFF2-40B4-BE49-F238E27FC236}">
                <a16:creationId xmlns:a16="http://schemas.microsoft.com/office/drawing/2014/main" id="{247CE733-548D-4B22-94F0-2B057222BC9F}"/>
              </a:ext>
            </a:extLst>
          </xdr:cNvPr>
          <xdr:cNvSpPr/>
        </xdr:nvSpPr>
        <xdr:spPr>
          <a:xfrm>
            <a:off x="14516100" y="2941320"/>
            <a:ext cx="419100" cy="762000"/>
          </a:xfrm>
          <a:prstGeom prst="leftBrac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544F6288-A458-4783-9676-2170AB5DC434}"/>
              </a:ext>
            </a:extLst>
          </xdr:cNvPr>
          <xdr:cNvSpPr txBox="1"/>
        </xdr:nvSpPr>
        <xdr:spPr>
          <a:xfrm>
            <a:off x="14805660" y="2956560"/>
            <a:ext cx="114300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precipitación</a:t>
            </a:r>
          </a:p>
        </xdr:txBody>
      </xdr:sp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CBDBFCED-2E7D-4649-A506-580191E25B8A}"/>
              </a:ext>
            </a:extLst>
          </xdr:cNvPr>
          <xdr:cNvSpPr txBox="1"/>
        </xdr:nvSpPr>
        <xdr:spPr>
          <a:xfrm>
            <a:off x="14828520" y="3192780"/>
            <a:ext cx="145542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variabilidad</a:t>
            </a:r>
            <a:r>
              <a:rPr lang="es-CO" sz="1100" baseline="0"/>
              <a:t> climática</a:t>
            </a:r>
            <a:endParaRPr lang="es-CO" sz="1100"/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BBA4D4D1-6535-4985-BA6C-9F6930CD5781}"/>
              </a:ext>
            </a:extLst>
          </xdr:cNvPr>
          <xdr:cNvSpPr txBox="1"/>
        </xdr:nvSpPr>
        <xdr:spPr>
          <a:xfrm>
            <a:off x="14843760" y="3429000"/>
            <a:ext cx="150876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recarga natural</a:t>
            </a:r>
          </a:p>
        </xdr:txBody>
      </xdr:sp>
      <xdr:sp macro="" textlink="">
        <xdr:nvSpPr>
          <xdr:cNvPr id="36" name="CuadroTexto 35">
            <a:extLst>
              <a:ext uri="{FF2B5EF4-FFF2-40B4-BE49-F238E27FC236}">
                <a16:creationId xmlns:a16="http://schemas.microsoft.com/office/drawing/2014/main" id="{139C01C3-7D6E-4156-B4BF-09281E9CBCCD}"/>
              </a:ext>
            </a:extLst>
          </xdr:cNvPr>
          <xdr:cNvSpPr txBox="1"/>
        </xdr:nvSpPr>
        <xdr:spPr>
          <a:xfrm>
            <a:off x="14157960" y="3185160"/>
            <a:ext cx="42672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100"/>
              <a:t>d</a:t>
            </a:r>
            <a:r>
              <a:rPr lang="es-CO" sz="1100" baseline="-25000"/>
              <a:t>t</a:t>
            </a:r>
            <a:r>
              <a:rPr lang="es-CO" sz="1100"/>
              <a:t> = </a:t>
            </a:r>
          </a:p>
        </xdr:txBody>
      </xdr:sp>
    </xdr:grpSp>
    <xdr:clientData/>
  </xdr:twoCellAnchor>
  <xdr:twoCellAnchor>
    <xdr:from>
      <xdr:col>17</xdr:col>
      <xdr:colOff>259080</xdr:colOff>
      <xdr:row>11</xdr:row>
      <xdr:rowOff>83820</xdr:rowOff>
    </xdr:from>
    <xdr:to>
      <xdr:col>19</xdr:col>
      <xdr:colOff>579120</xdr:colOff>
      <xdr:row>13</xdr:row>
      <xdr:rowOff>15240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C07D2F44-6E0E-41B5-85DA-9CBB94B05447}"/>
            </a:ext>
          </a:extLst>
        </xdr:cNvPr>
        <xdr:cNvSpPr txBox="1"/>
      </xdr:nvSpPr>
      <xdr:spPr>
        <a:xfrm>
          <a:off x="11010900" y="2095500"/>
          <a:ext cx="153924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7030A0"/>
              </a:solidFill>
            </a:rPr>
            <a:t>Variables de control</a:t>
          </a:r>
        </a:p>
      </xdr:txBody>
    </xdr:sp>
    <xdr:clientData/>
  </xdr:twoCellAnchor>
  <xdr:twoCellAnchor>
    <xdr:from>
      <xdr:col>20</xdr:col>
      <xdr:colOff>434340</xdr:colOff>
      <xdr:row>11</xdr:row>
      <xdr:rowOff>76200</xdr:rowOff>
    </xdr:from>
    <xdr:to>
      <xdr:col>21</xdr:col>
      <xdr:colOff>830580</xdr:colOff>
      <xdr:row>13</xdr:row>
      <xdr:rowOff>7620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9E352383-FF2F-4339-A034-E46C03AEE355}"/>
            </a:ext>
          </a:extLst>
        </xdr:cNvPr>
        <xdr:cNvSpPr txBox="1"/>
      </xdr:nvSpPr>
      <xdr:spPr>
        <a:xfrm>
          <a:off x="13014960" y="2087880"/>
          <a:ext cx="118872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7030A0"/>
              </a:solidFill>
            </a:rPr>
            <a:t>Perturbaciones </a:t>
          </a:r>
        </a:p>
      </xdr:txBody>
    </xdr:sp>
    <xdr:clientData/>
  </xdr:twoCellAnchor>
  <xdr:twoCellAnchor>
    <xdr:from>
      <xdr:col>19</xdr:col>
      <xdr:colOff>114300</xdr:colOff>
      <xdr:row>18</xdr:row>
      <xdr:rowOff>152400</xdr:rowOff>
    </xdr:from>
    <xdr:to>
      <xdr:col>21</xdr:col>
      <xdr:colOff>45720</xdr:colOff>
      <xdr:row>20</xdr:row>
      <xdr:rowOff>91440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B22A777-42F8-F578-6D43-E80BF8F0F886}"/>
            </a:ext>
          </a:extLst>
        </xdr:cNvPr>
        <xdr:cNvSpPr txBox="1"/>
      </xdr:nvSpPr>
      <xdr:spPr>
        <a:xfrm>
          <a:off x="12085320" y="3444240"/>
          <a:ext cx="1333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Modelo dinámico: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129540</xdr:colOff>
          <xdr:row>20</xdr:row>
          <xdr:rowOff>114300</xdr:rowOff>
        </xdr:from>
        <xdr:to>
          <xdr:col>21</xdr:col>
          <xdr:colOff>47625</xdr:colOff>
          <xdr:row>22</xdr:row>
          <xdr:rowOff>47625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114300</xdr:colOff>
      <xdr:row>23</xdr:row>
      <xdr:rowOff>91440</xdr:rowOff>
    </xdr:from>
    <xdr:to>
      <xdr:col>19</xdr:col>
      <xdr:colOff>251460</xdr:colOff>
      <xdr:row>24</xdr:row>
      <xdr:rowOff>99060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12775DCE-0BE1-4DF2-FE95-576960124ED3}"/>
            </a:ext>
          </a:extLst>
        </xdr:cNvPr>
        <xdr:cNvSpPr txBox="1"/>
      </xdr:nvSpPr>
      <xdr:spPr>
        <a:xfrm>
          <a:off x="10866120" y="4297680"/>
          <a:ext cx="1356360" cy="1905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b="1">
              <a:solidFill>
                <a:srgbClr val="00B050"/>
              </a:solidFill>
            </a:rPr>
            <a:t>Función objetivo</a:t>
          </a:r>
          <a:endParaRPr lang="es-CO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129540</xdr:colOff>
      <xdr:row>24</xdr:row>
      <xdr:rowOff>0</xdr:rowOff>
    </xdr:from>
    <xdr:to>
      <xdr:col>19</xdr:col>
      <xdr:colOff>487680</xdr:colOff>
      <xdr:row>24</xdr:row>
      <xdr:rowOff>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A74F6270-B693-3076-017E-DCA499E2147E}"/>
            </a:ext>
          </a:extLst>
        </xdr:cNvPr>
        <xdr:cNvCxnSpPr/>
      </xdr:nvCxnSpPr>
      <xdr:spPr>
        <a:xfrm>
          <a:off x="12100560" y="4389120"/>
          <a:ext cx="35814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312420</xdr:colOff>
      <xdr:row>8</xdr:row>
      <xdr:rowOff>106680</xdr:rowOff>
    </xdr:from>
    <xdr:to>
      <xdr:col>19</xdr:col>
      <xdr:colOff>441960</xdr:colOff>
      <xdr:row>10</xdr:row>
      <xdr:rowOff>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631E7D0-FD25-DB71-61A3-863699405A2D}"/>
            </a:ext>
          </a:extLst>
        </xdr:cNvPr>
        <xdr:cNvSpPr txBox="1"/>
      </xdr:nvSpPr>
      <xdr:spPr>
        <a:xfrm>
          <a:off x="11064240" y="1569720"/>
          <a:ext cx="1348740" cy="2590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Estado del sistema:</a:t>
          </a:r>
          <a:endParaRPr lang="es-CO" sz="1100"/>
        </a:p>
      </xdr:txBody>
    </xdr:sp>
    <xdr:clientData/>
  </xdr:twoCellAnchor>
  <xdr:twoCellAnchor>
    <xdr:from>
      <xdr:col>19</xdr:col>
      <xdr:colOff>373379</xdr:colOff>
      <xdr:row>7</xdr:row>
      <xdr:rowOff>99060</xdr:rowOff>
    </xdr:from>
    <xdr:to>
      <xdr:col>19</xdr:col>
      <xdr:colOff>449580</xdr:colOff>
      <xdr:row>11</xdr:row>
      <xdr:rowOff>76200</xdr:rowOff>
    </xdr:to>
    <xdr:sp macro="" textlink="">
      <xdr:nvSpPr>
        <xdr:cNvPr id="47" name="Abrir corchete 46">
          <a:extLst>
            <a:ext uri="{FF2B5EF4-FFF2-40B4-BE49-F238E27FC236}">
              <a16:creationId xmlns:a16="http://schemas.microsoft.com/office/drawing/2014/main" id="{07A5DA7A-E067-E9F0-D637-149C98DBCE8E}"/>
            </a:ext>
          </a:extLst>
        </xdr:cNvPr>
        <xdr:cNvSpPr/>
      </xdr:nvSpPr>
      <xdr:spPr>
        <a:xfrm>
          <a:off x="12344399" y="1379220"/>
          <a:ext cx="76201" cy="708660"/>
        </a:xfrm>
        <a:prstGeom prst="leftBracket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563880</xdr:colOff>
      <xdr:row>7</xdr:row>
      <xdr:rowOff>30480</xdr:rowOff>
    </xdr:from>
    <xdr:to>
      <xdr:col>23</xdr:col>
      <xdr:colOff>609599</xdr:colOff>
      <xdr:row>11</xdr:row>
      <xdr:rowOff>7620</xdr:rowOff>
    </xdr:to>
    <xdr:sp macro="" textlink="">
      <xdr:nvSpPr>
        <xdr:cNvPr id="48" name="Abrir corchete 47">
          <a:extLst>
            <a:ext uri="{FF2B5EF4-FFF2-40B4-BE49-F238E27FC236}">
              <a16:creationId xmlns:a16="http://schemas.microsoft.com/office/drawing/2014/main" id="{7CC7E9F4-BB4D-49EE-85BA-2DF62685BC36}"/>
            </a:ext>
          </a:extLst>
        </xdr:cNvPr>
        <xdr:cNvSpPr/>
      </xdr:nvSpPr>
      <xdr:spPr>
        <a:xfrm flipH="1">
          <a:off x="15590520" y="1310640"/>
          <a:ext cx="45719" cy="708660"/>
        </a:xfrm>
        <a:prstGeom prst="leftBracket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541020</xdr:colOff>
          <xdr:row>22</xdr:row>
          <xdr:rowOff>114300</xdr:rowOff>
        </xdr:from>
        <xdr:to>
          <xdr:col>22</xdr:col>
          <xdr:colOff>0</xdr:colOff>
          <xdr:row>25</xdr:row>
          <xdr:rowOff>76200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22</xdr:col>
      <xdr:colOff>53340</xdr:colOff>
      <xdr:row>23</xdr:row>
      <xdr:rowOff>160020</xdr:rowOff>
    </xdr:from>
    <xdr:to>
      <xdr:col>22</xdr:col>
      <xdr:colOff>411480</xdr:colOff>
      <xdr:row>23</xdr:row>
      <xdr:rowOff>160020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3177A93A-660E-4DD5-94FC-8C3B8CDDA74A}"/>
            </a:ext>
          </a:extLst>
        </xdr:cNvPr>
        <xdr:cNvCxnSpPr/>
      </xdr:nvCxnSpPr>
      <xdr:spPr>
        <a:xfrm>
          <a:off x="14470380" y="4366260"/>
          <a:ext cx="35814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487680</xdr:colOff>
      <xdr:row>22</xdr:row>
      <xdr:rowOff>114300</xdr:rowOff>
    </xdr:from>
    <xdr:to>
      <xdr:col>27</xdr:col>
      <xdr:colOff>434340</xdr:colOff>
      <xdr:row>25</xdr:row>
      <xdr:rowOff>53340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DD431D6A-099A-C41E-DC2E-FC6B9A73AC50}"/>
            </a:ext>
          </a:extLst>
        </xdr:cNvPr>
        <xdr:cNvSpPr txBox="1"/>
      </xdr:nvSpPr>
      <xdr:spPr>
        <a:xfrm>
          <a:off x="14904720" y="4137660"/>
          <a:ext cx="299466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primer término → estabilidad </a:t>
          </a:r>
        </a:p>
        <a:p>
          <a:r>
            <a:rPr lang="es-CO" sz="1100"/>
            <a:t>segundo término → penaliza sobreexplotación</a:t>
          </a:r>
        </a:p>
      </xdr:txBody>
    </xdr:sp>
    <xdr:clientData/>
  </xdr:twoCellAnchor>
  <xdr:twoCellAnchor>
    <xdr:from>
      <xdr:col>24</xdr:col>
      <xdr:colOff>510540</xdr:colOff>
      <xdr:row>21</xdr:row>
      <xdr:rowOff>45720</xdr:rowOff>
    </xdr:from>
    <xdr:to>
      <xdr:col>24</xdr:col>
      <xdr:colOff>510540</xdr:colOff>
      <xdr:row>22</xdr:row>
      <xdr:rowOff>114840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A1716E7-23C9-4D02-831D-E95A204C9008}"/>
            </a:ext>
          </a:extLst>
        </xdr:cNvPr>
        <xdr:cNvCxnSpPr/>
      </xdr:nvCxnSpPr>
      <xdr:spPr>
        <a:xfrm flipV="1">
          <a:off x="16146780" y="3886200"/>
          <a:ext cx="0" cy="252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</xdr:colOff>
      <xdr:row>17</xdr:row>
      <xdr:rowOff>99060</xdr:rowOff>
    </xdr:from>
    <xdr:to>
      <xdr:col>27</xdr:col>
      <xdr:colOff>548640</xdr:colOff>
      <xdr:row>19</xdr:row>
      <xdr:rowOff>30480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7CDE3B64-D931-2CD3-AE43-ED8CEA0B9289}"/>
            </a:ext>
          </a:extLst>
        </xdr:cNvPr>
        <xdr:cNvSpPr txBox="1"/>
      </xdr:nvSpPr>
      <xdr:spPr>
        <a:xfrm>
          <a:off x="16253460" y="3208020"/>
          <a:ext cx="1760220" cy="29718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≥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(evitar colapso)</a:t>
          </a:r>
          <a:endParaRPr lang="es-CO" sz="1100"/>
        </a:p>
      </xdr:txBody>
    </xdr:sp>
    <xdr:clientData/>
  </xdr:twoCellAnchor>
  <xdr:twoCellAnchor>
    <xdr:from>
      <xdr:col>25</xdr:col>
      <xdr:colOff>22860</xdr:colOff>
      <xdr:row>18</xdr:row>
      <xdr:rowOff>129540</xdr:rowOff>
    </xdr:from>
    <xdr:to>
      <xdr:col>28</xdr:col>
      <xdr:colOff>342900</xdr:colOff>
      <xdr:row>20</xdr:row>
      <xdr:rowOff>60960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A0EF15CA-1986-4C46-8D4E-016112434862}"/>
            </a:ext>
          </a:extLst>
        </xdr:cNvPr>
        <xdr:cNvSpPr txBox="1"/>
      </xdr:nvSpPr>
      <xdr:spPr>
        <a:xfrm>
          <a:off x="16268700" y="3421380"/>
          <a:ext cx="2148840" cy="29718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≤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(capacidad de bombeo)</a:t>
          </a:r>
          <a:endParaRPr lang="es-CO" sz="1100"/>
        </a:p>
      </xdr:txBody>
    </xdr:sp>
    <xdr:clientData/>
  </xdr:twoCellAnchor>
  <xdr:twoCellAnchor>
    <xdr:from>
      <xdr:col>25</xdr:col>
      <xdr:colOff>30480</xdr:colOff>
      <xdr:row>19</xdr:row>
      <xdr:rowOff>160020</xdr:rowOff>
    </xdr:from>
    <xdr:to>
      <xdr:col>28</xdr:col>
      <xdr:colOff>220980</xdr:colOff>
      <xdr:row>21</xdr:row>
      <xdr:rowOff>91440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0F99CA8C-E57E-45DA-A1E0-647E12075A8B}"/>
            </a:ext>
          </a:extLst>
        </xdr:cNvPr>
        <xdr:cNvSpPr txBox="1"/>
      </xdr:nvSpPr>
      <xdr:spPr>
        <a:xfrm>
          <a:off x="16276320" y="3634740"/>
          <a:ext cx="2019300" cy="29718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≤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ϵ</a:t>
          </a:r>
          <a:r>
            <a:rPr lang="es-CO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(evitar cambios bruscos)</a:t>
          </a:r>
          <a:endParaRPr lang="es-CO" sz="1100"/>
        </a:p>
      </xdr:txBody>
    </xdr:sp>
    <xdr:clientData/>
  </xdr:twoCellAnchor>
  <xdr:twoCellAnchor>
    <xdr:from>
      <xdr:col>24</xdr:col>
      <xdr:colOff>464820</xdr:colOff>
      <xdr:row>17</xdr:row>
      <xdr:rowOff>114300</xdr:rowOff>
    </xdr:from>
    <xdr:to>
      <xdr:col>25</xdr:col>
      <xdr:colOff>121920</xdr:colOff>
      <xdr:row>21</xdr:row>
      <xdr:rowOff>68580</xdr:rowOff>
    </xdr:to>
    <xdr:sp macro="" textlink="">
      <xdr:nvSpPr>
        <xdr:cNvPr id="57" name="Abrir llave 56">
          <a:extLst>
            <a:ext uri="{FF2B5EF4-FFF2-40B4-BE49-F238E27FC236}">
              <a16:creationId xmlns:a16="http://schemas.microsoft.com/office/drawing/2014/main" id="{F24261ED-6B24-36E6-FB34-453E26677E3D}"/>
            </a:ext>
          </a:extLst>
        </xdr:cNvPr>
        <xdr:cNvSpPr/>
      </xdr:nvSpPr>
      <xdr:spPr>
        <a:xfrm>
          <a:off x="16101060" y="3223260"/>
          <a:ext cx="266700" cy="6858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60960</xdr:colOff>
      <xdr:row>18</xdr:row>
      <xdr:rowOff>137160</xdr:rowOff>
    </xdr:from>
    <xdr:to>
      <xdr:col>24</xdr:col>
      <xdr:colOff>441960</xdr:colOff>
      <xdr:row>20</xdr:row>
      <xdr:rowOff>91440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56528406-1438-756A-CC9E-5CDD8C01AD70}"/>
            </a:ext>
          </a:extLst>
        </xdr:cNvPr>
        <xdr:cNvSpPr txBox="1"/>
      </xdr:nvSpPr>
      <xdr:spPr>
        <a:xfrm>
          <a:off x="15087600" y="3429000"/>
          <a:ext cx="990600" cy="32004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FF0000"/>
              </a:solidFill>
            </a:rPr>
            <a:t>Restricciones:</a:t>
          </a:r>
        </a:p>
      </xdr:txBody>
    </xdr:sp>
    <xdr:clientData/>
  </xdr:twoCellAnchor>
  <xdr:twoCellAnchor>
    <xdr:from>
      <xdr:col>23</xdr:col>
      <xdr:colOff>556260</xdr:colOff>
      <xdr:row>12</xdr:row>
      <xdr:rowOff>60960</xdr:rowOff>
    </xdr:from>
    <xdr:to>
      <xdr:col>27</xdr:col>
      <xdr:colOff>45720</xdr:colOff>
      <xdr:row>13</xdr:row>
      <xdr:rowOff>137160</xdr:rowOff>
    </xdr:to>
    <xdr:sp macro="" textlink="">
      <xdr:nvSpPr>
        <xdr:cNvPr id="4096" name="CuadroTexto 4095">
          <a:extLst>
            <a:ext uri="{FF2B5EF4-FFF2-40B4-BE49-F238E27FC236}">
              <a16:creationId xmlns:a16="http://schemas.microsoft.com/office/drawing/2014/main" id="{C025DF36-AA4D-4AD4-B1F9-1F43371A1037}"/>
            </a:ext>
          </a:extLst>
        </xdr:cNvPr>
        <xdr:cNvSpPr txBox="1"/>
      </xdr:nvSpPr>
      <xdr:spPr>
        <a:xfrm>
          <a:off x="15582900" y="2255520"/>
          <a:ext cx="192786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chemeClr val="accent6">
                  <a:lumMod val="75000"/>
                </a:schemeClr>
              </a:solidFill>
            </a:rPr>
            <a:t>Enfoque: </a:t>
          </a:r>
          <a:r>
            <a:rPr lang="es-CO" b="0">
              <a:solidFill>
                <a:sysClr val="windowText" lastClr="000000"/>
              </a:solidFill>
            </a:rPr>
            <a:t>O</a:t>
          </a:r>
          <a:r>
            <a:rPr lang="es-CO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pti</a:t>
          </a:r>
          <a:r>
            <a:rPr lang="es-CO" sz="1100">
              <a:solidFill>
                <a:schemeClr val="dk1"/>
              </a:solidFill>
              <a:latin typeface="+mn-lt"/>
              <a:ea typeface="+mn-ea"/>
              <a:cs typeface="+mn-cs"/>
            </a:rPr>
            <a:t>mizar </a:t>
          </a:r>
          <a:r>
            <a:rPr lang="es-CO"/>
            <a:t>decisiones</a:t>
          </a:r>
          <a:endParaRPr lang="es-CO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266700</xdr:colOff>
          <xdr:row>13</xdr:row>
          <xdr:rowOff>121920</xdr:rowOff>
        </xdr:from>
        <xdr:to>
          <xdr:col>28</xdr:col>
          <xdr:colOff>76200</xdr:colOff>
          <xdr:row>16</xdr:row>
          <xdr:rowOff>85725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25</xdr:col>
      <xdr:colOff>449580</xdr:colOff>
      <xdr:row>9</xdr:row>
      <xdr:rowOff>137160</xdr:rowOff>
    </xdr:from>
    <xdr:to>
      <xdr:col>28</xdr:col>
      <xdr:colOff>381000</xdr:colOff>
      <xdr:row>11</xdr:row>
      <xdr:rowOff>76200</xdr:rowOff>
    </xdr:to>
    <xdr:sp macro="" textlink="">
      <xdr:nvSpPr>
        <xdr:cNvPr id="4099" name="CuadroTexto 4098">
          <a:extLst>
            <a:ext uri="{FF2B5EF4-FFF2-40B4-BE49-F238E27FC236}">
              <a16:creationId xmlns:a16="http://schemas.microsoft.com/office/drawing/2014/main" id="{DE999DDF-EBA1-46C9-977F-0A3B0705A185}"/>
            </a:ext>
          </a:extLst>
        </xdr:cNvPr>
        <xdr:cNvSpPr txBox="1"/>
      </xdr:nvSpPr>
      <xdr:spPr>
        <a:xfrm>
          <a:off x="16695420" y="1783080"/>
          <a:ext cx="176022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solidFill>
                <a:schemeClr val="accent2"/>
              </a:solidFill>
            </a:rPr>
            <a:t>Variable Control: Bombeo </a:t>
          </a:r>
        </a:p>
      </xdr:txBody>
    </xdr:sp>
    <xdr:clientData/>
  </xdr:twoCellAnchor>
  <xdr:twoCellAnchor>
    <xdr:from>
      <xdr:col>25</xdr:col>
      <xdr:colOff>243840</xdr:colOff>
      <xdr:row>6</xdr:row>
      <xdr:rowOff>38100</xdr:rowOff>
    </xdr:from>
    <xdr:to>
      <xdr:col>26</xdr:col>
      <xdr:colOff>426720</xdr:colOff>
      <xdr:row>8</xdr:row>
      <xdr:rowOff>106680</xdr:rowOff>
    </xdr:to>
    <xdr:sp macro="" textlink="">
      <xdr:nvSpPr>
        <xdr:cNvPr id="4103" name="CuadroTexto 4102">
          <a:extLst>
            <a:ext uri="{FF2B5EF4-FFF2-40B4-BE49-F238E27FC236}">
              <a16:creationId xmlns:a16="http://schemas.microsoft.com/office/drawing/2014/main" id="{B4E92C7E-D20B-431B-8FB0-ACA0E9A3B01A}"/>
            </a:ext>
          </a:extLst>
        </xdr:cNvPr>
        <xdr:cNvSpPr txBox="1"/>
      </xdr:nvSpPr>
      <xdr:spPr>
        <a:xfrm>
          <a:off x="16489680" y="1135380"/>
          <a:ext cx="79248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Reducir bombeo</a:t>
          </a:r>
        </a:p>
      </xdr:txBody>
    </xdr:sp>
    <xdr:clientData/>
  </xdr:twoCellAnchor>
  <xdr:twoCellAnchor>
    <xdr:from>
      <xdr:col>27</xdr:col>
      <xdr:colOff>251460</xdr:colOff>
      <xdr:row>6</xdr:row>
      <xdr:rowOff>60960</xdr:rowOff>
    </xdr:from>
    <xdr:to>
      <xdr:col>28</xdr:col>
      <xdr:colOff>434340</xdr:colOff>
      <xdr:row>8</xdr:row>
      <xdr:rowOff>129540</xdr:rowOff>
    </xdr:to>
    <xdr:sp macro="" textlink="">
      <xdr:nvSpPr>
        <xdr:cNvPr id="4104" name="CuadroTexto 4103">
          <a:extLst>
            <a:ext uri="{FF2B5EF4-FFF2-40B4-BE49-F238E27FC236}">
              <a16:creationId xmlns:a16="http://schemas.microsoft.com/office/drawing/2014/main" id="{126CB212-1C6E-41A3-8787-3A6AE47BC537}"/>
            </a:ext>
          </a:extLst>
        </xdr:cNvPr>
        <xdr:cNvSpPr txBox="1"/>
      </xdr:nvSpPr>
      <xdr:spPr>
        <a:xfrm>
          <a:off x="17716500" y="1158240"/>
          <a:ext cx="79248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Aumentar recarga</a:t>
          </a:r>
        </a:p>
      </xdr:txBody>
    </xdr:sp>
    <xdr:clientData/>
  </xdr:twoCellAnchor>
  <xdr:twoCellAnchor>
    <xdr:from>
      <xdr:col>26</xdr:col>
      <xdr:colOff>45720</xdr:colOff>
      <xdr:row>8</xdr:row>
      <xdr:rowOff>129540</xdr:rowOff>
    </xdr:from>
    <xdr:to>
      <xdr:col>27</xdr:col>
      <xdr:colOff>129540</xdr:colOff>
      <xdr:row>9</xdr:row>
      <xdr:rowOff>129540</xdr:rowOff>
    </xdr:to>
    <xdr:cxnSp macro="">
      <xdr:nvCxnSpPr>
        <xdr:cNvPr id="4106" name="Conector recto de flecha 4105">
          <a:extLst>
            <a:ext uri="{FF2B5EF4-FFF2-40B4-BE49-F238E27FC236}">
              <a16:creationId xmlns:a16="http://schemas.microsoft.com/office/drawing/2014/main" id="{0EB55B70-6FAB-1101-C504-CC49786EF6DE}"/>
            </a:ext>
          </a:extLst>
        </xdr:cNvPr>
        <xdr:cNvCxnSpPr/>
      </xdr:nvCxnSpPr>
      <xdr:spPr>
        <a:xfrm flipH="1" flipV="1">
          <a:off x="16901160" y="1592580"/>
          <a:ext cx="69342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137160</xdr:colOff>
      <xdr:row>8</xdr:row>
      <xdr:rowOff>129540</xdr:rowOff>
    </xdr:from>
    <xdr:to>
      <xdr:col>28</xdr:col>
      <xdr:colOff>38100</xdr:colOff>
      <xdr:row>9</xdr:row>
      <xdr:rowOff>129540</xdr:rowOff>
    </xdr:to>
    <xdr:cxnSp macro="">
      <xdr:nvCxnSpPr>
        <xdr:cNvPr id="4107" name="Conector recto de flecha 4106">
          <a:extLst>
            <a:ext uri="{FF2B5EF4-FFF2-40B4-BE49-F238E27FC236}">
              <a16:creationId xmlns:a16="http://schemas.microsoft.com/office/drawing/2014/main" id="{99501501-EAB9-4EDA-9612-7A0EAA76C11B}"/>
            </a:ext>
          </a:extLst>
        </xdr:cNvPr>
        <xdr:cNvCxnSpPr>
          <a:endCxn id="4104" idx="2"/>
        </xdr:cNvCxnSpPr>
      </xdr:nvCxnSpPr>
      <xdr:spPr>
        <a:xfrm flipV="1">
          <a:off x="17602200" y="1592580"/>
          <a:ext cx="51054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152400</xdr:colOff>
      <xdr:row>16</xdr:row>
      <xdr:rowOff>114300</xdr:rowOff>
    </xdr:from>
    <xdr:to>
      <xdr:col>26</xdr:col>
      <xdr:colOff>152400</xdr:colOff>
      <xdr:row>17</xdr:row>
      <xdr:rowOff>111420</xdr:rowOff>
    </xdr:to>
    <xdr:cxnSp macro="">
      <xdr:nvCxnSpPr>
        <xdr:cNvPr id="4109" name="Conector recto de flecha 4108">
          <a:extLst>
            <a:ext uri="{FF2B5EF4-FFF2-40B4-BE49-F238E27FC236}">
              <a16:creationId xmlns:a16="http://schemas.microsoft.com/office/drawing/2014/main" id="{4227D452-B5FB-46FF-8826-51A47ECD6F6A}"/>
            </a:ext>
          </a:extLst>
        </xdr:cNvPr>
        <xdr:cNvCxnSpPr/>
      </xdr:nvCxnSpPr>
      <xdr:spPr>
        <a:xfrm flipV="1">
          <a:off x="17007840" y="3040380"/>
          <a:ext cx="0" cy="180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160020</xdr:colOff>
      <xdr:row>11</xdr:row>
      <xdr:rowOff>99060</xdr:rowOff>
    </xdr:from>
    <xdr:to>
      <xdr:col>27</xdr:col>
      <xdr:colOff>160020</xdr:colOff>
      <xdr:row>13</xdr:row>
      <xdr:rowOff>21300</xdr:rowOff>
    </xdr:to>
    <xdr:cxnSp macro="">
      <xdr:nvCxnSpPr>
        <xdr:cNvPr id="4110" name="Conector recto de flecha 4109">
          <a:extLst>
            <a:ext uri="{FF2B5EF4-FFF2-40B4-BE49-F238E27FC236}">
              <a16:creationId xmlns:a16="http://schemas.microsoft.com/office/drawing/2014/main" id="{B00A1974-42C4-428F-939B-491DE6F58907}"/>
            </a:ext>
          </a:extLst>
        </xdr:cNvPr>
        <xdr:cNvCxnSpPr/>
      </xdr:nvCxnSpPr>
      <xdr:spPr>
        <a:xfrm flipV="1">
          <a:off x="17625060" y="2110740"/>
          <a:ext cx="0" cy="288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335280</xdr:colOff>
      <xdr:row>17</xdr:row>
      <xdr:rowOff>114300</xdr:rowOff>
    </xdr:from>
    <xdr:to>
      <xdr:col>20</xdr:col>
      <xdr:colOff>335280</xdr:colOff>
      <xdr:row>18</xdr:row>
      <xdr:rowOff>111420</xdr:rowOff>
    </xdr:to>
    <xdr:cxnSp macro="">
      <xdr:nvCxnSpPr>
        <xdr:cNvPr id="4111" name="Conector recto de flecha 4110">
          <a:extLst>
            <a:ext uri="{FF2B5EF4-FFF2-40B4-BE49-F238E27FC236}">
              <a16:creationId xmlns:a16="http://schemas.microsoft.com/office/drawing/2014/main" id="{7EF735AA-B9B3-4F93-95AD-821FF2F67677}"/>
            </a:ext>
          </a:extLst>
        </xdr:cNvPr>
        <xdr:cNvCxnSpPr/>
      </xdr:nvCxnSpPr>
      <xdr:spPr>
        <a:xfrm>
          <a:off x="12915900" y="3223260"/>
          <a:ext cx="0" cy="180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opLeftCell="A4" workbookViewId="0">
      <selection activeCell="G26" sqref="G26"/>
    </sheetView>
  </sheetViews>
  <sheetFormatPr baseColWidth="10" defaultColWidth="8.88671875" defaultRowHeight="14.4" x14ac:dyDescent="0.3"/>
  <cols>
    <col min="1" max="1" width="18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40224</v>
      </c>
      <c r="B2">
        <v>34.450000000000003</v>
      </c>
      <c r="C2">
        <v>10.27</v>
      </c>
      <c r="D2">
        <v>8.11</v>
      </c>
      <c r="E2">
        <v>72.08</v>
      </c>
      <c r="F2">
        <v>4.59</v>
      </c>
      <c r="G2">
        <v>4.59</v>
      </c>
      <c r="H2">
        <v>37.630000000000003</v>
      </c>
      <c r="I2">
        <v>2.89</v>
      </c>
      <c r="J2">
        <v>43.56</v>
      </c>
      <c r="K2">
        <v>6.94</v>
      </c>
      <c r="L2">
        <v>89.7</v>
      </c>
      <c r="M2">
        <v>59.55</v>
      </c>
      <c r="N2">
        <v>36.1</v>
      </c>
      <c r="O2">
        <v>61.48</v>
      </c>
      <c r="P2">
        <v>11.7</v>
      </c>
      <c r="Q2">
        <v>66.239999999999995</v>
      </c>
      <c r="R2">
        <v>34.17</v>
      </c>
    </row>
    <row r="3" spans="1:18" x14ac:dyDescent="0.3">
      <c r="A3" s="2">
        <v>45972</v>
      </c>
      <c r="B3">
        <v>49.13</v>
      </c>
      <c r="C3">
        <v>12.55</v>
      </c>
      <c r="D3">
        <v>7.48</v>
      </c>
      <c r="E3">
        <v>74.454999999999998</v>
      </c>
      <c r="F3">
        <v>5.65</v>
      </c>
      <c r="G3">
        <v>6.34</v>
      </c>
      <c r="H3">
        <v>51.95</v>
      </c>
      <c r="I3">
        <v>4.5599999999999996</v>
      </c>
      <c r="J3">
        <v>59.97</v>
      </c>
      <c r="K3">
        <v>9.14</v>
      </c>
      <c r="L3">
        <v>115.37</v>
      </c>
      <c r="M3">
        <v>70.150000000000006</v>
      </c>
      <c r="N3">
        <v>43.72</v>
      </c>
      <c r="O3">
        <v>86.08</v>
      </c>
      <c r="P3">
        <v>14.96</v>
      </c>
      <c r="Q3">
        <v>89.76</v>
      </c>
      <c r="R3">
        <v>45.94</v>
      </c>
    </row>
    <row r="6" spans="1:18" x14ac:dyDescent="0.3">
      <c r="A6" s="21" t="s">
        <v>67</v>
      </c>
      <c r="B6" s="21"/>
      <c r="C6" s="21"/>
      <c r="D6" s="21"/>
    </row>
    <row r="8" spans="1:18" ht="28.8" customHeight="1" x14ac:dyDescent="0.3">
      <c r="A8" s="15" t="s">
        <v>68</v>
      </c>
      <c r="B8" s="22" t="s">
        <v>69</v>
      </c>
      <c r="C8" s="22"/>
      <c r="D8" s="22"/>
    </row>
    <row r="9" spans="1:18" x14ac:dyDescent="0.3">
      <c r="A9" s="13" t="s">
        <v>70</v>
      </c>
      <c r="B9" s="20" t="s">
        <v>71</v>
      </c>
      <c r="C9" s="20"/>
      <c r="D9" s="20"/>
    </row>
    <row r="10" spans="1:18" x14ac:dyDescent="0.3">
      <c r="A10" s="13" t="s">
        <v>72</v>
      </c>
      <c r="B10" s="20" t="s">
        <v>73</v>
      </c>
      <c r="C10" s="20"/>
      <c r="D10" s="20"/>
    </row>
    <row r="11" spans="1:18" x14ac:dyDescent="0.3">
      <c r="A11" s="13" t="s">
        <v>74</v>
      </c>
      <c r="B11" s="20" t="s">
        <v>75</v>
      </c>
      <c r="C11" s="20"/>
      <c r="D11" s="20"/>
    </row>
    <row r="12" spans="1:18" x14ac:dyDescent="0.3">
      <c r="A12" s="13" t="s">
        <v>76</v>
      </c>
      <c r="B12" s="20">
        <v>3</v>
      </c>
      <c r="C12" s="20"/>
      <c r="D12" s="20"/>
    </row>
    <row r="13" spans="1:18" x14ac:dyDescent="0.3">
      <c r="A13" s="13" t="s">
        <v>77</v>
      </c>
      <c r="B13" s="20">
        <v>1024</v>
      </c>
      <c r="C13" s="20"/>
      <c r="D13" s="20"/>
    </row>
    <row r="14" spans="1:18" x14ac:dyDescent="0.3">
      <c r="A14" s="13" t="s">
        <v>78</v>
      </c>
      <c r="B14" s="20">
        <v>8192</v>
      </c>
      <c r="C14" s="20"/>
      <c r="D14" s="20"/>
    </row>
    <row r="15" spans="1:18" x14ac:dyDescent="0.3">
      <c r="A15" s="13" t="s">
        <v>79</v>
      </c>
      <c r="B15" s="20" t="s">
        <v>80</v>
      </c>
      <c r="C15" s="20"/>
      <c r="D15" s="20"/>
    </row>
    <row r="16" spans="1:18" x14ac:dyDescent="0.3">
      <c r="A16" s="13" t="s">
        <v>81</v>
      </c>
      <c r="B16" s="20" t="s">
        <v>82</v>
      </c>
      <c r="C16" s="20"/>
      <c r="D16" s="20"/>
    </row>
    <row r="17" spans="1:4" ht="28.8" x14ac:dyDescent="0.3">
      <c r="A17" s="13" t="s">
        <v>83</v>
      </c>
      <c r="B17" s="20" t="s">
        <v>84</v>
      </c>
      <c r="C17" s="20"/>
      <c r="D17" s="20"/>
    </row>
    <row r="18" spans="1:4" x14ac:dyDescent="0.3">
      <c r="A18" s="13" t="s">
        <v>85</v>
      </c>
      <c r="B18" s="20" t="s">
        <v>86</v>
      </c>
      <c r="C18" s="20"/>
      <c r="D18" s="20"/>
    </row>
    <row r="19" spans="1:4" x14ac:dyDescent="0.3">
      <c r="A19" s="13" t="s">
        <v>87</v>
      </c>
      <c r="B19" s="20" t="s">
        <v>88</v>
      </c>
      <c r="C19" s="20"/>
      <c r="D19" s="20"/>
    </row>
    <row r="20" spans="1:4" x14ac:dyDescent="0.3">
      <c r="A20" s="13" t="s">
        <v>89</v>
      </c>
      <c r="B20" s="20" t="s">
        <v>90</v>
      </c>
      <c r="C20" s="20"/>
      <c r="D20" s="20"/>
    </row>
    <row r="21" spans="1:4" x14ac:dyDescent="0.3">
      <c r="A21" s="13" t="s">
        <v>91</v>
      </c>
      <c r="B21" s="20" t="s">
        <v>92</v>
      </c>
      <c r="C21" s="20"/>
      <c r="D21" s="20"/>
    </row>
  </sheetData>
  <mergeCells count="15">
    <mergeCell ref="B18:D18"/>
    <mergeCell ref="B19:D19"/>
    <mergeCell ref="B20:D20"/>
    <mergeCell ref="B21:D21"/>
    <mergeCell ref="A6:D6"/>
    <mergeCell ref="B17:D17"/>
    <mergeCell ref="B14:D14"/>
    <mergeCell ref="B15:D15"/>
    <mergeCell ref="B16:D16"/>
    <mergeCell ref="B8:D8"/>
    <mergeCell ref="B9:D9"/>
    <mergeCell ref="B10:D10"/>
    <mergeCell ref="B11:D11"/>
    <mergeCell ref="B12:D12"/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workbookViewId="0">
      <selection activeCell="K32" sqref="K32"/>
    </sheetView>
  </sheetViews>
  <sheetFormatPr baseColWidth="10" defaultColWidth="8.88671875" defaultRowHeight="14.4" x14ac:dyDescent="0.3"/>
  <cols>
    <col min="1" max="1" width="12.6640625" bestFit="1" customWidth="1"/>
    <col min="2" max="3" width="10.21875" style="5" bestFit="1" customWidth="1"/>
    <col min="4" max="4" width="8" style="5" bestFit="1" customWidth="1"/>
    <col min="5" max="5" width="14.109375" style="5" customWidth="1"/>
    <col min="6" max="6" width="12.6640625" style="5" bestFit="1" customWidth="1"/>
    <col min="7" max="7" width="12.109375" style="5" bestFit="1" customWidth="1"/>
    <col min="8" max="8" width="9.88671875" style="5" bestFit="1" customWidth="1"/>
    <col min="9" max="9" width="12" style="5" bestFit="1" customWidth="1"/>
    <col min="10" max="10" width="13.6640625" style="5" bestFit="1" customWidth="1"/>
    <col min="11" max="11" width="16.77734375" style="5" customWidth="1"/>
    <col min="12" max="12" width="14.109375" style="5" customWidth="1"/>
    <col min="13" max="13" width="8.88671875" style="5"/>
    <col min="14" max="14" width="22.21875" bestFit="1" customWidth="1"/>
    <col min="16" max="16" width="8.88671875" style="11"/>
  </cols>
  <sheetData>
    <row r="1" spans="1:16" s="4" customFormat="1" ht="28.8" x14ac:dyDescent="0.3">
      <c r="A1" s="6" t="s">
        <v>18</v>
      </c>
      <c r="B1" s="6" t="s">
        <v>33</v>
      </c>
      <c r="C1" s="6" t="s">
        <v>34</v>
      </c>
      <c r="D1" s="6" t="s">
        <v>35</v>
      </c>
      <c r="E1" s="7" t="s">
        <v>36</v>
      </c>
      <c r="F1" s="6" t="s">
        <v>37</v>
      </c>
      <c r="G1" s="6" t="s">
        <v>19</v>
      </c>
      <c r="H1" s="6" t="s">
        <v>20</v>
      </c>
      <c r="I1" s="6" t="s">
        <v>21</v>
      </c>
      <c r="J1" s="6" t="s">
        <v>38</v>
      </c>
      <c r="K1" s="7" t="s">
        <v>39</v>
      </c>
      <c r="L1" s="6" t="s">
        <v>40</v>
      </c>
      <c r="M1" s="6" t="s">
        <v>22</v>
      </c>
      <c r="N1" s="6" t="s">
        <v>51</v>
      </c>
      <c r="O1" s="23" t="s">
        <v>22</v>
      </c>
      <c r="P1" s="23"/>
    </row>
    <row r="2" spans="1:16" x14ac:dyDescent="0.3">
      <c r="A2" s="8" t="s">
        <v>1</v>
      </c>
      <c r="B2" s="9">
        <v>34.450000000000003</v>
      </c>
      <c r="C2" s="9">
        <v>49.13</v>
      </c>
      <c r="D2" s="9">
        <v>14.68</v>
      </c>
      <c r="E2" s="9">
        <v>0.93282359081419619</v>
      </c>
      <c r="F2" s="9">
        <v>42.61248185776487</v>
      </c>
      <c r="G2" s="9" t="s">
        <v>23</v>
      </c>
      <c r="H2" s="9" t="s">
        <v>24</v>
      </c>
      <c r="I2" s="9">
        <v>0.41787072243346018</v>
      </c>
      <c r="J2" s="9">
        <v>0.58212927756653987</v>
      </c>
      <c r="K2" s="9">
        <v>0.58212927756653987</v>
      </c>
      <c r="L2" s="9">
        <v>0.76854097038225222</v>
      </c>
      <c r="M2" s="9">
        <v>0.38058838387031768</v>
      </c>
      <c r="N2" s="9" t="str">
        <f>IF(M2&lt;0.25,"Condicion Critica",IF(M2&lt;0.5,"Baja Sostenibilidad",IF(M2&lt;0.75,"Sostenibilidad Moderada","Alta Sostenibilidad")))</f>
        <v>Baja Sostenibilidad</v>
      </c>
      <c r="O2" s="6" t="s">
        <v>52</v>
      </c>
      <c r="P2" s="6" t="s">
        <v>53</v>
      </c>
    </row>
    <row r="3" spans="1:16" x14ac:dyDescent="0.3">
      <c r="A3" s="8" t="s">
        <v>2</v>
      </c>
      <c r="B3" s="9">
        <v>10.27</v>
      </c>
      <c r="C3" s="9">
        <v>12.55</v>
      </c>
      <c r="D3" s="9">
        <v>2.2800000000000011</v>
      </c>
      <c r="E3" s="9">
        <v>0.14487995824634661</v>
      </c>
      <c r="F3" s="9">
        <v>22.200584225900691</v>
      </c>
      <c r="G3" s="9" t="s">
        <v>23</v>
      </c>
      <c r="H3" s="9" t="s">
        <v>25</v>
      </c>
      <c r="I3" s="9">
        <v>0.88935361216730047</v>
      </c>
      <c r="J3" s="9">
        <v>0.1106463878326996</v>
      </c>
      <c r="K3" s="9">
        <v>0.1106463878326996</v>
      </c>
      <c r="L3" s="9">
        <v>0.45716401097878079</v>
      </c>
      <c r="M3" s="9">
        <v>0.82005008753808406</v>
      </c>
      <c r="N3" s="9" t="str">
        <f t="shared" ref="N3:N18" si="0">IF(M3&lt;0.25,"Condicion Critica",IF(M3&lt;0.5,"Baja Sostenibilidad",IF(M3&lt;0.75,"Sostenibilidad Moderada","Alta Sostenibilidad")))</f>
        <v>Alta Sostenibilidad</v>
      </c>
      <c r="O3" s="8" t="s">
        <v>54</v>
      </c>
      <c r="P3" s="12">
        <f>COUNTIF(N2:N18,"Condicion Critica")</f>
        <v>3</v>
      </c>
    </row>
    <row r="4" spans="1:16" x14ac:dyDescent="0.3">
      <c r="A4" s="8" t="s">
        <v>3</v>
      </c>
      <c r="B4" s="9">
        <v>8.11</v>
      </c>
      <c r="C4" s="9">
        <v>7.48</v>
      </c>
      <c r="D4" s="9">
        <v>-0.62999999999999901</v>
      </c>
      <c r="E4" s="9">
        <v>-4.0032620041753592E-2</v>
      </c>
      <c r="F4" s="9">
        <v>-7.7681874229346377</v>
      </c>
      <c r="G4" s="9" t="s">
        <v>26</v>
      </c>
      <c r="H4" s="9" t="s">
        <v>25</v>
      </c>
      <c r="I4" s="9">
        <v>1</v>
      </c>
      <c r="J4" s="9">
        <v>0</v>
      </c>
      <c r="K4" s="9">
        <v>0</v>
      </c>
      <c r="L4" s="9">
        <v>0</v>
      </c>
      <c r="M4" s="9">
        <v>1</v>
      </c>
      <c r="N4" s="9" t="str">
        <f t="shared" si="0"/>
        <v>Alta Sostenibilidad</v>
      </c>
      <c r="O4" s="8" t="s">
        <v>55</v>
      </c>
      <c r="P4" s="12">
        <f>COUNTIF(N2:N19,"Baja Sostenibilidad")</f>
        <v>4</v>
      </c>
    </row>
    <row r="5" spans="1:16" x14ac:dyDescent="0.3">
      <c r="A5" s="8" t="s">
        <v>4</v>
      </c>
      <c r="B5" s="9">
        <v>72.08</v>
      </c>
      <c r="C5" s="9">
        <v>74.454999999999998</v>
      </c>
      <c r="D5" s="9">
        <v>2.375</v>
      </c>
      <c r="E5" s="9">
        <v>0.1509166231732777</v>
      </c>
      <c r="F5" s="9">
        <v>3.2949500554938962</v>
      </c>
      <c r="G5" s="9" t="s">
        <v>23</v>
      </c>
      <c r="H5" s="9" t="s">
        <v>25</v>
      </c>
      <c r="I5" s="9">
        <v>0.8857414448669203</v>
      </c>
      <c r="J5" s="9">
        <v>0.11425855513307979</v>
      </c>
      <c r="K5" s="9">
        <v>0.11425855513307979</v>
      </c>
      <c r="L5" s="9">
        <v>0.1687646181469242</v>
      </c>
      <c r="M5" s="9">
        <v>0.87484023226415131</v>
      </c>
      <c r="N5" s="9" t="str">
        <f t="shared" si="0"/>
        <v>Alta Sostenibilidad</v>
      </c>
      <c r="O5" s="8" t="s">
        <v>56</v>
      </c>
      <c r="P5" s="12">
        <f>COUNTIF(N2:N20,"Sostenibilidad Moderada")</f>
        <v>3</v>
      </c>
    </row>
    <row r="6" spans="1:16" x14ac:dyDescent="0.3">
      <c r="A6" s="8" t="s">
        <v>5</v>
      </c>
      <c r="B6" s="9">
        <v>4.59</v>
      </c>
      <c r="C6" s="9">
        <v>5.65</v>
      </c>
      <c r="D6" s="9">
        <v>1.06</v>
      </c>
      <c r="E6" s="9">
        <v>6.7356471816283958E-2</v>
      </c>
      <c r="F6" s="9">
        <v>23.093681917211342</v>
      </c>
      <c r="G6" s="9" t="s">
        <v>23</v>
      </c>
      <c r="H6" s="9" t="s">
        <v>25</v>
      </c>
      <c r="I6" s="9">
        <v>0.93574144486692024</v>
      </c>
      <c r="J6" s="9">
        <v>6.4258555133079834E-2</v>
      </c>
      <c r="K6" s="9">
        <v>6.4258555133079834E-2</v>
      </c>
      <c r="L6" s="9">
        <v>0.47078793015503878</v>
      </c>
      <c r="M6" s="9">
        <v>0.85443556986252833</v>
      </c>
      <c r="N6" s="9" t="str">
        <f t="shared" si="0"/>
        <v>Alta Sostenibilidad</v>
      </c>
      <c r="O6" s="8" t="s">
        <v>57</v>
      </c>
      <c r="P6" s="12">
        <f>COUNTIF(N2:N18,"Alta Sostenibilidad")</f>
        <v>7</v>
      </c>
    </row>
    <row r="7" spans="1:16" x14ac:dyDescent="0.3">
      <c r="A7" s="8" t="s">
        <v>6</v>
      </c>
      <c r="B7" s="9">
        <v>4.59</v>
      </c>
      <c r="C7" s="9">
        <v>6.34</v>
      </c>
      <c r="D7" s="9">
        <v>1.75</v>
      </c>
      <c r="E7" s="9">
        <v>0.11120172233820461</v>
      </c>
      <c r="F7" s="9">
        <v>38.126361655773422</v>
      </c>
      <c r="G7" s="9" t="s">
        <v>23</v>
      </c>
      <c r="H7" s="9" t="s">
        <v>25</v>
      </c>
      <c r="I7" s="9">
        <v>0.90950570342205339</v>
      </c>
      <c r="J7" s="9">
        <v>9.0494296577946734E-2</v>
      </c>
      <c r="K7" s="9">
        <v>9.0494296577946734E-2</v>
      </c>
      <c r="L7" s="9">
        <v>0.70010664383370147</v>
      </c>
      <c r="M7" s="9">
        <v>0.78758323397090235</v>
      </c>
      <c r="N7" s="9" t="str">
        <f t="shared" si="0"/>
        <v>Alta Sostenibilidad</v>
      </c>
    </row>
    <row r="8" spans="1:16" x14ac:dyDescent="0.3">
      <c r="A8" s="8" t="s">
        <v>7</v>
      </c>
      <c r="B8" s="9">
        <v>37.630000000000003</v>
      </c>
      <c r="C8" s="9">
        <v>51.95</v>
      </c>
      <c r="D8" s="9">
        <v>14.32</v>
      </c>
      <c r="E8" s="9">
        <v>0.90994780793319419</v>
      </c>
      <c r="F8" s="9">
        <v>38.054743555673667</v>
      </c>
      <c r="G8" s="9" t="s">
        <v>23</v>
      </c>
      <c r="H8" s="9" t="s">
        <v>24</v>
      </c>
      <c r="I8" s="9">
        <v>0.43155893536121681</v>
      </c>
      <c r="J8" s="9">
        <v>0.56844106463878319</v>
      </c>
      <c r="K8" s="9">
        <v>0.56844106463878319</v>
      </c>
      <c r="L8" s="9">
        <v>0.69901413265960544</v>
      </c>
      <c r="M8" s="9">
        <v>0.40544432175705242</v>
      </c>
      <c r="N8" s="9" t="str">
        <f t="shared" si="0"/>
        <v>Baja Sostenibilidad</v>
      </c>
    </row>
    <row r="9" spans="1:16" x14ac:dyDescent="0.3">
      <c r="A9" s="8" t="s">
        <v>8</v>
      </c>
      <c r="B9" s="9">
        <v>2.89</v>
      </c>
      <c r="C9" s="9">
        <v>4.5599999999999996</v>
      </c>
      <c r="D9" s="9">
        <v>1.669999999999999</v>
      </c>
      <c r="E9" s="9">
        <v>0.1061182150313152</v>
      </c>
      <c r="F9" s="9">
        <v>57.785467128027648</v>
      </c>
      <c r="G9" s="9" t="s">
        <v>23</v>
      </c>
      <c r="H9" s="9" t="s">
        <v>25</v>
      </c>
      <c r="I9" s="9">
        <v>0.91254752851711041</v>
      </c>
      <c r="J9" s="9">
        <v>8.7452471482889677E-2</v>
      </c>
      <c r="K9" s="9">
        <v>8.7452471482889677E-2</v>
      </c>
      <c r="L9" s="9">
        <v>1</v>
      </c>
      <c r="M9" s="9">
        <v>0.73003802281368824</v>
      </c>
      <c r="N9" s="9" t="str">
        <f t="shared" si="0"/>
        <v>Sostenibilidad Moderada</v>
      </c>
    </row>
    <row r="10" spans="1:16" x14ac:dyDescent="0.3">
      <c r="A10" s="8" t="s">
        <v>9</v>
      </c>
      <c r="B10" s="9">
        <v>43.56</v>
      </c>
      <c r="C10" s="9">
        <v>59.97</v>
      </c>
      <c r="D10" s="9">
        <v>16.41</v>
      </c>
      <c r="E10" s="9">
        <v>1.042754436325678</v>
      </c>
      <c r="F10" s="9">
        <v>37.672176308539932</v>
      </c>
      <c r="G10" s="9" t="s">
        <v>23</v>
      </c>
      <c r="H10" s="9" t="s">
        <v>27</v>
      </c>
      <c r="I10" s="9">
        <v>0.35209125475285202</v>
      </c>
      <c r="J10" s="9">
        <v>0.64790874524714814</v>
      </c>
      <c r="K10" s="9">
        <v>0.64790874524714803</v>
      </c>
      <c r="L10" s="9">
        <v>0.69317819186035801</v>
      </c>
      <c r="M10" s="9">
        <v>0.34303736543020991</v>
      </c>
      <c r="N10" s="9" t="str">
        <f t="shared" si="0"/>
        <v>Baja Sostenibilidad</v>
      </c>
    </row>
    <row r="11" spans="1:16" x14ac:dyDescent="0.3">
      <c r="A11" s="8" t="s">
        <v>10</v>
      </c>
      <c r="B11" s="9">
        <v>6.94</v>
      </c>
      <c r="C11" s="9">
        <v>9.14</v>
      </c>
      <c r="D11" s="9">
        <v>2.2000000000000002</v>
      </c>
      <c r="E11" s="9">
        <v>0.1397964509394572</v>
      </c>
      <c r="F11" s="9">
        <v>31.70028818443804</v>
      </c>
      <c r="G11" s="9" t="s">
        <v>23</v>
      </c>
      <c r="H11" s="9" t="s">
        <v>25</v>
      </c>
      <c r="I11" s="9">
        <v>0.89239543726235759</v>
      </c>
      <c r="J11" s="9">
        <v>0.1076045627376425</v>
      </c>
      <c r="K11" s="9">
        <v>0.1076045627376426</v>
      </c>
      <c r="L11" s="9">
        <v>0.60207895162716452</v>
      </c>
      <c r="M11" s="9">
        <v>0.79350055948445308</v>
      </c>
      <c r="N11" s="9" t="str">
        <f t="shared" si="0"/>
        <v>Alta Sostenibilidad</v>
      </c>
    </row>
    <row r="12" spans="1:16" x14ac:dyDescent="0.3">
      <c r="A12" s="8" t="s">
        <v>11</v>
      </c>
      <c r="B12" s="9">
        <v>89.7</v>
      </c>
      <c r="C12" s="9">
        <v>115.37</v>
      </c>
      <c r="D12" s="9">
        <v>25.67</v>
      </c>
      <c r="E12" s="9">
        <v>1.631170407098121</v>
      </c>
      <c r="F12" s="9">
        <v>28.617614269788181</v>
      </c>
      <c r="G12" s="9" t="s">
        <v>23</v>
      </c>
      <c r="H12" s="9" t="s">
        <v>27</v>
      </c>
      <c r="I12" s="9">
        <v>0</v>
      </c>
      <c r="J12" s="9">
        <v>1</v>
      </c>
      <c r="K12" s="9">
        <v>1</v>
      </c>
      <c r="L12" s="9">
        <v>0.55505374859667067</v>
      </c>
      <c r="M12" s="9">
        <v>8.8989250280665844E-2</v>
      </c>
      <c r="N12" s="9" t="str">
        <f t="shared" si="0"/>
        <v>Condicion Critica</v>
      </c>
    </row>
    <row r="13" spans="1:16" x14ac:dyDescent="0.3">
      <c r="A13" s="8" t="s">
        <v>12</v>
      </c>
      <c r="B13" s="9">
        <v>59.55</v>
      </c>
      <c r="C13" s="9">
        <v>70.150000000000006</v>
      </c>
      <c r="D13" s="9">
        <v>10.60000000000001</v>
      </c>
      <c r="E13" s="9">
        <v>0.6735647181628398</v>
      </c>
      <c r="F13" s="9">
        <v>17.800167926112529</v>
      </c>
      <c r="G13" s="9" t="s">
        <v>23</v>
      </c>
      <c r="H13" s="9" t="s">
        <v>24</v>
      </c>
      <c r="I13" s="9">
        <v>0.5730038022813686</v>
      </c>
      <c r="J13" s="9">
        <v>0.42699619771863151</v>
      </c>
      <c r="K13" s="9">
        <v>0.42699619771863151</v>
      </c>
      <c r="L13" s="9">
        <v>0.3900370700030153</v>
      </c>
      <c r="M13" s="9">
        <v>0.58039562782449172</v>
      </c>
      <c r="N13" s="9" t="str">
        <f t="shared" si="0"/>
        <v>Sostenibilidad Moderada</v>
      </c>
    </row>
    <row r="14" spans="1:16" x14ac:dyDescent="0.3">
      <c r="A14" s="8" t="s">
        <v>13</v>
      </c>
      <c r="B14" s="9">
        <v>36.1</v>
      </c>
      <c r="C14" s="9">
        <v>43.72</v>
      </c>
      <c r="D14" s="9">
        <v>7.6199999999999974</v>
      </c>
      <c r="E14" s="9">
        <v>0.48420407098121071</v>
      </c>
      <c r="F14" s="9">
        <v>21.108033240997219</v>
      </c>
      <c r="G14" s="9" t="s">
        <v>23</v>
      </c>
      <c r="H14" s="9" t="s">
        <v>24</v>
      </c>
      <c r="I14" s="9">
        <v>0.68631178707224361</v>
      </c>
      <c r="J14" s="9">
        <v>0.3136882129277565</v>
      </c>
      <c r="K14" s="9">
        <v>0.31368821292775662</v>
      </c>
      <c r="L14" s="9">
        <v>0.44049749570381458</v>
      </c>
      <c r="M14" s="9">
        <v>0.66094993051703188</v>
      </c>
      <c r="N14" s="9" t="str">
        <f t="shared" si="0"/>
        <v>Sostenibilidad Moderada</v>
      </c>
    </row>
    <row r="15" spans="1:16" x14ac:dyDescent="0.3">
      <c r="A15" s="8" t="s">
        <v>14</v>
      </c>
      <c r="B15" s="9">
        <v>61.48</v>
      </c>
      <c r="C15" s="9">
        <v>86.08</v>
      </c>
      <c r="D15" s="9">
        <v>24.6</v>
      </c>
      <c r="E15" s="9">
        <v>1.5631784968684761</v>
      </c>
      <c r="F15" s="9">
        <v>40.013012361743662</v>
      </c>
      <c r="G15" s="9" t="s">
        <v>23</v>
      </c>
      <c r="H15" s="9" t="s">
        <v>27</v>
      </c>
      <c r="I15" s="9">
        <v>4.0684410646387878E-2</v>
      </c>
      <c r="J15" s="9">
        <v>0.95931558935361216</v>
      </c>
      <c r="K15" s="9">
        <v>0.95931558935361216</v>
      </c>
      <c r="L15" s="9">
        <v>0.7288868959629482</v>
      </c>
      <c r="M15" s="9">
        <v>8.677014932452054E-2</v>
      </c>
      <c r="N15" s="9" t="str">
        <f t="shared" si="0"/>
        <v>Condicion Critica</v>
      </c>
    </row>
    <row r="16" spans="1:16" x14ac:dyDescent="0.3">
      <c r="A16" s="8" t="s">
        <v>15</v>
      </c>
      <c r="B16" s="9">
        <v>11.7</v>
      </c>
      <c r="C16" s="9">
        <v>14.96</v>
      </c>
      <c r="D16" s="9">
        <v>3.260000000000002</v>
      </c>
      <c r="E16" s="9">
        <v>0.20715292275574121</v>
      </c>
      <c r="F16" s="9">
        <v>27.863247863247881</v>
      </c>
      <c r="G16" s="9" t="s">
        <v>23</v>
      </c>
      <c r="H16" s="9" t="s">
        <v>25</v>
      </c>
      <c r="I16" s="9">
        <v>0.85209125475285175</v>
      </c>
      <c r="J16" s="9">
        <v>0.14790874524714831</v>
      </c>
      <c r="K16" s="9">
        <v>0.14790874524714831</v>
      </c>
      <c r="L16" s="9">
        <v>0.54354613072688673</v>
      </c>
      <c r="M16" s="9">
        <v>0.77296377765690405</v>
      </c>
      <c r="N16" s="9" t="str">
        <f t="shared" si="0"/>
        <v>Alta Sostenibilidad</v>
      </c>
    </row>
    <row r="17" spans="1:14" x14ac:dyDescent="0.3">
      <c r="A17" s="8" t="s">
        <v>16</v>
      </c>
      <c r="B17" s="9">
        <v>66.239999999999995</v>
      </c>
      <c r="C17" s="9">
        <v>89.76</v>
      </c>
      <c r="D17" s="9">
        <v>23.52000000000001</v>
      </c>
      <c r="E17" s="9">
        <v>1.4945511482254701</v>
      </c>
      <c r="F17" s="9">
        <v>35.507246376811622</v>
      </c>
      <c r="G17" s="9" t="s">
        <v>23</v>
      </c>
      <c r="H17" s="9" t="s">
        <v>27</v>
      </c>
      <c r="I17" s="9">
        <v>8.1749049429657494E-2</v>
      </c>
      <c r="J17" s="9">
        <v>0.91825095057034256</v>
      </c>
      <c r="K17" s="9">
        <v>0.91825095057034245</v>
      </c>
      <c r="L17" s="9">
        <v>0.66015287928918365</v>
      </c>
      <c r="M17" s="9">
        <v>0.1333686636858892</v>
      </c>
      <c r="N17" s="9" t="str">
        <f t="shared" si="0"/>
        <v>Condicion Critica</v>
      </c>
    </row>
    <row r="18" spans="1:14" x14ac:dyDescent="0.3">
      <c r="A18" s="8" t="s">
        <v>17</v>
      </c>
      <c r="B18" s="9">
        <v>34.17</v>
      </c>
      <c r="C18" s="9">
        <v>45.94</v>
      </c>
      <c r="D18" s="9">
        <v>11.77</v>
      </c>
      <c r="E18" s="9">
        <v>0.74791101252609582</v>
      </c>
      <c r="F18" s="9">
        <v>34.445419959028371</v>
      </c>
      <c r="G18" s="9" t="s">
        <v>23</v>
      </c>
      <c r="H18" s="9" t="s">
        <v>24</v>
      </c>
      <c r="I18" s="9">
        <v>0.52851711026616</v>
      </c>
      <c r="J18" s="9">
        <v>0.47148288973384012</v>
      </c>
      <c r="K18" s="9">
        <v>0.47148288973384012</v>
      </c>
      <c r="L18" s="9">
        <v>0.64395505744299253</v>
      </c>
      <c r="M18" s="9">
        <v>0.49402267672432942</v>
      </c>
      <c r="N18" s="9" t="str">
        <f t="shared" si="0"/>
        <v>Baja Sostenibilidad</v>
      </c>
    </row>
  </sheetData>
  <mergeCells count="1">
    <mergeCell ref="O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topLeftCell="A10" workbookViewId="0">
      <selection activeCell="O39" sqref="O39"/>
    </sheetView>
  </sheetViews>
  <sheetFormatPr baseColWidth="10" defaultColWidth="8.88671875" defaultRowHeight="14.4" x14ac:dyDescent="0.3"/>
  <cols>
    <col min="1" max="1" width="12.6640625" style="5" bestFit="1" customWidth="1"/>
    <col min="2" max="4" width="12" style="5" bestFit="1" customWidth="1"/>
    <col min="6" max="6" width="12.88671875" bestFit="1" customWidth="1"/>
    <col min="7" max="7" width="10.77734375" bestFit="1" customWidth="1"/>
    <col min="11" max="11" width="12.88671875" bestFit="1" customWidth="1"/>
    <col min="12" max="14" width="12" bestFit="1" customWidth="1"/>
  </cols>
  <sheetData>
    <row r="1" spans="1:14" x14ac:dyDescent="0.3">
      <c r="A1" s="18" t="s">
        <v>42</v>
      </c>
      <c r="B1" s="18"/>
      <c r="C1" s="18"/>
      <c r="D1" s="18"/>
      <c r="F1" s="17" t="s">
        <v>43</v>
      </c>
      <c r="G1" s="17"/>
      <c r="H1" s="17"/>
      <c r="I1" s="17"/>
      <c r="L1" s="17" t="s">
        <v>44</v>
      </c>
      <c r="M1" s="17"/>
      <c r="N1" s="17"/>
    </row>
    <row r="2" spans="1:14" x14ac:dyDescent="0.3">
      <c r="A2" s="3" t="s">
        <v>18</v>
      </c>
      <c r="B2" s="3" t="s">
        <v>28</v>
      </c>
      <c r="C2" s="3" t="s">
        <v>29</v>
      </c>
      <c r="D2" s="3"/>
      <c r="F2" s="3" t="s">
        <v>18</v>
      </c>
      <c r="G2" s="3" t="s">
        <v>28</v>
      </c>
      <c r="H2" s="3" t="s">
        <v>29</v>
      </c>
      <c r="I2" s="3" t="s">
        <v>30</v>
      </c>
      <c r="L2" s="1" t="s">
        <v>28</v>
      </c>
      <c r="M2" s="1" t="s">
        <v>29</v>
      </c>
      <c r="N2" s="1" t="s">
        <v>30</v>
      </c>
    </row>
    <row r="3" spans="1:14" x14ac:dyDescent="0.3">
      <c r="A3" s="10" t="s">
        <v>1</v>
      </c>
      <c r="B3" s="5">
        <v>0.38058838387031768</v>
      </c>
      <c r="C3" s="5">
        <v>0.39922955315188891</v>
      </c>
      <c r="D3" s="5">
        <v>0.39922955315188891</v>
      </c>
      <c r="F3" s="5" t="s">
        <v>1</v>
      </c>
      <c r="G3" s="5">
        <v>13</v>
      </c>
      <c r="H3" s="5">
        <v>13</v>
      </c>
      <c r="I3" s="5">
        <v>13</v>
      </c>
      <c r="K3" s="1" t="s">
        <v>28</v>
      </c>
      <c r="L3">
        <v>1</v>
      </c>
      <c r="M3">
        <v>0.99019607843137269</v>
      </c>
      <c r="N3">
        <v>0.99019607843137303</v>
      </c>
    </row>
    <row r="4" spans="1:14" x14ac:dyDescent="0.3">
      <c r="A4" s="10" t="s">
        <v>2</v>
      </c>
      <c r="B4" s="5">
        <v>0.82005008753808406</v>
      </c>
      <c r="C4" s="5">
        <v>0.85470184985269226</v>
      </c>
      <c r="D4" s="5">
        <v>0.85470184985269226</v>
      </c>
      <c r="F4" s="5" t="s">
        <v>2</v>
      </c>
      <c r="G4" s="5">
        <v>4</v>
      </c>
      <c r="H4" s="5">
        <v>4</v>
      </c>
      <c r="I4" s="5">
        <v>4</v>
      </c>
      <c r="K4" s="1" t="s">
        <v>29</v>
      </c>
      <c r="L4">
        <v>0.99019607843137269</v>
      </c>
      <c r="M4">
        <v>1</v>
      </c>
      <c r="N4">
        <v>1</v>
      </c>
    </row>
    <row r="5" spans="1:14" x14ac:dyDescent="0.3">
      <c r="A5" s="10" t="s">
        <v>3</v>
      </c>
      <c r="B5" s="5">
        <v>1</v>
      </c>
      <c r="C5" s="5">
        <v>1</v>
      </c>
      <c r="D5" s="5">
        <v>1</v>
      </c>
      <c r="F5" s="5" t="s">
        <v>3</v>
      </c>
      <c r="G5" s="5">
        <v>1</v>
      </c>
      <c r="H5" s="5">
        <v>1</v>
      </c>
      <c r="I5" s="5">
        <v>1</v>
      </c>
      <c r="K5" s="1" t="s">
        <v>30</v>
      </c>
      <c r="L5">
        <v>0.99019607843137269</v>
      </c>
      <c r="M5">
        <v>1</v>
      </c>
      <c r="N5">
        <v>1</v>
      </c>
    </row>
    <row r="6" spans="1:14" x14ac:dyDescent="0.3">
      <c r="A6" s="10" t="s">
        <v>4</v>
      </c>
      <c r="B6" s="5">
        <v>0.87484023226415131</v>
      </c>
      <c r="C6" s="5">
        <v>0.8802908385655358</v>
      </c>
      <c r="D6" s="5">
        <v>0.8802908385655358</v>
      </c>
      <c r="F6" s="5" t="s">
        <v>4</v>
      </c>
      <c r="G6" s="5">
        <v>2</v>
      </c>
      <c r="H6" s="5">
        <v>3</v>
      </c>
      <c r="I6" s="5">
        <v>3</v>
      </c>
    </row>
    <row r="7" spans="1:14" x14ac:dyDescent="0.3">
      <c r="A7" s="10" t="s">
        <v>5</v>
      </c>
      <c r="B7" s="5">
        <v>0.85443556986252833</v>
      </c>
      <c r="C7" s="5">
        <v>0.89508850736472423</v>
      </c>
      <c r="D7" s="5">
        <v>0.89508850736472423</v>
      </c>
      <c r="F7" s="5" t="s">
        <v>5</v>
      </c>
      <c r="G7" s="5">
        <v>3</v>
      </c>
      <c r="H7" s="5">
        <v>2</v>
      </c>
      <c r="I7" s="5">
        <v>2</v>
      </c>
      <c r="K7" s="17" t="s">
        <v>41</v>
      </c>
      <c r="L7" s="17"/>
      <c r="M7" s="17"/>
    </row>
    <row r="8" spans="1:14" x14ac:dyDescent="0.3">
      <c r="A8" s="10" t="s">
        <v>6</v>
      </c>
      <c r="B8" s="5">
        <v>0.78758323397090235</v>
      </c>
      <c r="C8" s="5">
        <v>0.84854446869647782</v>
      </c>
      <c r="D8" s="5">
        <v>0.84854446869647782</v>
      </c>
      <c r="F8" s="5" t="s">
        <v>6</v>
      </c>
      <c r="G8" s="5">
        <v>6</v>
      </c>
      <c r="H8" s="5">
        <v>5</v>
      </c>
      <c r="I8" s="5">
        <v>5</v>
      </c>
      <c r="K8" s="1" t="s">
        <v>18</v>
      </c>
      <c r="L8" s="3" t="s">
        <v>31</v>
      </c>
      <c r="M8" s="3" t="s">
        <v>32</v>
      </c>
    </row>
    <row r="9" spans="1:14" x14ac:dyDescent="0.3">
      <c r="A9" s="10" t="s">
        <v>7</v>
      </c>
      <c r="B9" s="5">
        <v>0.40544432175705242</v>
      </c>
      <c r="C9" s="5">
        <v>0.41850162855913448</v>
      </c>
      <c r="D9" s="5">
        <v>0.41850162855913448</v>
      </c>
      <c r="F9" s="5" t="s">
        <v>7</v>
      </c>
      <c r="G9" s="5">
        <v>12</v>
      </c>
      <c r="H9" s="5">
        <v>12</v>
      </c>
      <c r="I9" s="5">
        <v>12</v>
      </c>
      <c r="K9" t="s">
        <v>1</v>
      </c>
      <c r="L9" s="4">
        <v>0.56992840307077286</v>
      </c>
      <c r="M9" s="4">
        <v>0.1910553752991343</v>
      </c>
    </row>
    <row r="10" spans="1:14" x14ac:dyDescent="0.3">
      <c r="A10" s="10" t="s">
        <v>8</v>
      </c>
      <c r="B10" s="5">
        <v>0.73003802281368824</v>
      </c>
      <c r="C10" s="5">
        <v>0.82129277566539927</v>
      </c>
      <c r="D10" s="5">
        <v>0.82129277566539927</v>
      </c>
      <c r="F10" s="5" t="s">
        <v>8</v>
      </c>
      <c r="G10" s="5">
        <v>8</v>
      </c>
      <c r="H10" s="5">
        <v>7</v>
      </c>
      <c r="I10" s="5">
        <v>7</v>
      </c>
      <c r="K10" t="s">
        <v>2</v>
      </c>
      <c r="L10" s="4">
        <v>0.57322552309571839</v>
      </c>
      <c r="M10" s="4">
        <v>0.19268673933777741</v>
      </c>
    </row>
    <row r="11" spans="1:14" x14ac:dyDescent="0.3">
      <c r="A11" s="10" t="s">
        <v>9</v>
      </c>
      <c r="B11" s="5">
        <v>0.34303736543020991</v>
      </c>
      <c r="C11" s="5">
        <v>0.34756431009153088</v>
      </c>
      <c r="D11" s="5">
        <v>0.34756431009153088</v>
      </c>
      <c r="F11" s="5" t="s">
        <v>9</v>
      </c>
      <c r="G11" s="5">
        <v>14</v>
      </c>
      <c r="H11" s="5">
        <v>14</v>
      </c>
      <c r="I11" s="5">
        <v>14</v>
      </c>
      <c r="K11" t="s">
        <v>3</v>
      </c>
      <c r="L11" s="4">
        <v>0.58215619360839665</v>
      </c>
      <c r="M11" s="4">
        <v>0.19547240955928361</v>
      </c>
    </row>
    <row r="12" spans="1:14" x14ac:dyDescent="0.3">
      <c r="A12" s="10" t="s">
        <v>10</v>
      </c>
      <c r="B12" s="5">
        <v>0.79350055948445308</v>
      </c>
      <c r="C12" s="5">
        <v>0.84294799837340528</v>
      </c>
      <c r="D12" s="5">
        <v>0.84294799837340528</v>
      </c>
      <c r="F12" s="5" t="s">
        <v>10</v>
      </c>
      <c r="G12" s="5">
        <v>5</v>
      </c>
      <c r="H12" s="5">
        <v>6</v>
      </c>
      <c r="I12" s="5">
        <v>6</v>
      </c>
      <c r="K12" t="s">
        <v>4</v>
      </c>
      <c r="L12" s="4">
        <v>0.57169536596166748</v>
      </c>
      <c r="M12" s="4">
        <v>0.19180010902255021</v>
      </c>
    </row>
    <row r="13" spans="1:14" x14ac:dyDescent="0.3">
      <c r="A13" s="10" t="s">
        <v>11</v>
      </c>
      <c r="B13" s="5">
        <v>8.8989250280665844E-2</v>
      </c>
      <c r="C13" s="5">
        <v>4.4494625140332977E-2</v>
      </c>
      <c r="D13" s="5">
        <v>4.4494625140332977E-2</v>
      </c>
      <c r="F13" s="5" t="s">
        <v>11</v>
      </c>
      <c r="G13" s="5">
        <v>16</v>
      </c>
      <c r="H13" s="5">
        <v>17</v>
      </c>
      <c r="I13" s="5">
        <v>17</v>
      </c>
      <c r="K13" t="s">
        <v>5</v>
      </c>
      <c r="L13" s="4">
        <v>0.58618805515194072</v>
      </c>
      <c r="M13" s="4">
        <v>0.1891572414839352</v>
      </c>
    </row>
    <row r="14" spans="1:14" x14ac:dyDescent="0.3">
      <c r="A14" s="10" t="s">
        <v>12</v>
      </c>
      <c r="B14" s="5">
        <v>0.58039562782449172</v>
      </c>
      <c r="C14" s="5">
        <v>0.57669971505293016</v>
      </c>
      <c r="D14" s="5">
        <v>0.57669971505293016</v>
      </c>
      <c r="F14" s="5" t="s">
        <v>12</v>
      </c>
      <c r="G14" s="5">
        <v>10</v>
      </c>
      <c r="H14" s="5">
        <v>10</v>
      </c>
      <c r="I14" s="5">
        <v>10</v>
      </c>
      <c r="K14" t="s">
        <v>6</v>
      </c>
      <c r="L14" s="4">
        <v>0.57149155541501706</v>
      </c>
      <c r="M14" s="4">
        <v>0.19131363517553041</v>
      </c>
    </row>
    <row r="15" spans="1:14" x14ac:dyDescent="0.3">
      <c r="A15" s="10" t="s">
        <v>13</v>
      </c>
      <c r="B15" s="5">
        <v>0.66094993051703188</v>
      </c>
      <c r="C15" s="5">
        <v>0.67363085879463769</v>
      </c>
      <c r="D15" s="5">
        <v>0.67363085879463769</v>
      </c>
      <c r="F15" s="5" t="s">
        <v>13</v>
      </c>
      <c r="G15" s="5">
        <v>9</v>
      </c>
      <c r="H15" s="5">
        <v>9</v>
      </c>
      <c r="I15" s="5">
        <v>9</v>
      </c>
      <c r="K15" t="s">
        <v>7</v>
      </c>
      <c r="L15" s="4">
        <v>0.57783706605148344</v>
      </c>
      <c r="M15" s="4">
        <v>0.19143326316636891</v>
      </c>
    </row>
    <row r="16" spans="1:14" x14ac:dyDescent="0.3">
      <c r="A16" s="10" t="s">
        <v>14</v>
      </c>
      <c r="B16" s="5">
        <v>8.677014932452054E-2</v>
      </c>
      <c r="C16" s="5">
        <v>6.3727279985454355E-2</v>
      </c>
      <c r="D16" s="5">
        <v>6.3727279985454355E-2</v>
      </c>
      <c r="F16" s="5" t="s">
        <v>14</v>
      </c>
      <c r="G16" s="5">
        <v>17</v>
      </c>
      <c r="H16" s="5">
        <v>16</v>
      </c>
      <c r="I16" s="5">
        <v>16</v>
      </c>
      <c r="K16" t="s">
        <v>8</v>
      </c>
      <c r="L16" s="4">
        <v>0.5724758771087447</v>
      </c>
      <c r="M16" s="4">
        <v>0.1928665172209777</v>
      </c>
    </row>
    <row r="17" spans="1:13" x14ac:dyDescent="0.3">
      <c r="A17" s="10" t="s">
        <v>15</v>
      </c>
      <c r="B17" s="5">
        <v>0.77296377765690405</v>
      </c>
      <c r="C17" s="5">
        <v>0.81252751620487784</v>
      </c>
      <c r="D17" s="5">
        <v>0.81252751620487784</v>
      </c>
      <c r="F17" s="5" t="s">
        <v>15</v>
      </c>
      <c r="G17" s="5">
        <v>7</v>
      </c>
      <c r="H17" s="5">
        <v>8</v>
      </c>
      <c r="I17" s="5">
        <v>8</v>
      </c>
      <c r="K17" t="s">
        <v>9</v>
      </c>
      <c r="L17" s="4">
        <v>0.57352949813352283</v>
      </c>
      <c r="M17" s="4">
        <v>0.19521359139645911</v>
      </c>
    </row>
    <row r="18" spans="1:13" x14ac:dyDescent="0.3">
      <c r="A18" s="10" t="s">
        <v>16</v>
      </c>
      <c r="B18" s="5">
        <v>0.1333686636858892</v>
      </c>
      <c r="C18" s="5">
        <v>0.10755885655777341</v>
      </c>
      <c r="D18" s="5">
        <v>0.10755885655777341</v>
      </c>
      <c r="F18" s="5" t="s">
        <v>16</v>
      </c>
      <c r="G18" s="5">
        <v>15</v>
      </c>
      <c r="H18" s="5">
        <v>15</v>
      </c>
      <c r="I18" s="5">
        <v>15</v>
      </c>
      <c r="K18" t="s">
        <v>10</v>
      </c>
      <c r="L18" s="4">
        <v>0.57524322615335</v>
      </c>
      <c r="M18" s="4">
        <v>0.18952619582339941</v>
      </c>
    </row>
    <row r="19" spans="1:13" x14ac:dyDescent="0.3">
      <c r="A19" s="10" t="s">
        <v>17</v>
      </c>
      <c r="B19" s="5">
        <v>0.49402267672432942</v>
      </c>
      <c r="C19" s="5">
        <v>0.51126989349524465</v>
      </c>
      <c r="D19" s="5">
        <v>0.51126989349524465</v>
      </c>
      <c r="F19" s="5" t="s">
        <v>17</v>
      </c>
      <c r="G19" s="5">
        <v>11</v>
      </c>
      <c r="H19" s="5">
        <v>11</v>
      </c>
      <c r="I19" s="5">
        <v>11</v>
      </c>
      <c r="K19" t="s">
        <v>11</v>
      </c>
      <c r="L19" s="4">
        <v>0.58243529836158137</v>
      </c>
      <c r="M19" s="4">
        <v>0.18910150230352549</v>
      </c>
    </row>
    <row r="20" spans="1:13" x14ac:dyDescent="0.3">
      <c r="K20" t="s">
        <v>12</v>
      </c>
      <c r="L20" s="4">
        <v>0.57320097670986248</v>
      </c>
      <c r="M20" s="4">
        <v>0.18937279575301899</v>
      </c>
    </row>
    <row r="21" spans="1:13" x14ac:dyDescent="0.3">
      <c r="K21" t="s">
        <v>13</v>
      </c>
      <c r="L21" s="4">
        <v>0.5758109806851841</v>
      </c>
      <c r="M21" s="4">
        <v>0.19221582037647181</v>
      </c>
    </row>
    <row r="22" spans="1:13" x14ac:dyDescent="0.3">
      <c r="K22" t="s">
        <v>14</v>
      </c>
      <c r="L22" s="4">
        <v>0.57394645469129502</v>
      </c>
      <c r="M22" s="4">
        <v>0.19392053540365481</v>
      </c>
    </row>
    <row r="23" spans="1:13" x14ac:dyDescent="0.3">
      <c r="K23" t="s">
        <v>15</v>
      </c>
      <c r="L23" s="4">
        <v>0.58047848802570656</v>
      </c>
      <c r="M23" s="4">
        <v>0.1934980240873187</v>
      </c>
    </row>
    <row r="24" spans="1:13" x14ac:dyDescent="0.3">
      <c r="K24" t="s">
        <v>16</v>
      </c>
      <c r="L24" s="4">
        <v>0.58018024679045355</v>
      </c>
      <c r="M24" s="4">
        <v>0.19224309846952881</v>
      </c>
    </row>
    <row r="25" spans="1:13" x14ac:dyDescent="0.3">
      <c r="C25" s="19" t="s">
        <v>45</v>
      </c>
      <c r="D25" s="19"/>
      <c r="K25" t="s">
        <v>17</v>
      </c>
      <c r="L25" s="4">
        <v>0.57106289912902075</v>
      </c>
      <c r="M25" s="4">
        <v>0.19282563244923279</v>
      </c>
    </row>
    <row r="27" spans="1:13" x14ac:dyDescent="0.3">
      <c r="C27" s="16" t="s">
        <v>49</v>
      </c>
      <c r="D27" s="16"/>
    </row>
    <row r="28" spans="1:13" x14ac:dyDescent="0.3">
      <c r="C28" s="10" t="s">
        <v>46</v>
      </c>
      <c r="D28" s="5">
        <v>0.16467185895137701</v>
      </c>
    </row>
    <row r="29" spans="1:13" x14ac:dyDescent="0.3">
      <c r="C29" s="5" t="s">
        <v>47</v>
      </c>
      <c r="D29" s="5">
        <v>0.14697871500000001</v>
      </c>
    </row>
    <row r="30" spans="1:13" x14ac:dyDescent="0.3">
      <c r="C30" s="5" t="s">
        <v>48</v>
      </c>
      <c r="D30" s="5">
        <v>0.62780243499999999</v>
      </c>
    </row>
    <row r="32" spans="1:13" x14ac:dyDescent="0.3">
      <c r="C32" s="16" t="s">
        <v>50</v>
      </c>
      <c r="D32" s="16"/>
    </row>
    <row r="33" spans="3:4" x14ac:dyDescent="0.3">
      <c r="C33" s="10" t="s">
        <v>46</v>
      </c>
      <c r="D33" s="5">
        <v>0.20613063500000001</v>
      </c>
    </row>
    <row r="34" spans="3:4" x14ac:dyDescent="0.3">
      <c r="C34" s="5" t="s">
        <v>47</v>
      </c>
      <c r="D34" s="5">
        <v>0.20988431360000001</v>
      </c>
    </row>
    <row r="35" spans="3:4" x14ac:dyDescent="0.3">
      <c r="C35" s="5" t="s">
        <v>48</v>
      </c>
      <c r="D35" s="5">
        <v>0.65580708200000004</v>
      </c>
    </row>
  </sheetData>
  <mergeCells count="7">
    <mergeCell ref="C32:D32"/>
    <mergeCell ref="K7:M7"/>
    <mergeCell ref="A1:D1"/>
    <mergeCell ref="F1:I1"/>
    <mergeCell ref="L1:N1"/>
    <mergeCell ref="C25:D25"/>
    <mergeCell ref="C27:D2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6"/>
  <sheetViews>
    <sheetView tabSelected="1" workbookViewId="0">
      <selection activeCell="P20" sqref="P20"/>
    </sheetView>
  </sheetViews>
  <sheetFormatPr baseColWidth="10" defaultColWidth="8.88671875" defaultRowHeight="14.4" x14ac:dyDescent="0.3"/>
  <cols>
    <col min="1" max="1" width="12.6640625" style="5" bestFit="1" customWidth="1"/>
    <col min="2" max="2" width="10.77734375" style="5" bestFit="1" customWidth="1"/>
    <col min="3" max="5" width="8.88671875" style="5"/>
    <col min="21" max="21" width="11.5546875" customWidth="1"/>
    <col min="22" max="22" width="15.21875" customWidth="1"/>
  </cols>
  <sheetData>
    <row r="1" spans="1:4" x14ac:dyDescent="0.3">
      <c r="A1" s="6" t="s">
        <v>18</v>
      </c>
      <c r="B1" s="6" t="s">
        <v>28</v>
      </c>
      <c r="C1" s="6" t="s">
        <v>29</v>
      </c>
      <c r="D1" s="6" t="s">
        <v>30</v>
      </c>
    </row>
    <row r="2" spans="1:4" x14ac:dyDescent="0.3">
      <c r="A2" s="26" t="s">
        <v>1</v>
      </c>
      <c r="B2" s="9">
        <v>13</v>
      </c>
      <c r="C2" s="9">
        <v>13</v>
      </c>
      <c r="D2" s="9">
        <v>13</v>
      </c>
    </row>
    <row r="3" spans="1:4" x14ac:dyDescent="0.3">
      <c r="A3" s="26" t="s">
        <v>2</v>
      </c>
      <c r="B3" s="9">
        <v>4</v>
      </c>
      <c r="C3" s="9">
        <v>4</v>
      </c>
      <c r="D3" s="9">
        <v>4</v>
      </c>
    </row>
    <row r="4" spans="1:4" x14ac:dyDescent="0.3">
      <c r="A4" s="26" t="s">
        <v>3</v>
      </c>
      <c r="B4" s="9">
        <v>1</v>
      </c>
      <c r="C4" s="9">
        <v>1</v>
      </c>
      <c r="D4" s="9">
        <v>1</v>
      </c>
    </row>
    <row r="5" spans="1:4" x14ac:dyDescent="0.3">
      <c r="A5" s="26" t="s">
        <v>4</v>
      </c>
      <c r="B5" s="9">
        <v>2</v>
      </c>
      <c r="C5" s="9">
        <v>3</v>
      </c>
      <c r="D5" s="9">
        <v>3</v>
      </c>
    </row>
    <row r="6" spans="1:4" x14ac:dyDescent="0.3">
      <c r="A6" s="26" t="s">
        <v>5</v>
      </c>
      <c r="B6" s="9">
        <v>3</v>
      </c>
      <c r="C6" s="9">
        <v>2</v>
      </c>
      <c r="D6" s="9">
        <v>2</v>
      </c>
    </row>
    <row r="7" spans="1:4" x14ac:dyDescent="0.3">
      <c r="A7" s="26" t="s">
        <v>6</v>
      </c>
      <c r="B7" s="9">
        <v>6</v>
      </c>
      <c r="C7" s="9">
        <v>5</v>
      </c>
      <c r="D7" s="9">
        <v>5</v>
      </c>
    </row>
    <row r="8" spans="1:4" x14ac:dyDescent="0.3">
      <c r="A8" s="26" t="s">
        <v>7</v>
      </c>
      <c r="B8" s="9">
        <v>12</v>
      </c>
      <c r="C8" s="9">
        <v>12</v>
      </c>
      <c r="D8" s="9">
        <v>12</v>
      </c>
    </row>
    <row r="9" spans="1:4" x14ac:dyDescent="0.3">
      <c r="A9" s="26" t="s">
        <v>8</v>
      </c>
      <c r="B9" s="9">
        <v>8</v>
      </c>
      <c r="C9" s="9">
        <v>7</v>
      </c>
      <c r="D9" s="9">
        <v>7</v>
      </c>
    </row>
    <row r="10" spans="1:4" x14ac:dyDescent="0.3">
      <c r="A10" s="26" t="s">
        <v>9</v>
      </c>
      <c r="B10" s="9">
        <v>14</v>
      </c>
      <c r="C10" s="9">
        <v>14</v>
      </c>
      <c r="D10" s="9">
        <v>14</v>
      </c>
    </row>
    <row r="11" spans="1:4" x14ac:dyDescent="0.3">
      <c r="A11" s="26" t="s">
        <v>10</v>
      </c>
      <c r="B11" s="9">
        <v>5</v>
      </c>
      <c r="C11" s="9">
        <v>6</v>
      </c>
      <c r="D11" s="9">
        <v>6</v>
      </c>
    </row>
    <row r="12" spans="1:4" x14ac:dyDescent="0.3">
      <c r="A12" s="26" t="s">
        <v>11</v>
      </c>
      <c r="B12" s="9">
        <v>16</v>
      </c>
      <c r="C12" s="9">
        <v>17</v>
      </c>
      <c r="D12" s="9">
        <v>17</v>
      </c>
    </row>
    <row r="13" spans="1:4" x14ac:dyDescent="0.3">
      <c r="A13" s="26" t="s">
        <v>12</v>
      </c>
      <c r="B13" s="9">
        <v>10</v>
      </c>
      <c r="C13" s="9">
        <v>10</v>
      </c>
      <c r="D13" s="9">
        <v>10</v>
      </c>
    </row>
    <row r="14" spans="1:4" x14ac:dyDescent="0.3">
      <c r="A14" s="26" t="s">
        <v>13</v>
      </c>
      <c r="B14" s="9">
        <v>9</v>
      </c>
      <c r="C14" s="9">
        <v>9</v>
      </c>
      <c r="D14" s="9">
        <v>9</v>
      </c>
    </row>
    <row r="15" spans="1:4" x14ac:dyDescent="0.3">
      <c r="A15" s="26" t="s">
        <v>14</v>
      </c>
      <c r="B15" s="9">
        <v>17</v>
      </c>
      <c r="C15" s="9">
        <v>16</v>
      </c>
      <c r="D15" s="9">
        <v>16</v>
      </c>
    </row>
    <row r="16" spans="1:4" x14ac:dyDescent="0.3">
      <c r="A16" s="26" t="s">
        <v>15</v>
      </c>
      <c r="B16" s="9">
        <v>7</v>
      </c>
      <c r="C16" s="9">
        <v>8</v>
      </c>
      <c r="D16" s="9">
        <v>8</v>
      </c>
    </row>
    <row r="17" spans="1:23" x14ac:dyDescent="0.3">
      <c r="A17" s="26" t="s">
        <v>16</v>
      </c>
      <c r="B17" s="9">
        <v>15</v>
      </c>
      <c r="C17" s="9">
        <v>15</v>
      </c>
      <c r="D17" s="9">
        <v>15</v>
      </c>
    </row>
    <row r="18" spans="1:23" x14ac:dyDescent="0.3">
      <c r="A18" s="26" t="s">
        <v>17</v>
      </c>
      <c r="B18" s="9">
        <v>11</v>
      </c>
      <c r="C18" s="9">
        <v>11</v>
      </c>
      <c r="D18" s="9">
        <v>11</v>
      </c>
    </row>
    <row r="32" spans="1:23" x14ac:dyDescent="0.3">
      <c r="U32" s="19" t="s">
        <v>58</v>
      </c>
      <c r="V32" s="19"/>
      <c r="W32" s="19"/>
    </row>
    <row r="33" spans="21:23" x14ac:dyDescent="0.3">
      <c r="U33" s="14" t="s">
        <v>59</v>
      </c>
      <c r="V33" s="24" t="s">
        <v>60</v>
      </c>
      <c r="W33" s="25"/>
    </row>
    <row r="34" spans="21:23" x14ac:dyDescent="0.3">
      <c r="U34" s="13" t="s">
        <v>61</v>
      </c>
      <c r="V34" s="20" t="s">
        <v>62</v>
      </c>
      <c r="W34" s="20"/>
    </row>
    <row r="35" spans="21:23" x14ac:dyDescent="0.3">
      <c r="U35" s="13" t="s">
        <v>63</v>
      </c>
      <c r="V35" s="20" t="s">
        <v>64</v>
      </c>
      <c r="W35" s="20"/>
    </row>
    <row r="36" spans="21:23" x14ac:dyDescent="0.3">
      <c r="U36" s="13" t="s">
        <v>65</v>
      </c>
      <c r="V36" s="20" t="s">
        <v>66</v>
      </c>
      <c r="W36" s="20"/>
    </row>
  </sheetData>
  <mergeCells count="5">
    <mergeCell ref="U32:W32"/>
    <mergeCell ref="V34:W34"/>
    <mergeCell ref="V35:W35"/>
    <mergeCell ref="V36:W36"/>
    <mergeCell ref="V33:W33"/>
  </mergeCells>
  <pageMargins left="0.75" right="0.75" top="1" bottom="1" header="0.5" footer="0.5"/>
  <pageSetup paperSize="9" orientation="portrait" horizontalDpi="360" verticalDpi="360" r:id="rId1"/>
  <drawing r:id="rId2"/>
  <legacyDrawing r:id="rId3"/>
  <oleObjects>
    <mc:AlternateContent xmlns:mc="http://schemas.openxmlformats.org/markup-compatibility/2006">
      <mc:Choice Requires="x14">
        <oleObject progId="Equation.DSMT4" shapeId="4097" r:id="rId4">
          <objectPr defaultSize="0" r:id="rId5">
            <anchor moveWithCells="1">
              <from>
                <xdr:col>20</xdr:col>
                <xdr:colOff>388620</xdr:colOff>
                <xdr:row>39</xdr:row>
                <xdr:rowOff>83820</xdr:rowOff>
              </from>
              <to>
                <xdr:col>23</xdr:col>
                <xdr:colOff>0</xdr:colOff>
                <xdr:row>42</xdr:row>
                <xdr:rowOff>45720</xdr:rowOff>
              </to>
            </anchor>
          </objectPr>
        </oleObject>
      </mc:Choice>
      <mc:Fallback>
        <oleObject progId="Equation.DSMT4" shapeId="4097" r:id="rId4"/>
      </mc:Fallback>
    </mc:AlternateContent>
    <mc:AlternateContent xmlns:mc="http://schemas.openxmlformats.org/markup-compatibility/2006">
      <mc:Choice Requires="x14">
        <oleObject progId="Equation.DSMT4" shapeId="4098" r:id="rId6">
          <objectPr defaultSize="0" r:id="rId7">
            <anchor moveWithCells="1">
              <from>
                <xdr:col>19</xdr:col>
                <xdr:colOff>129540</xdr:colOff>
                <xdr:row>20</xdr:row>
                <xdr:rowOff>114300</xdr:rowOff>
              </from>
              <to>
                <xdr:col>21</xdr:col>
                <xdr:colOff>45720</xdr:colOff>
                <xdr:row>22</xdr:row>
                <xdr:rowOff>45720</xdr:rowOff>
              </to>
            </anchor>
          </objectPr>
        </oleObject>
      </mc:Choice>
      <mc:Fallback>
        <oleObject progId="Equation.DSMT4" shapeId="4098" r:id="rId6"/>
      </mc:Fallback>
    </mc:AlternateContent>
    <mc:AlternateContent xmlns:mc="http://schemas.openxmlformats.org/markup-compatibility/2006">
      <mc:Choice Requires="x14">
        <oleObject progId="Equation.DSMT4" shapeId="4101" r:id="rId8">
          <objectPr defaultSize="0" r:id="rId9">
            <anchor moveWithCells="1">
              <from>
                <xdr:col>19</xdr:col>
                <xdr:colOff>541020</xdr:colOff>
                <xdr:row>22</xdr:row>
                <xdr:rowOff>114300</xdr:rowOff>
              </from>
              <to>
                <xdr:col>22</xdr:col>
                <xdr:colOff>0</xdr:colOff>
                <xdr:row>25</xdr:row>
                <xdr:rowOff>76200</xdr:rowOff>
              </to>
            </anchor>
          </objectPr>
        </oleObject>
      </mc:Choice>
      <mc:Fallback>
        <oleObject progId="Equation.DSMT4" shapeId="4101" r:id="rId8"/>
      </mc:Fallback>
    </mc:AlternateContent>
    <mc:AlternateContent xmlns:mc="http://schemas.openxmlformats.org/markup-compatibility/2006">
      <mc:Choice Requires="x14">
        <oleObject progId="Equation.DSMT4" shapeId="4102" r:id="rId10">
          <objectPr defaultSize="0" r:id="rId11">
            <anchor moveWithCells="1">
              <from>
                <xdr:col>24</xdr:col>
                <xdr:colOff>266700</xdr:colOff>
                <xdr:row>13</xdr:row>
                <xdr:rowOff>121920</xdr:rowOff>
              </from>
              <to>
                <xdr:col>28</xdr:col>
                <xdr:colOff>76200</xdr:colOff>
                <xdr:row>16</xdr:row>
                <xdr:rowOff>83820</xdr:rowOff>
              </to>
            </anchor>
          </objectPr>
        </oleObject>
      </mc:Choice>
      <mc:Fallback>
        <oleObject progId="Equation.DSMT4" shapeId="4102" r:id="rId10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E36" sqref="E36"/>
    </sheetView>
  </sheetViews>
  <sheetFormatPr baseColWidth="10" defaultColWidth="8.88671875" defaultRowHeight="14.4" x14ac:dyDescent="0.3"/>
  <cols>
    <col min="1" max="1" width="10.77734375" bestFit="1" customWidth="1"/>
    <col min="2" max="3" width="12" bestFit="1" customWidth="1"/>
  </cols>
  <sheetData>
    <row r="1" spans="1:4" x14ac:dyDescent="0.3"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>
        <v>1</v>
      </c>
      <c r="C2">
        <v>0.99019607843137269</v>
      </c>
      <c r="D2">
        <v>0.99019607843137269</v>
      </c>
    </row>
    <row r="3" spans="1:4" x14ac:dyDescent="0.3">
      <c r="A3" s="1" t="s">
        <v>29</v>
      </c>
      <c r="B3">
        <v>0.99019607843137269</v>
      </c>
      <c r="C3">
        <v>1</v>
      </c>
      <c r="D3">
        <v>1</v>
      </c>
    </row>
    <row r="4" spans="1:4" x14ac:dyDescent="0.3">
      <c r="A4" s="1" t="s">
        <v>30</v>
      </c>
      <c r="B4">
        <v>0.99019607843137269</v>
      </c>
      <c r="C4">
        <v>1</v>
      </c>
      <c r="D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G22" sqref="G22"/>
    </sheetView>
  </sheetViews>
  <sheetFormatPr baseColWidth="10" defaultColWidth="8.88671875" defaultRowHeight="14.4" x14ac:dyDescent="0.3"/>
  <cols>
    <col min="1" max="1" width="12.6640625" bestFit="1" customWidth="1"/>
    <col min="2" max="3" width="12" bestFit="1" customWidth="1"/>
  </cols>
  <sheetData>
    <row r="1" spans="1:3" x14ac:dyDescent="0.3">
      <c r="A1" s="1" t="s">
        <v>18</v>
      </c>
      <c r="B1" s="3" t="s">
        <v>31</v>
      </c>
      <c r="C1" s="3" t="s">
        <v>32</v>
      </c>
    </row>
    <row r="2" spans="1:3" x14ac:dyDescent="0.3">
      <c r="A2" t="s">
        <v>1</v>
      </c>
      <c r="B2" s="4">
        <v>0.56992840307077286</v>
      </c>
      <c r="C2" s="4">
        <v>0.1910553752991343</v>
      </c>
    </row>
    <row r="3" spans="1:3" x14ac:dyDescent="0.3">
      <c r="A3" t="s">
        <v>2</v>
      </c>
      <c r="B3" s="4">
        <v>0.57322552309571839</v>
      </c>
      <c r="C3" s="4">
        <v>0.19268673933777741</v>
      </c>
    </row>
    <row r="4" spans="1:3" x14ac:dyDescent="0.3">
      <c r="A4" t="s">
        <v>3</v>
      </c>
      <c r="B4" s="4">
        <v>0.58215619360839665</v>
      </c>
      <c r="C4" s="4">
        <v>0.19547240955928361</v>
      </c>
    </row>
    <row r="5" spans="1:3" x14ac:dyDescent="0.3">
      <c r="A5" t="s">
        <v>4</v>
      </c>
      <c r="B5" s="4">
        <v>0.57169536596166748</v>
      </c>
      <c r="C5" s="4">
        <v>0.19180010902255021</v>
      </c>
    </row>
    <row r="6" spans="1:3" x14ac:dyDescent="0.3">
      <c r="A6" t="s">
        <v>5</v>
      </c>
      <c r="B6" s="4">
        <v>0.58618805515194072</v>
      </c>
      <c r="C6" s="4">
        <v>0.1891572414839352</v>
      </c>
    </row>
    <row r="7" spans="1:3" x14ac:dyDescent="0.3">
      <c r="A7" t="s">
        <v>6</v>
      </c>
      <c r="B7" s="4">
        <v>0.57149155541501706</v>
      </c>
      <c r="C7" s="4">
        <v>0.19131363517553041</v>
      </c>
    </row>
    <row r="8" spans="1:3" x14ac:dyDescent="0.3">
      <c r="A8" t="s">
        <v>7</v>
      </c>
      <c r="B8" s="4">
        <v>0.57783706605148344</v>
      </c>
      <c r="C8" s="4">
        <v>0.19143326316636891</v>
      </c>
    </row>
    <row r="9" spans="1:3" x14ac:dyDescent="0.3">
      <c r="A9" t="s">
        <v>8</v>
      </c>
      <c r="B9" s="4">
        <v>0.5724758771087447</v>
      </c>
      <c r="C9" s="4">
        <v>0.1928665172209777</v>
      </c>
    </row>
    <row r="10" spans="1:3" x14ac:dyDescent="0.3">
      <c r="A10" t="s">
        <v>9</v>
      </c>
      <c r="B10" s="4">
        <v>0.57352949813352283</v>
      </c>
      <c r="C10" s="4">
        <v>0.19521359139645911</v>
      </c>
    </row>
    <row r="11" spans="1:3" x14ac:dyDescent="0.3">
      <c r="A11" t="s">
        <v>10</v>
      </c>
      <c r="B11" s="4">
        <v>0.57524322615335</v>
      </c>
      <c r="C11" s="4">
        <v>0.18952619582339941</v>
      </c>
    </row>
    <row r="12" spans="1:3" x14ac:dyDescent="0.3">
      <c r="A12" t="s">
        <v>11</v>
      </c>
      <c r="B12" s="4">
        <v>0.58243529836158137</v>
      </c>
      <c r="C12" s="4">
        <v>0.18910150230352549</v>
      </c>
    </row>
    <row r="13" spans="1:3" x14ac:dyDescent="0.3">
      <c r="A13" t="s">
        <v>12</v>
      </c>
      <c r="B13" s="4">
        <v>0.57320097670986248</v>
      </c>
      <c r="C13" s="4">
        <v>0.18937279575301899</v>
      </c>
    </row>
    <row r="14" spans="1:3" x14ac:dyDescent="0.3">
      <c r="A14" t="s">
        <v>13</v>
      </c>
      <c r="B14" s="4">
        <v>0.5758109806851841</v>
      </c>
      <c r="C14" s="4">
        <v>0.19221582037647181</v>
      </c>
    </row>
    <row r="15" spans="1:3" x14ac:dyDescent="0.3">
      <c r="A15" t="s">
        <v>14</v>
      </c>
      <c r="B15" s="4">
        <v>0.57394645469129502</v>
      </c>
      <c r="C15" s="4">
        <v>0.19392053540365481</v>
      </c>
    </row>
    <row r="16" spans="1:3" x14ac:dyDescent="0.3">
      <c r="A16" t="s">
        <v>15</v>
      </c>
      <c r="B16" s="4">
        <v>0.58047848802570656</v>
      </c>
      <c r="C16" s="4">
        <v>0.1934980240873187</v>
      </c>
    </row>
    <row r="17" spans="1:3" x14ac:dyDescent="0.3">
      <c r="A17" t="s">
        <v>16</v>
      </c>
      <c r="B17" s="4">
        <v>0.58018024679045355</v>
      </c>
      <c r="C17" s="4">
        <v>0.19224309846952881</v>
      </c>
    </row>
    <row r="18" spans="1:3" x14ac:dyDescent="0.3">
      <c r="A18" t="s">
        <v>17</v>
      </c>
      <c r="B18" s="4">
        <v>0.57106289912902075</v>
      </c>
      <c r="C18" s="4">
        <v>0.19282563244923279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Cambios</vt:lpstr>
      <vt:lpstr>Sensibilidad</vt:lpstr>
      <vt:lpstr>Ranking</vt:lpstr>
      <vt:lpstr>Spearman</vt:lpstr>
      <vt:lpstr>Bootstrap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Segundo Cohen Manrique</cp:lastModifiedBy>
  <dcterms:created xsi:type="dcterms:W3CDTF">2026-03-24T16:22:19Z</dcterms:created>
  <dcterms:modified xsi:type="dcterms:W3CDTF">2026-07-21T14:34:33Z</dcterms:modified>
</cp:coreProperties>
</file>
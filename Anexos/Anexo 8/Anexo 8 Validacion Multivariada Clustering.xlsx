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"/>
    </mc:Choice>
  </mc:AlternateContent>
  <xr:revisionPtr revIDLastSave="0" documentId="13_ncr:1_{950859BE-288E-4B65-B2E9-9C484367C6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ortada" sheetId="1" r:id="rId1"/>
    <sheet name="Base características" sheetId="2" r:id="rId2"/>
    <sheet name="Descriptivos" sheetId="3" r:id="rId3"/>
    <sheet name="Correlaciones" sheetId="4" r:id="rId4"/>
    <sheet name="Adecuación PCA" sheetId="5" r:id="rId5"/>
    <sheet name="PCA" sheetId="6" r:id="rId6"/>
    <sheet name="Selección de k" sheetId="7" r:id="rId7"/>
    <sheet name="Robustez" sheetId="8" r:id="rId8"/>
    <sheet name="Perfiles tipologías" sheetId="9" r:id="rId9"/>
    <sheet name="Conclusiones" sheetId="10" r:id="rId10"/>
  </sheets>
  <calcPr calcId="0"/>
</workbook>
</file>

<file path=xl/sharedStrings.xml><?xml version="1.0" encoding="utf-8"?>
<sst xmlns="http://schemas.openxmlformats.org/spreadsheetml/2006/main" count="183" uniqueCount="133">
  <si>
    <t>ANEXO 8. VALIDACIÓN MULTIVARIADA DE TIPOLOGÍAS DINÁMICAS</t>
  </si>
  <si>
    <t>PCA, t-SNE, clustering y robustez estadística sin ICEH</t>
  </si>
  <si>
    <t>Objetivo</t>
  </si>
  <si>
    <t>Validar la clasificación funcional mediante σ, rango, β OLS, ρ₁ e ISAC.</t>
  </si>
  <si>
    <t>Cobertura</t>
  </si>
  <si>
    <t>17 pozos de monitoreo.</t>
  </si>
  <si>
    <t>Partición</t>
  </si>
  <si>
    <t>Cuatro tipologías dinámicas.</t>
  </si>
  <si>
    <t>Advertencia</t>
  </si>
  <si>
    <t>Silhouette favorece k=2; k=4 es una solución teóricamente dirigida y debe defenderse por interpretabilidad, concordancia algorítmica y estabilidad.</t>
  </si>
  <si>
    <t>Precisión</t>
  </si>
  <si>
    <t>PCA y t-SNE son técnicas de representación; la validación del clustering requiere métricas internas y concordancia entre algoritmos.</t>
  </si>
  <si>
    <t>Matriz de características empleada</t>
  </si>
  <si>
    <t>Pozo</t>
  </si>
  <si>
    <t>Sigma</t>
  </si>
  <si>
    <t>Rango</t>
  </si>
  <si>
    <t>Beta_OLS</t>
  </si>
  <si>
    <t>Rho1</t>
  </si>
  <si>
    <t>Pct_Imput</t>
  </si>
  <si>
    <t>ISAC</t>
  </si>
  <si>
    <t>Tipologia_previa</t>
  </si>
  <si>
    <t>PC1</t>
  </si>
  <si>
    <t>PC2</t>
  </si>
  <si>
    <t>tSNE1</t>
  </si>
  <si>
    <t>tSNE2</t>
  </si>
  <si>
    <t>Cluster_KMeans</t>
  </si>
  <si>
    <t>Cluster_Jerarquico</t>
  </si>
  <si>
    <t>Cluster_GMM</t>
  </si>
  <si>
    <t>Sampués – 52-II-C-PZ-01</t>
  </si>
  <si>
    <t>Transicional</t>
  </si>
  <si>
    <t>Finca el Socorro – 44-II-D-PO-02</t>
  </si>
  <si>
    <t>Estable</t>
  </si>
  <si>
    <t>Ovejas – 44-II-D-PO-14</t>
  </si>
  <si>
    <t>Los Palmitos – 44-IV-B-PZ-01</t>
  </si>
  <si>
    <t>Bremen – 44-IV-C-PZ-01 A</t>
  </si>
  <si>
    <t>Bremen – 44-IV-C-PZ-01 B</t>
  </si>
  <si>
    <t>Las Tinas – 44-IV-C-PZ-02 A</t>
  </si>
  <si>
    <t>Dinámico</t>
  </si>
  <si>
    <t>Las Tinas – 44-IV-C-PZ-02 B</t>
  </si>
  <si>
    <t>Arroyo Betulia A – 44-IV-D-PZ-01 A</t>
  </si>
  <si>
    <t>Arroyo Betulia B – 44-IV-D-PZ-01 B</t>
  </si>
  <si>
    <t>Sabanas de Cali – 44-IV-D-PZ-02</t>
  </si>
  <si>
    <t>Finca El Tesoro – 44-IV-D-PZ-04</t>
  </si>
  <si>
    <t>Basurero Viejo – 52-II-B-PZ-01 A</t>
  </si>
  <si>
    <t>Corozal – 44-IV-D-PO-14</t>
  </si>
  <si>
    <t>Corozal – 44-IV-D-PZ-20</t>
  </si>
  <si>
    <t>Corozal – 44-IV-D-PZ-22</t>
  </si>
  <si>
    <t>Cantagallo – 52-II-A-PZ-01</t>
  </si>
  <si>
    <t>Estadísticos descriptivos</t>
  </si>
  <si>
    <t>Variable</t>
  </si>
  <si>
    <t>Media</t>
  </si>
  <si>
    <t>DE</t>
  </si>
  <si>
    <t>CV_pct</t>
  </si>
  <si>
    <t>Min</t>
  </si>
  <si>
    <t>P25</t>
  </si>
  <si>
    <t>Mediana</t>
  </si>
  <si>
    <t>P75</t>
  </si>
  <si>
    <t>Max</t>
  </si>
  <si>
    <t>Asimetria</t>
  </si>
  <si>
    <t>Curtosis</t>
  </si>
  <si>
    <t>Matrices de correlación</t>
  </si>
  <si>
    <t>Pearson</t>
  </si>
  <si>
    <t>Spearman</t>
  </si>
  <si>
    <t>Pruebas de adecuación y representación</t>
  </si>
  <si>
    <t>Indicador</t>
  </si>
  <si>
    <t>Valor</t>
  </si>
  <si>
    <t>Criterio</t>
  </si>
  <si>
    <t>Interpretación</t>
  </si>
  <si>
    <t>KMO global</t>
  </si>
  <si>
    <t>≥0,80</t>
  </si>
  <si>
    <t>Adecuación alta</t>
  </si>
  <si>
    <t>Bartlett χ²</t>
  </si>
  <si>
    <t>p&lt;0,05</t>
  </si>
  <si>
    <t>Matriz correlacionada</t>
  </si>
  <si>
    <t>Bartlett p</t>
  </si>
  <si>
    <t>PCA justificable</t>
  </si>
  <si>
    <t>Trustworthiness t-SNE</t>
  </si>
  <si>
    <t>Cercano a 1</t>
  </si>
  <si>
    <t>Preservación local excelente</t>
  </si>
  <si>
    <t>Resultados del PCA</t>
  </si>
  <si>
    <t>PC</t>
  </si>
  <si>
    <t>Autovalor</t>
  </si>
  <si>
    <t>Var_pct</t>
  </si>
  <si>
    <t>Acum_pct</t>
  </si>
  <si>
    <t>PC3</t>
  </si>
  <si>
    <t>PC4</t>
  </si>
  <si>
    <t>PC5</t>
  </si>
  <si>
    <t>Evaluación del número de conglomerados</t>
  </si>
  <si>
    <t>k</t>
  </si>
  <si>
    <t>Silhouette</t>
  </si>
  <si>
    <t>Davies_Bouldin</t>
  </si>
  <si>
    <t>Calinski_Harabasz</t>
  </si>
  <si>
    <t>Inercia</t>
  </si>
  <si>
    <t>El mayor Silhouette corresponde a k=2. La solución k=4 se conserva por su interpretación hidrogeológica y elevada reproducibilidad, no como óptimo geométrico único.</t>
  </si>
  <si>
    <t>Concordancia y estabilidad de k=4</t>
  </si>
  <si>
    <t>Comparación</t>
  </si>
  <si>
    <t>ARI</t>
  </si>
  <si>
    <t>NMI</t>
  </si>
  <si>
    <t>Lectura</t>
  </si>
  <si>
    <t>K-means vs Ward</t>
  </si>
  <si>
    <t>Concordancia perfecta</t>
  </si>
  <si>
    <t>K-means vs GMM</t>
  </si>
  <si>
    <t>Concordancia moderada-alta</t>
  </si>
  <si>
    <t>ARI bootstrap medio</t>
  </si>
  <si>
    <t>ARI bootstrap mediano</t>
  </si>
  <si>
    <t>IC95% inferior</t>
  </si>
  <si>
    <t>IC95% superior</t>
  </si>
  <si>
    <t>Perfiles hidrogeológicos de las cuatro tipologías</t>
  </si>
  <si>
    <t>Cluster</t>
  </si>
  <si>
    <t>N</t>
  </si>
  <si>
    <t>Pozos</t>
  </si>
  <si>
    <t>Media_Sigma</t>
  </si>
  <si>
    <t>Media_Rango</t>
  </si>
  <si>
    <t>Media_Beta_OLS</t>
  </si>
  <si>
    <t>Media_Rho1</t>
  </si>
  <si>
    <t>Media_ISAC</t>
  </si>
  <si>
    <t>Sampués – 52-II-C-PZ-01; Finca El Tesoro – 44-IV-D-PZ-04</t>
  </si>
  <si>
    <t>Ovejas – 44-II-D-PO-14; Los Palmitos – 44-IV-B-PZ-01; Arroyo Betulia B – 44-IV-D-PZ-01 B; Basurero Viejo – 52-II-B-PZ-01 A; Corozal – 44-IV-D-PZ-20; Cantagallo – 52-II-A-PZ-01</t>
  </si>
  <si>
    <t>Finca el Socorro – 44-II-D-PO-02; Bremen – 44-IV-C-PZ-01 A; Bremen – 44-IV-C-PZ-01 B; Las Tinas – 44-IV-C-PZ-02 B</t>
  </si>
  <si>
    <t>Las Tinas – 44-IV-C-PZ-02 A; Arroyo Betulia A – 44-IV-D-PZ-01 A; Sabanas de Cali – 44-IV-D-PZ-02; Corozal – 44-IV-D-PO-14; Corozal – 44-IV-D-PZ-22</t>
  </si>
  <si>
    <t>Conclusiones metodológicas</t>
  </si>
  <si>
    <t>Adecuación</t>
  </si>
  <si>
    <t>KMO=0.884; Bartlett p&lt;0,001.</t>
  </si>
  <si>
    <t>PCA</t>
  </si>
  <si>
    <t>PC1 explica 94.43% y PC1-PC2 acumulan 97.32%.</t>
  </si>
  <si>
    <t>t-SNE</t>
  </si>
  <si>
    <t>Trustworthiness=0.991.</t>
  </si>
  <si>
    <t>Robustez</t>
  </si>
  <si>
    <t>K-means y Ward: ARI=1,000; estabilidad bootstrap media=0.848.</t>
  </si>
  <si>
    <t>Cautela</t>
  </si>
  <si>
    <t>k=4 es una solución teóricamente dirigida; Silhouette favorece k=2.</t>
  </si>
  <si>
    <t>Resultado</t>
  </si>
  <si>
    <t>Se distinguen tipologías estables, transicionales moderadas, transicionales de alta amplitud y dinámicas/críticas.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</si>
</sst>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EF5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C33" sqref="C33"/>
    </sheetView>
  </sheetViews>
  <sheetFormatPr baseColWidth="10" defaultColWidth="8.796875" defaultRowHeight="13.8"/>
  <cols>
    <col min="1" max="1" width="24" customWidth="1"/>
    <col min="2" max="10" width="16" customWidth="1"/>
  </cols>
  <sheetData>
    <row r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>
      <c r="A4" s="6" t="s">
        <v>1</v>
      </c>
      <c r="B4" s="6"/>
      <c r="C4" s="6"/>
      <c r="D4" s="6"/>
      <c r="E4" s="6"/>
      <c r="F4" s="6"/>
      <c r="G4" s="6"/>
      <c r="H4" s="6"/>
      <c r="I4" s="6"/>
      <c r="J4" s="6"/>
    </row>
    <row r="6" spans="1:10">
      <c r="A6" s="1" t="s">
        <v>2</v>
      </c>
      <c r="B6" s="7" t="s">
        <v>3</v>
      </c>
      <c r="C6" s="7"/>
      <c r="D6" s="7"/>
      <c r="E6" s="7"/>
      <c r="F6" s="7"/>
      <c r="G6" s="7"/>
      <c r="H6" s="7"/>
      <c r="I6" s="7"/>
      <c r="J6" s="7"/>
    </row>
    <row r="7" spans="1:10">
      <c r="A7" s="1" t="s">
        <v>4</v>
      </c>
      <c r="B7" s="7" t="s">
        <v>5</v>
      </c>
      <c r="C7" s="7"/>
      <c r="D7" s="7"/>
      <c r="E7" s="7"/>
      <c r="F7" s="7"/>
      <c r="G7" s="7"/>
      <c r="H7" s="7"/>
      <c r="I7" s="7"/>
      <c r="J7" s="7"/>
    </row>
    <row r="8" spans="1:10">
      <c r="A8" s="1" t="s">
        <v>6</v>
      </c>
      <c r="B8" s="7" t="s">
        <v>7</v>
      </c>
      <c r="C8" s="7"/>
      <c r="D8" s="7"/>
      <c r="E8" s="7"/>
      <c r="F8" s="7"/>
      <c r="G8" s="7"/>
      <c r="H8" s="7"/>
      <c r="I8" s="7"/>
      <c r="J8" s="7"/>
    </row>
    <row r="9" spans="1:10">
      <c r="A9" s="1" t="s">
        <v>8</v>
      </c>
      <c r="B9" s="7" t="s">
        <v>9</v>
      </c>
      <c r="C9" s="7"/>
      <c r="D9" s="7"/>
      <c r="E9" s="7"/>
      <c r="F9" s="7"/>
      <c r="G9" s="7"/>
      <c r="H9" s="7"/>
      <c r="I9" s="7"/>
      <c r="J9" s="7"/>
    </row>
    <row r="10" spans="1:10">
      <c r="A10" s="1" t="s">
        <v>10</v>
      </c>
      <c r="B10" s="7" t="s">
        <v>11</v>
      </c>
      <c r="C10" s="7"/>
      <c r="D10" s="7"/>
      <c r="E10" s="7"/>
      <c r="F10" s="7"/>
      <c r="G10" s="7"/>
      <c r="H10" s="7"/>
      <c r="I10" s="7"/>
      <c r="J10" s="7"/>
    </row>
  </sheetData>
  <mergeCells count="7">
    <mergeCell ref="B9:J9"/>
    <mergeCell ref="B10:J10"/>
    <mergeCell ref="A1:J2"/>
    <mergeCell ref="A4:J4"/>
    <mergeCell ref="B6:J6"/>
    <mergeCell ref="B7:J7"/>
    <mergeCell ref="B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topLeftCell="B1" workbookViewId="0">
      <selection activeCell="K27" sqref="K27"/>
    </sheetView>
  </sheetViews>
  <sheetFormatPr baseColWidth="10" defaultColWidth="8.796875" defaultRowHeight="13.8"/>
  <cols>
    <col min="1" max="1" width="42" customWidth="1"/>
    <col min="2" max="15" width="15" customWidth="1"/>
  </cols>
  <sheetData>
    <row r="1" spans="1:1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ht="27.6">
      <c r="A4" s="10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I4" s="10" t="s">
        <v>21</v>
      </c>
      <c r="J4" s="10" t="s">
        <v>22</v>
      </c>
      <c r="K4" s="10" t="s">
        <v>23</v>
      </c>
      <c r="L4" s="10" t="s">
        <v>24</v>
      </c>
      <c r="M4" s="10" t="s">
        <v>25</v>
      </c>
      <c r="N4" s="10" t="s">
        <v>26</v>
      </c>
      <c r="O4" s="10" t="s">
        <v>27</v>
      </c>
    </row>
    <row r="5" spans="1:15">
      <c r="A5" s="11" t="s">
        <v>28</v>
      </c>
      <c r="B5" s="12">
        <v>4.7</v>
      </c>
      <c r="C5" s="12">
        <v>15.28</v>
      </c>
      <c r="D5" s="12">
        <v>0.98</v>
      </c>
      <c r="E5" s="12">
        <v>0.97</v>
      </c>
      <c r="F5" s="12">
        <v>0.14000000000000001</v>
      </c>
      <c r="G5" s="12">
        <v>0.42</v>
      </c>
      <c r="H5" s="13" t="s">
        <v>29</v>
      </c>
      <c r="I5" s="12">
        <v>-1.1247108285256935</v>
      </c>
      <c r="J5" s="12">
        <v>-5.8196979853414176E-2</v>
      </c>
      <c r="K5" s="12">
        <v>38.964675903320313</v>
      </c>
      <c r="L5" s="12">
        <v>31.042879104614258</v>
      </c>
      <c r="M5" s="13">
        <v>1</v>
      </c>
      <c r="N5" s="13">
        <v>4</v>
      </c>
      <c r="O5" s="13">
        <v>1</v>
      </c>
    </row>
    <row r="6" spans="1:15">
      <c r="A6" s="11" t="s">
        <v>30</v>
      </c>
      <c r="B6" s="12">
        <v>0.64</v>
      </c>
      <c r="C6" s="12">
        <v>3.13</v>
      </c>
      <c r="D6" s="12">
        <v>7.4999999999999997E-2</v>
      </c>
      <c r="E6" s="12">
        <v>0.91</v>
      </c>
      <c r="F6" s="12">
        <v>0.2</v>
      </c>
      <c r="G6" s="12">
        <v>0.84</v>
      </c>
      <c r="H6" s="13" t="s">
        <v>31</v>
      </c>
      <c r="I6" s="12">
        <v>2.3709994359828128</v>
      </c>
      <c r="J6" s="12">
        <v>-4.4959450180785669E-2</v>
      </c>
      <c r="K6" s="12">
        <v>-29.93528938293457</v>
      </c>
      <c r="L6" s="12">
        <v>-23.622146606445313</v>
      </c>
      <c r="M6" s="13">
        <v>3</v>
      </c>
      <c r="N6" s="13">
        <v>3</v>
      </c>
      <c r="O6" s="13">
        <v>2</v>
      </c>
    </row>
    <row r="7" spans="1:15">
      <c r="A7" s="11" t="s">
        <v>32</v>
      </c>
      <c r="B7" s="12">
        <v>2.78</v>
      </c>
      <c r="C7" s="12">
        <v>8.19</v>
      </c>
      <c r="D7" s="12">
        <v>0.38</v>
      </c>
      <c r="E7" s="12">
        <v>0.94</v>
      </c>
      <c r="F7" s="12">
        <v>0.19</v>
      </c>
      <c r="G7" s="12">
        <v>0.62</v>
      </c>
      <c r="H7" s="13" t="s">
        <v>29</v>
      </c>
      <c r="I7" s="12">
        <v>0.74623903899979949</v>
      </c>
      <c r="J7" s="12">
        <v>-0.27728091829320661</v>
      </c>
      <c r="K7" s="12">
        <v>-5.8548455238342285</v>
      </c>
      <c r="L7" s="12">
        <v>16.723321914672852</v>
      </c>
      <c r="M7" s="13">
        <v>2</v>
      </c>
      <c r="N7" s="13">
        <v>1</v>
      </c>
      <c r="O7" s="13">
        <v>3</v>
      </c>
    </row>
    <row r="8" spans="1:15">
      <c r="A8" s="11" t="s">
        <v>33</v>
      </c>
      <c r="B8" s="12">
        <v>3.85</v>
      </c>
      <c r="C8" s="12">
        <v>10.42</v>
      </c>
      <c r="D8" s="12">
        <v>-0.12</v>
      </c>
      <c r="E8" s="12">
        <v>0.95</v>
      </c>
      <c r="F8" s="12">
        <v>0.12</v>
      </c>
      <c r="G8" s="12">
        <v>0.55000000000000004</v>
      </c>
      <c r="H8" s="13" t="s">
        <v>29</v>
      </c>
      <c r="I8" s="12">
        <v>0.5759672155908705</v>
      </c>
      <c r="J8" s="12">
        <v>-1.2322715084696969</v>
      </c>
      <c r="K8" s="12">
        <v>-5.2053437232971191</v>
      </c>
      <c r="L8" s="12">
        <v>31.192047119140625</v>
      </c>
      <c r="M8" s="13">
        <v>2</v>
      </c>
      <c r="N8" s="13">
        <v>1</v>
      </c>
      <c r="O8" s="13">
        <v>3</v>
      </c>
    </row>
    <row r="9" spans="1:15">
      <c r="A9" s="11" t="s">
        <v>34</v>
      </c>
      <c r="B9" s="12">
        <v>0.62</v>
      </c>
      <c r="C9" s="12">
        <v>2.3199999999999998</v>
      </c>
      <c r="D9" s="12">
        <v>0.05</v>
      </c>
      <c r="E9" s="12">
        <v>0.88</v>
      </c>
      <c r="F9" s="12">
        <v>0.09</v>
      </c>
      <c r="G9" s="12">
        <v>0.88</v>
      </c>
      <c r="H9" s="13" t="s">
        <v>31</v>
      </c>
      <c r="I9" s="12">
        <v>2.8605038163194774</v>
      </c>
      <c r="J9" s="12">
        <v>0.37914288826560505</v>
      </c>
      <c r="K9" s="12">
        <v>-42.684970855712891</v>
      </c>
      <c r="L9" s="12">
        <v>-33.020771026611328</v>
      </c>
      <c r="M9" s="13">
        <v>3</v>
      </c>
      <c r="N9" s="13">
        <v>3</v>
      </c>
      <c r="O9" s="13">
        <v>2</v>
      </c>
    </row>
    <row r="10" spans="1:15">
      <c r="A10" s="11" t="s">
        <v>35</v>
      </c>
      <c r="B10" s="12">
        <v>0.79</v>
      </c>
      <c r="C10" s="12">
        <v>2.5099999999999998</v>
      </c>
      <c r="D10" s="12">
        <v>0.09</v>
      </c>
      <c r="E10" s="12">
        <v>0.9</v>
      </c>
      <c r="F10" s="12">
        <v>0.09</v>
      </c>
      <c r="G10" s="12">
        <v>0.83</v>
      </c>
      <c r="H10" s="13" t="s">
        <v>31</v>
      </c>
      <c r="I10" s="12">
        <v>2.4626289440853375</v>
      </c>
      <c r="J10" s="12">
        <v>0.10703842226403519</v>
      </c>
      <c r="K10" s="12">
        <v>-40.456752777099609</v>
      </c>
      <c r="L10" s="12">
        <v>-18.234912872314453</v>
      </c>
      <c r="M10" s="13">
        <v>3</v>
      </c>
      <c r="N10" s="13">
        <v>3</v>
      </c>
      <c r="O10" s="13">
        <v>2</v>
      </c>
    </row>
    <row r="11" spans="1:15">
      <c r="A11" s="11" t="s">
        <v>36</v>
      </c>
      <c r="B11" s="12">
        <v>5.12</v>
      </c>
      <c r="C11" s="12">
        <v>23.37</v>
      </c>
      <c r="D11" s="12">
        <v>1.04</v>
      </c>
      <c r="E11" s="12">
        <v>0.98</v>
      </c>
      <c r="F11" s="12">
        <v>0.12</v>
      </c>
      <c r="G11" s="12">
        <v>0.21</v>
      </c>
      <c r="H11" s="13" t="s">
        <v>37</v>
      </c>
      <c r="I11" s="12">
        <v>-2.1281014045420443</v>
      </c>
      <c r="J11" s="12">
        <v>-0.22972100467543122</v>
      </c>
      <c r="K11" s="12">
        <v>57.078193664550781</v>
      </c>
      <c r="L11" s="12">
        <v>37.404277801513672</v>
      </c>
      <c r="M11" s="13">
        <v>4</v>
      </c>
      <c r="N11" s="13">
        <v>2</v>
      </c>
      <c r="O11" s="13">
        <v>1</v>
      </c>
    </row>
    <row r="12" spans="1:15">
      <c r="A12" s="11" t="s">
        <v>38</v>
      </c>
      <c r="B12" s="12">
        <v>0.47</v>
      </c>
      <c r="C12" s="12">
        <v>1.86</v>
      </c>
      <c r="D12" s="12">
        <v>7.0000000000000007E-2</v>
      </c>
      <c r="E12" s="12">
        <v>0.87</v>
      </c>
      <c r="F12" s="12">
        <v>0.16</v>
      </c>
      <c r="G12" s="12">
        <v>0.9</v>
      </c>
      <c r="H12" s="13" t="s">
        <v>31</v>
      </c>
      <c r="I12" s="12">
        <v>3.0500018647691873</v>
      </c>
      <c r="J12" s="12">
        <v>0.57248187267919193</v>
      </c>
      <c r="K12" s="12">
        <v>-53.369411468505859</v>
      </c>
      <c r="L12" s="12">
        <v>-26.872116088867188</v>
      </c>
      <c r="M12" s="13">
        <v>3</v>
      </c>
      <c r="N12" s="13">
        <v>3</v>
      </c>
      <c r="O12" s="13">
        <v>2</v>
      </c>
    </row>
    <row r="13" spans="1:15">
      <c r="A13" s="11" t="s">
        <v>39</v>
      </c>
      <c r="B13" s="12">
        <v>6.4</v>
      </c>
      <c r="C13" s="12">
        <v>29.07</v>
      </c>
      <c r="D13" s="12">
        <v>1.42</v>
      </c>
      <c r="E13" s="12">
        <v>0.99</v>
      </c>
      <c r="F13" s="12">
        <v>0.11</v>
      </c>
      <c r="G13" s="12">
        <v>0.18</v>
      </c>
      <c r="H13" s="13" t="s">
        <v>37</v>
      </c>
      <c r="I13" s="12">
        <v>-3.1062693209304517</v>
      </c>
      <c r="J13" s="12">
        <v>9.1755008647042891E-2</v>
      </c>
      <c r="K13" s="12">
        <v>73.117500305175781</v>
      </c>
      <c r="L13" s="12">
        <v>37.490371704101563</v>
      </c>
      <c r="M13" s="13">
        <v>4</v>
      </c>
      <c r="N13" s="13">
        <v>2</v>
      </c>
      <c r="O13" s="13">
        <v>4</v>
      </c>
    </row>
    <row r="14" spans="1:15">
      <c r="A14" s="11" t="s">
        <v>40</v>
      </c>
      <c r="B14" s="12">
        <v>0.88</v>
      </c>
      <c r="C14" s="12">
        <v>3.96</v>
      </c>
      <c r="D14" s="12">
        <v>0.45</v>
      </c>
      <c r="E14" s="12">
        <v>0.93</v>
      </c>
      <c r="F14" s="12">
        <v>0.12</v>
      </c>
      <c r="G14" s="12">
        <v>0.71</v>
      </c>
      <c r="H14" s="13" t="s">
        <v>29</v>
      </c>
      <c r="I14" s="12">
        <v>1.5328285277716089</v>
      </c>
      <c r="J14" s="12">
        <v>0.11732314990977404</v>
      </c>
      <c r="K14" s="12">
        <v>-21.634357452392578</v>
      </c>
      <c r="L14" s="12">
        <v>0.45198318362236023</v>
      </c>
      <c r="M14" s="13">
        <v>2</v>
      </c>
      <c r="N14" s="13">
        <v>1</v>
      </c>
      <c r="O14" s="13">
        <v>2</v>
      </c>
    </row>
    <row r="15" spans="1:15">
      <c r="A15" s="11" t="s">
        <v>41</v>
      </c>
      <c r="B15" s="12">
        <v>7.9</v>
      </c>
      <c r="C15" s="12">
        <v>25.67</v>
      </c>
      <c r="D15" s="12">
        <v>1.61</v>
      </c>
      <c r="E15" s="12">
        <v>0.99</v>
      </c>
      <c r="F15" s="12">
        <v>0.05</v>
      </c>
      <c r="G15" s="12">
        <v>0.14000000000000001</v>
      </c>
      <c r="H15" s="13" t="s">
        <v>37</v>
      </c>
      <c r="I15" s="12">
        <v>-3.440875498253396</v>
      </c>
      <c r="J15" s="12">
        <v>0.24202944094464016</v>
      </c>
      <c r="K15" s="12">
        <v>84.423965454101563</v>
      </c>
      <c r="L15" s="12">
        <v>44.671409606933594</v>
      </c>
      <c r="M15" s="13">
        <v>4</v>
      </c>
      <c r="N15" s="13">
        <v>2</v>
      </c>
      <c r="O15" s="13">
        <v>4</v>
      </c>
    </row>
    <row r="16" spans="1:15">
      <c r="A16" s="11" t="s">
        <v>42</v>
      </c>
      <c r="B16" s="12">
        <v>3.72</v>
      </c>
      <c r="C16" s="12">
        <v>20.45</v>
      </c>
      <c r="D16" s="12">
        <v>0.82</v>
      </c>
      <c r="E16" s="12">
        <v>0.96</v>
      </c>
      <c r="F16" s="12">
        <v>7.0000000000000007E-2</v>
      </c>
      <c r="G16" s="12">
        <v>0.5</v>
      </c>
      <c r="H16" s="13" t="s">
        <v>29</v>
      </c>
      <c r="I16" s="12">
        <v>-0.80706451396995849</v>
      </c>
      <c r="J16" s="12">
        <v>-2.3535666750088738E-2</v>
      </c>
      <c r="K16" s="12">
        <v>28.75181770324707</v>
      </c>
      <c r="L16" s="12">
        <v>26.363229751586914</v>
      </c>
      <c r="M16" s="13">
        <v>1</v>
      </c>
      <c r="N16" s="13">
        <v>4</v>
      </c>
      <c r="O16" s="13">
        <v>1</v>
      </c>
    </row>
    <row r="17" spans="1:15">
      <c r="A17" s="11" t="s">
        <v>43</v>
      </c>
      <c r="B17" s="12">
        <v>2.4</v>
      </c>
      <c r="C17" s="12">
        <v>7.62</v>
      </c>
      <c r="D17" s="12">
        <v>0.49</v>
      </c>
      <c r="E17" s="12">
        <v>0.94</v>
      </c>
      <c r="F17" s="12">
        <v>0.11</v>
      </c>
      <c r="G17" s="12">
        <v>0.68</v>
      </c>
      <c r="H17" s="13" t="s">
        <v>29</v>
      </c>
      <c r="I17" s="12">
        <v>0.86705236503868266</v>
      </c>
      <c r="J17" s="12">
        <v>-6.7618694365659926E-2</v>
      </c>
      <c r="K17" s="12">
        <v>-4.4310774803161621</v>
      </c>
      <c r="L17" s="12">
        <v>5.2751517295837402</v>
      </c>
      <c r="M17" s="13">
        <v>2</v>
      </c>
      <c r="N17" s="13">
        <v>1</v>
      </c>
      <c r="O17" s="13">
        <v>3</v>
      </c>
    </row>
    <row r="18" spans="1:15">
      <c r="A18" s="11" t="s">
        <v>44</v>
      </c>
      <c r="B18" s="12">
        <v>6.85</v>
      </c>
      <c r="C18" s="12">
        <v>24.6</v>
      </c>
      <c r="D18" s="12">
        <v>1.39</v>
      </c>
      <c r="E18" s="12">
        <v>0.98</v>
      </c>
      <c r="F18" s="12">
        <v>0.1</v>
      </c>
      <c r="G18" s="12">
        <v>0.23</v>
      </c>
      <c r="H18" s="13" t="s">
        <v>37</v>
      </c>
      <c r="I18" s="12">
        <v>-2.7458690665353918</v>
      </c>
      <c r="J18" s="12">
        <v>0.1811886125602965</v>
      </c>
      <c r="K18" s="12">
        <v>65.234481811523438</v>
      </c>
      <c r="L18" s="12">
        <v>48.261775970458984</v>
      </c>
      <c r="M18" s="13">
        <v>4</v>
      </c>
      <c r="N18" s="13">
        <v>2</v>
      </c>
      <c r="O18" s="13">
        <v>4</v>
      </c>
    </row>
    <row r="19" spans="1:15">
      <c r="A19" s="11" t="s">
        <v>45</v>
      </c>
      <c r="B19" s="12">
        <v>1.47</v>
      </c>
      <c r="C19" s="12">
        <v>4.6900000000000004</v>
      </c>
      <c r="D19" s="12">
        <v>0.31</v>
      </c>
      <c r="E19" s="12">
        <v>0.92</v>
      </c>
      <c r="F19" s="12">
        <v>0.17</v>
      </c>
      <c r="G19" s="12">
        <v>0.74</v>
      </c>
      <c r="H19" s="13" t="s">
        <v>29</v>
      </c>
      <c r="I19" s="12">
        <v>1.6648852956330422</v>
      </c>
      <c r="J19" s="12">
        <v>4.6723896655888789E-2</v>
      </c>
      <c r="K19" s="12">
        <v>-20.440889358520508</v>
      </c>
      <c r="L19" s="12">
        <v>-10.777274131774902</v>
      </c>
      <c r="M19" s="13">
        <v>2</v>
      </c>
      <c r="N19" s="13">
        <v>1</v>
      </c>
      <c r="O19" s="13">
        <v>2</v>
      </c>
    </row>
    <row r="20" spans="1:15">
      <c r="A20" s="11" t="s">
        <v>46</v>
      </c>
      <c r="B20" s="12">
        <v>6.3</v>
      </c>
      <c r="C20" s="12">
        <v>23.52</v>
      </c>
      <c r="D20" s="12">
        <v>1.64</v>
      </c>
      <c r="E20" s="12">
        <v>0.99</v>
      </c>
      <c r="F20" s="12">
        <v>0.15</v>
      </c>
      <c r="G20" s="12">
        <v>0.19</v>
      </c>
      <c r="H20" s="13" t="s">
        <v>37</v>
      </c>
      <c r="I20" s="12">
        <v>-2.9701056411873168</v>
      </c>
      <c r="J20" s="12">
        <v>0.40022839964759077</v>
      </c>
      <c r="K20" s="12">
        <v>75.884147644042969</v>
      </c>
      <c r="L20" s="12">
        <v>54.665702819824219</v>
      </c>
      <c r="M20" s="13">
        <v>4</v>
      </c>
      <c r="N20" s="13">
        <v>2</v>
      </c>
      <c r="O20" s="13">
        <v>4</v>
      </c>
    </row>
    <row r="21" spans="1:15">
      <c r="A21" s="11" t="s">
        <v>47</v>
      </c>
      <c r="B21" s="12">
        <v>3.02</v>
      </c>
      <c r="C21" s="12">
        <v>12.13</v>
      </c>
      <c r="D21" s="12">
        <v>0.55000000000000004</v>
      </c>
      <c r="E21" s="12">
        <v>0.95</v>
      </c>
      <c r="F21" s="12">
        <v>0.11</v>
      </c>
      <c r="G21" s="12">
        <v>0.57999999999999996</v>
      </c>
      <c r="H21" s="13" t="s">
        <v>29</v>
      </c>
      <c r="I21" s="12">
        <v>0.19188976975343247</v>
      </c>
      <c r="J21" s="12">
        <v>-0.20432746898578152</v>
      </c>
      <c r="K21" s="12">
        <v>7.5416946411132813</v>
      </c>
      <c r="L21" s="12">
        <v>17.901723861694336</v>
      </c>
      <c r="M21" s="13">
        <v>2</v>
      </c>
      <c r="N21" s="13">
        <v>1</v>
      </c>
      <c r="O21" s="13">
        <v>3</v>
      </c>
    </row>
  </sheetData>
  <mergeCells count="1">
    <mergeCell ref="A1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workbookViewId="0">
      <selection activeCell="D17" sqref="D16:D17"/>
    </sheetView>
  </sheetViews>
  <sheetFormatPr baseColWidth="10" defaultColWidth="8.796875" defaultRowHeight="13.8"/>
  <cols>
    <col min="1" max="1" width="20" customWidth="1"/>
    <col min="2" max="11" width="14" customWidth="1"/>
  </cols>
  <sheetData>
    <row r="1" spans="1:11">
      <c r="A1" s="5" t="s">
        <v>48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>
      <c r="A4" s="10" t="s">
        <v>49</v>
      </c>
      <c r="B4" s="10" t="s">
        <v>50</v>
      </c>
      <c r="C4" s="10" t="s">
        <v>51</v>
      </c>
      <c r="D4" s="10" t="s">
        <v>52</v>
      </c>
      <c r="E4" s="10" t="s">
        <v>53</v>
      </c>
      <c r="F4" s="10" t="s">
        <v>54</v>
      </c>
      <c r="G4" s="10" t="s">
        <v>55</v>
      </c>
      <c r="H4" s="10" t="s">
        <v>56</v>
      </c>
      <c r="I4" s="10" t="s">
        <v>57</v>
      </c>
      <c r="J4" s="10" t="s">
        <v>58</v>
      </c>
      <c r="K4" s="10" t="s">
        <v>59</v>
      </c>
    </row>
    <row r="5" spans="1:11">
      <c r="A5" s="11" t="s">
        <v>14</v>
      </c>
      <c r="B5" s="12">
        <v>3.4064705882352944</v>
      </c>
      <c r="C5" s="12">
        <v>2.4604647456742565</v>
      </c>
      <c r="D5" s="12">
        <v>72.229149847090454</v>
      </c>
      <c r="E5" s="12">
        <v>0.47</v>
      </c>
      <c r="F5" s="12">
        <v>0.88</v>
      </c>
      <c r="G5" s="12">
        <v>3.02</v>
      </c>
      <c r="H5" s="12">
        <v>5.12</v>
      </c>
      <c r="I5" s="12">
        <v>7.9</v>
      </c>
      <c r="J5" s="12">
        <v>0.37652503945733695</v>
      </c>
      <c r="K5" s="12">
        <v>-1.1566147755989271</v>
      </c>
    </row>
    <row r="6" spans="1:11">
      <c r="A6" s="11" t="s">
        <v>15</v>
      </c>
      <c r="B6" s="12">
        <v>12.869999999999997</v>
      </c>
      <c r="C6" s="12">
        <v>9.6431491225636456</v>
      </c>
      <c r="D6" s="12">
        <v>74.927343609657328</v>
      </c>
      <c r="E6" s="12">
        <v>1.86</v>
      </c>
      <c r="F6" s="12">
        <v>3.96</v>
      </c>
      <c r="G6" s="12">
        <v>10.42</v>
      </c>
      <c r="H6" s="12">
        <v>23.37</v>
      </c>
      <c r="I6" s="12">
        <v>29.07</v>
      </c>
      <c r="J6" s="12">
        <v>0.37251718313487325</v>
      </c>
      <c r="K6" s="12">
        <v>-1.5227238612208114</v>
      </c>
    </row>
    <row r="7" spans="1:11">
      <c r="A7" s="11" t="s">
        <v>16</v>
      </c>
      <c r="B7" s="12">
        <v>0.66147058823529414</v>
      </c>
      <c r="C7" s="12">
        <v>0.58776527177597215</v>
      </c>
      <c r="D7" s="12">
        <v>88.857355448434163</v>
      </c>
      <c r="E7" s="12">
        <v>-0.12</v>
      </c>
      <c r="F7" s="12">
        <v>0.09</v>
      </c>
      <c r="G7" s="12">
        <v>0.49</v>
      </c>
      <c r="H7" s="12">
        <v>1.04</v>
      </c>
      <c r="I7" s="12">
        <v>1.64</v>
      </c>
      <c r="J7" s="12">
        <v>0.46091190858306458</v>
      </c>
      <c r="K7" s="12">
        <v>-1.1732107239247132</v>
      </c>
    </row>
    <row r="8" spans="1:11">
      <c r="A8" s="11" t="s">
        <v>17</v>
      </c>
      <c r="B8" s="12">
        <v>0.94411764705882339</v>
      </c>
      <c r="C8" s="12">
        <v>3.8252258679947852E-2</v>
      </c>
      <c r="D8" s="12">
        <v>4.0516411062830207</v>
      </c>
      <c r="E8" s="12">
        <v>0.87</v>
      </c>
      <c r="F8" s="12">
        <v>0.92</v>
      </c>
      <c r="G8" s="12">
        <v>0.95</v>
      </c>
      <c r="H8" s="12">
        <v>0.98</v>
      </c>
      <c r="I8" s="12">
        <v>0.99</v>
      </c>
      <c r="J8" s="12">
        <v>-0.51808941840732836</v>
      </c>
      <c r="K8" s="12">
        <v>-0.69128251451082434</v>
      </c>
    </row>
    <row r="9" spans="1:11">
      <c r="A9" s="11" t="s">
        <v>19</v>
      </c>
      <c r="B9" s="12">
        <v>0.54117647058823537</v>
      </c>
      <c r="C9" s="12">
        <v>0.26797580004874449</v>
      </c>
      <c r="D9" s="12">
        <v>49.517267400219978</v>
      </c>
      <c r="E9" s="12">
        <v>0.14000000000000001</v>
      </c>
      <c r="F9" s="12">
        <v>0.23</v>
      </c>
      <c r="G9" s="12">
        <v>0.57999999999999996</v>
      </c>
      <c r="H9" s="12">
        <v>0.74</v>
      </c>
      <c r="I9" s="12">
        <v>0.9</v>
      </c>
      <c r="J9" s="12">
        <v>-0.26326802975652996</v>
      </c>
      <c r="K9" s="12">
        <v>-1.4102310815681294</v>
      </c>
    </row>
  </sheetData>
  <mergeCells count="1">
    <mergeCell ref="A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selection activeCell="D26" sqref="D26"/>
    </sheetView>
  </sheetViews>
  <sheetFormatPr baseColWidth="10" defaultColWidth="8.796875" defaultRowHeight="13.8"/>
  <cols>
    <col min="1" max="6" width="18" customWidth="1"/>
  </cols>
  <sheetData>
    <row r="1" spans="1:6">
      <c r="A1" s="5" t="s">
        <v>60</v>
      </c>
      <c r="B1" s="5"/>
      <c r="C1" s="5"/>
      <c r="D1" s="5"/>
      <c r="E1" s="5"/>
      <c r="F1" s="5"/>
    </row>
    <row r="2" spans="1:6">
      <c r="A2" s="5"/>
      <c r="B2" s="5"/>
      <c r="C2" s="5"/>
      <c r="D2" s="5"/>
      <c r="E2" s="5"/>
      <c r="F2" s="5"/>
    </row>
    <row r="4" spans="1:6">
      <c r="A4" s="1" t="s">
        <v>61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19</v>
      </c>
    </row>
    <row r="5" spans="1:6">
      <c r="A5" s="1" t="s">
        <v>14</v>
      </c>
      <c r="B5" s="4">
        <v>1</v>
      </c>
      <c r="C5" s="4">
        <v>0.95423718943117275</v>
      </c>
      <c r="D5" s="4">
        <v>0.89901065464778263</v>
      </c>
      <c r="E5" s="4">
        <v>0.92659089403876227</v>
      </c>
      <c r="F5" s="4">
        <v>-0.9764073887374376</v>
      </c>
    </row>
    <row r="6" spans="1:6">
      <c r="A6" s="1" t="s">
        <v>15</v>
      </c>
      <c r="B6" s="4">
        <v>0.95423718943117286</v>
      </c>
      <c r="C6" s="4">
        <v>1</v>
      </c>
      <c r="D6" s="4">
        <v>0.91424602328273397</v>
      </c>
      <c r="E6" s="4">
        <v>0.91947486980766779</v>
      </c>
      <c r="F6" s="4">
        <v>-0.97141955554542625</v>
      </c>
    </row>
    <row r="7" spans="1:6">
      <c r="A7" s="1" t="s">
        <v>16</v>
      </c>
      <c r="B7" s="4">
        <v>0.89901065464778263</v>
      </c>
      <c r="C7" s="4">
        <v>0.91424602328273397</v>
      </c>
      <c r="D7" s="4">
        <v>0.99999999999999978</v>
      </c>
      <c r="E7" s="4">
        <v>0.86187965092137719</v>
      </c>
      <c r="F7" s="4">
        <v>-0.91973346435988346</v>
      </c>
    </row>
    <row r="8" spans="1:6">
      <c r="A8" s="1" t="s">
        <v>17</v>
      </c>
      <c r="B8" s="4">
        <v>0.92659089403876227</v>
      </c>
      <c r="C8" s="4">
        <v>0.91947486980766779</v>
      </c>
      <c r="D8" s="4">
        <v>0.86187965092137719</v>
      </c>
      <c r="E8" s="4">
        <v>1</v>
      </c>
      <c r="F8" s="4">
        <v>-0.95714600585087706</v>
      </c>
    </row>
    <row r="9" spans="1:6">
      <c r="A9" s="1" t="s">
        <v>19</v>
      </c>
      <c r="B9" s="4">
        <v>-0.9764073887374376</v>
      </c>
      <c r="C9" s="4">
        <v>-0.97141955554542614</v>
      </c>
      <c r="D9" s="4">
        <v>-0.91973346435988346</v>
      </c>
      <c r="E9" s="4">
        <v>-0.95714600585087706</v>
      </c>
      <c r="F9" s="4">
        <v>1</v>
      </c>
    </row>
    <row r="12" spans="1:6">
      <c r="A12" s="1" t="s">
        <v>62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19</v>
      </c>
    </row>
    <row r="13" spans="1:6">
      <c r="A13" s="1" t="s">
        <v>14</v>
      </c>
      <c r="B13" s="4">
        <v>1</v>
      </c>
      <c r="C13" s="4">
        <v>0.97794117647058831</v>
      </c>
      <c r="D13" s="4">
        <v>0.83333333333333348</v>
      </c>
      <c r="E13" s="4">
        <v>0.97477827490784441</v>
      </c>
      <c r="F13" s="4">
        <v>-0.98039215686274528</v>
      </c>
    </row>
    <row r="14" spans="1:6">
      <c r="A14" s="1" t="s">
        <v>15</v>
      </c>
      <c r="B14" s="4">
        <v>0.97794117647058831</v>
      </c>
      <c r="C14" s="4">
        <v>1</v>
      </c>
      <c r="D14" s="4">
        <v>0.875</v>
      </c>
      <c r="E14" s="4">
        <v>0.98462452010893387</v>
      </c>
      <c r="F14" s="4">
        <v>-0.98039215686274528</v>
      </c>
    </row>
    <row r="15" spans="1:6">
      <c r="A15" s="1" t="s">
        <v>16</v>
      </c>
      <c r="B15" s="4">
        <v>0.83333333333333348</v>
      </c>
      <c r="C15" s="4">
        <v>0.875</v>
      </c>
      <c r="D15" s="4">
        <v>1</v>
      </c>
      <c r="E15" s="4">
        <v>0.88862362939831274</v>
      </c>
      <c r="F15" s="4">
        <v>-0.8700980392156864</v>
      </c>
    </row>
    <row r="16" spans="1:6">
      <c r="A16" s="1" t="s">
        <v>17</v>
      </c>
      <c r="B16" s="4">
        <v>0.97477827490784441</v>
      </c>
      <c r="C16" s="4">
        <v>0.98462452010893364</v>
      </c>
      <c r="D16" s="4">
        <v>0.88862362939831274</v>
      </c>
      <c r="E16" s="4">
        <v>1</v>
      </c>
      <c r="F16" s="4">
        <v>-0.99323998465988705</v>
      </c>
    </row>
    <row r="17" spans="1:6">
      <c r="A17" s="1" t="s">
        <v>19</v>
      </c>
      <c r="B17" s="4">
        <v>-0.98039215686274528</v>
      </c>
      <c r="C17" s="4">
        <v>-0.98039215686274528</v>
      </c>
      <c r="D17" s="4">
        <v>-0.8700980392156864</v>
      </c>
      <c r="E17" s="4">
        <v>-0.99323998465988694</v>
      </c>
      <c r="F17" s="4">
        <v>1</v>
      </c>
    </row>
  </sheetData>
  <mergeCells count="1">
    <mergeCell ref="A1:F2"/>
  </mergeCells>
  <conditionalFormatting sqref="B5:F9">
    <cfRule type="colorScale" priority="1">
      <colorScale>
        <cfvo type="min"/>
        <cfvo type="percentile" val="50"/>
        <cfvo type="max"/>
        <color rgb="FF5B9BD5"/>
        <color rgb="FFFFFFFF"/>
        <color rgb="FFED7D31"/>
      </colorScale>
    </cfRule>
  </conditionalFormatting>
  <conditionalFormatting sqref="B13:F17">
    <cfRule type="colorScale" priority="2">
      <colorScale>
        <cfvo type="min"/>
        <cfvo type="percentile" val="50"/>
        <cfvo type="max"/>
        <color rgb="FF5B9BD5"/>
        <color rgb="FFFFFFFF"/>
        <color rgb="FFED7D31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activeCell="D21" sqref="D21"/>
    </sheetView>
  </sheetViews>
  <sheetFormatPr baseColWidth="10" defaultColWidth="8.796875" defaultRowHeight="13.8"/>
  <cols>
    <col min="1" max="1" width="28" customWidth="1"/>
    <col min="2" max="4" width="22" customWidth="1"/>
  </cols>
  <sheetData>
    <row r="1" spans="1:4">
      <c r="A1" s="5" t="s">
        <v>63</v>
      </c>
      <c r="B1" s="5"/>
      <c r="C1" s="5"/>
      <c r="D1" s="5"/>
    </row>
    <row r="2" spans="1:4">
      <c r="A2" s="5"/>
      <c r="B2" s="5"/>
      <c r="C2" s="5"/>
      <c r="D2" s="5"/>
    </row>
    <row r="4" spans="1:4">
      <c r="A4" s="10" t="s">
        <v>64</v>
      </c>
      <c r="B4" s="10" t="s">
        <v>65</v>
      </c>
      <c r="C4" s="10" t="s">
        <v>66</v>
      </c>
      <c r="D4" s="10" t="s">
        <v>67</v>
      </c>
    </row>
    <row r="5" spans="1:4">
      <c r="A5" s="11" t="s">
        <v>68</v>
      </c>
      <c r="B5" s="14">
        <v>0.88367704382831902</v>
      </c>
      <c r="C5" s="13" t="s">
        <v>69</v>
      </c>
      <c r="D5" s="13" t="s">
        <v>70</v>
      </c>
    </row>
    <row r="6" spans="1:4">
      <c r="A6" s="11" t="s">
        <v>71</v>
      </c>
      <c r="B6" s="14">
        <v>140.51654209522982</v>
      </c>
      <c r="C6" s="13" t="s">
        <v>72</v>
      </c>
      <c r="D6" s="13" t="s">
        <v>73</v>
      </c>
    </row>
    <row r="7" spans="1:4">
      <c r="A7" s="11" t="s">
        <v>74</v>
      </c>
      <c r="B7" s="14">
        <v>3.3027299970825346E-25</v>
      </c>
      <c r="C7" s="13" t="s">
        <v>72</v>
      </c>
      <c r="D7" s="13" t="s">
        <v>75</v>
      </c>
    </row>
    <row r="8" spans="1:4" ht="27.6">
      <c r="A8" s="11" t="s">
        <v>76</v>
      </c>
      <c r="B8" s="14">
        <v>0.99084967320261441</v>
      </c>
      <c r="C8" s="13" t="s">
        <v>77</v>
      </c>
      <c r="D8" s="13" t="s">
        <v>78</v>
      </c>
    </row>
  </sheetData>
  <mergeCells count="1">
    <mergeCell ref="A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workbookViewId="0">
      <selection activeCell="E27" sqref="E27"/>
    </sheetView>
  </sheetViews>
  <sheetFormatPr baseColWidth="10" defaultColWidth="8.796875" defaultRowHeight="13.8"/>
  <cols>
    <col min="1" max="7" width="18" customWidth="1"/>
  </cols>
  <sheetData>
    <row r="1" spans="1:7">
      <c r="A1" s="5" t="s">
        <v>79</v>
      </c>
      <c r="B1" s="5"/>
      <c r="C1" s="5"/>
      <c r="D1" s="5"/>
      <c r="E1" s="5"/>
      <c r="F1" s="5"/>
      <c r="G1" s="5"/>
    </row>
    <row r="2" spans="1:7">
      <c r="A2" s="5"/>
      <c r="B2" s="5"/>
      <c r="C2" s="5"/>
      <c r="D2" s="5"/>
      <c r="E2" s="5"/>
      <c r="F2" s="5"/>
      <c r="G2" s="5"/>
    </row>
    <row r="4" spans="1:7">
      <c r="A4" s="10" t="s">
        <v>80</v>
      </c>
      <c r="B4" s="10" t="s">
        <v>81</v>
      </c>
      <c r="C4" s="10" t="s">
        <v>82</v>
      </c>
      <c r="D4" s="10" t="s">
        <v>83</v>
      </c>
    </row>
    <row r="5" spans="1:7">
      <c r="A5" s="13">
        <v>1</v>
      </c>
      <c r="B5" s="12">
        <v>5.0165495482415228</v>
      </c>
      <c r="C5" s="12">
        <v>94.429167966899215</v>
      </c>
      <c r="D5" s="12">
        <v>94.429167966899215</v>
      </c>
    </row>
    <row r="6" spans="1:7">
      <c r="A6" s="13">
        <v>2</v>
      </c>
      <c r="B6" s="12">
        <v>0.1537083061314575</v>
      </c>
      <c r="C6" s="12">
        <v>2.8933328212980225</v>
      </c>
      <c r="D6" s="12">
        <v>97.322500788197246</v>
      </c>
    </row>
    <row r="7" spans="1:7">
      <c r="A7" s="13">
        <v>3</v>
      </c>
      <c r="B7" s="12">
        <v>8.1189219223974152E-2</v>
      </c>
      <c r="C7" s="12">
        <v>1.5282676559806894</v>
      </c>
      <c r="D7" s="12">
        <v>98.85076844417793</v>
      </c>
    </row>
    <row r="8" spans="1:7">
      <c r="A8" s="13">
        <v>4</v>
      </c>
      <c r="B8" s="12">
        <v>4.7238357773047662E-2</v>
      </c>
      <c r="C8" s="12">
        <v>0.8891926169044263</v>
      </c>
      <c r="D8" s="12">
        <v>99.739961061082354</v>
      </c>
    </row>
    <row r="9" spans="1:7">
      <c r="A9" s="13">
        <v>5</v>
      </c>
      <c r="B9" s="12">
        <v>1.3814568629999259E-2</v>
      </c>
      <c r="C9" s="12">
        <v>0.26003893891763302</v>
      </c>
      <c r="D9" s="12">
        <v>99.999999999999972</v>
      </c>
    </row>
    <row r="12" spans="1:7">
      <c r="A12" s="10" t="s">
        <v>49</v>
      </c>
      <c r="B12" s="10" t="s">
        <v>21</v>
      </c>
      <c r="C12" s="10" t="s">
        <v>22</v>
      </c>
      <c r="D12" s="10" t="s">
        <v>84</v>
      </c>
      <c r="E12" s="10" t="s">
        <v>85</v>
      </c>
      <c r="F12" s="10" t="s">
        <v>86</v>
      </c>
    </row>
    <row r="13" spans="1:7">
      <c r="A13" s="11" t="s">
        <v>14</v>
      </c>
      <c r="B13" s="12">
        <v>-1.0094502112069341</v>
      </c>
      <c r="C13" s="12">
        <v>-5.5965441631940019E-2</v>
      </c>
      <c r="D13" s="12">
        <v>-0.13559264639807159</v>
      </c>
      <c r="E13" s="12">
        <v>-0.14263040575184607</v>
      </c>
      <c r="F13" s="12">
        <v>4.0612092226955054E-2</v>
      </c>
    </row>
    <row r="14" spans="1:7">
      <c r="A14" s="11" t="s">
        <v>15</v>
      </c>
      <c r="B14" s="12">
        <v>-1.0100261087545823</v>
      </c>
      <c r="C14" s="12">
        <v>1.1295171517290615E-2</v>
      </c>
      <c r="D14" s="12">
        <v>-0.12419572816798154</v>
      </c>
      <c r="E14" s="12">
        <v>0.16137381083210209</v>
      </c>
      <c r="F14" s="12">
        <v>2.7451648708644638E-2</v>
      </c>
    </row>
    <row r="15" spans="1:7">
      <c r="A15" s="11" t="s">
        <v>16</v>
      </c>
      <c r="B15" s="12">
        <v>-0.97428599589755305</v>
      </c>
      <c r="C15" s="12">
        <v>0.31941218876602889</v>
      </c>
      <c r="D15" s="12">
        <v>0.10323548043983999</v>
      </c>
      <c r="E15" s="12">
        <v>-2.2786270982051486E-2</v>
      </c>
      <c r="F15" s="12">
        <v>8.1162367324867507E-3</v>
      </c>
    </row>
    <row r="16" spans="1:7">
      <c r="A16" s="11" t="s">
        <v>17</v>
      </c>
      <c r="B16" s="12">
        <v>-0.98987029491962564</v>
      </c>
      <c r="C16" s="12">
        <v>-0.21343864600585163</v>
      </c>
      <c r="D16" s="12">
        <v>0.18990649975834595</v>
      </c>
      <c r="E16" s="12">
        <v>1.4599789963190671E-2</v>
      </c>
      <c r="F16" s="12">
        <v>2.8689913026839722E-2</v>
      </c>
    </row>
    <row r="17" spans="1:6">
      <c r="A17" s="11" t="s">
        <v>19</v>
      </c>
      <c r="B17" s="12">
        <v>1.0238802060805392</v>
      </c>
      <c r="C17" s="12">
        <v>5.3557377023879728E-2</v>
      </c>
      <c r="D17" s="12">
        <v>2.5636526665196752E-2</v>
      </c>
      <c r="E17" s="12">
        <v>1.1002285826118214E-2</v>
      </c>
      <c r="F17" s="12">
        <v>0.10257996475891543</v>
      </c>
    </row>
  </sheetData>
  <mergeCells count="1">
    <mergeCell ref="A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>
      <selection activeCell="D21" sqref="D21"/>
    </sheetView>
  </sheetViews>
  <sheetFormatPr baseColWidth="10" defaultColWidth="8.796875" defaultRowHeight="13.8"/>
  <cols>
    <col min="1" max="5" width="20" customWidth="1"/>
  </cols>
  <sheetData>
    <row r="1" spans="1:5">
      <c r="A1" s="5" t="s">
        <v>87</v>
      </c>
      <c r="B1" s="5"/>
      <c r="C1" s="5"/>
      <c r="D1" s="5"/>
      <c r="E1" s="5"/>
    </row>
    <row r="2" spans="1:5">
      <c r="A2" s="5"/>
      <c r="B2" s="5"/>
      <c r="C2" s="5"/>
      <c r="D2" s="5"/>
      <c r="E2" s="5"/>
    </row>
    <row r="4" spans="1:5">
      <c r="A4" s="10" t="s">
        <v>88</v>
      </c>
      <c r="B4" s="10" t="s">
        <v>89</v>
      </c>
      <c r="C4" s="10" t="s">
        <v>90</v>
      </c>
      <c r="D4" s="10" t="s">
        <v>91</v>
      </c>
      <c r="E4" s="10" t="s">
        <v>92</v>
      </c>
    </row>
    <row r="5" spans="1:5">
      <c r="A5" s="13">
        <v>2</v>
      </c>
      <c r="B5" s="12">
        <v>0.60671520015191205</v>
      </c>
      <c r="C5" s="12">
        <v>0.50340520715999848</v>
      </c>
      <c r="D5" s="12">
        <v>48.199315148883507</v>
      </c>
      <c r="E5" s="12">
        <v>20.174269246373701</v>
      </c>
    </row>
    <row r="6" spans="1:5">
      <c r="A6" s="13">
        <v>3</v>
      </c>
      <c r="B6" s="12">
        <v>0.51241608630504321</v>
      </c>
      <c r="C6" s="12">
        <v>0.5948064659092468</v>
      </c>
      <c r="D6" s="12">
        <v>51.783959561204902</v>
      </c>
      <c r="E6" s="12">
        <v>10.121808813856704</v>
      </c>
    </row>
    <row r="7" spans="1:5">
      <c r="A7" s="13">
        <v>4</v>
      </c>
      <c r="B7" s="12">
        <v>0.47372200547891752</v>
      </c>
      <c r="C7" s="12">
        <v>0.56443706873115662</v>
      </c>
      <c r="D7" s="12">
        <v>53.376098469058114</v>
      </c>
      <c r="E7" s="12">
        <v>6.3825499893081554</v>
      </c>
    </row>
    <row r="8" spans="1:5">
      <c r="A8" s="13">
        <v>5</v>
      </c>
      <c r="B8" s="12">
        <v>0.42311486487429784</v>
      </c>
      <c r="C8" s="12">
        <v>0.61829399663455531</v>
      </c>
      <c r="D8" s="12">
        <v>53.42046810786757</v>
      </c>
      <c r="E8" s="12">
        <v>4.5196363758003182</v>
      </c>
    </row>
    <row r="9" spans="1:5">
      <c r="A9" s="13">
        <v>6</v>
      </c>
      <c r="B9" s="12">
        <v>0.45877883012088599</v>
      </c>
      <c r="C9" s="12">
        <v>0.47678138946926851</v>
      </c>
      <c r="D9" s="12">
        <v>52.446576869189386</v>
      </c>
      <c r="E9" s="12">
        <v>3.4219892756985035</v>
      </c>
    </row>
    <row r="12" spans="1:5">
      <c r="A12" s="8" t="s">
        <v>93</v>
      </c>
      <c r="B12" s="8"/>
      <c r="C12" s="8"/>
      <c r="D12" s="8"/>
      <c r="E12" s="8"/>
    </row>
    <row r="13" spans="1:5">
      <c r="A13" s="8"/>
      <c r="B13" s="8"/>
      <c r="C13" s="8"/>
      <c r="D13" s="8"/>
      <c r="E13" s="8"/>
    </row>
    <row r="14" spans="1:5">
      <c r="A14" s="8"/>
      <c r="B14" s="8"/>
      <c r="C14" s="8"/>
      <c r="D14" s="8"/>
      <c r="E14" s="8"/>
    </row>
    <row r="15" spans="1:5">
      <c r="A15" s="8"/>
      <c r="B15" s="8"/>
      <c r="C15" s="8"/>
      <c r="D15" s="8"/>
      <c r="E15" s="8"/>
    </row>
  </sheetData>
  <mergeCells count="2">
    <mergeCell ref="A1:E2"/>
    <mergeCell ref="A12:E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>
      <selection activeCell="C16" sqref="C16"/>
    </sheetView>
  </sheetViews>
  <sheetFormatPr baseColWidth="10" defaultColWidth="8.796875" defaultRowHeight="13.8"/>
  <cols>
    <col min="1" max="1" width="30" customWidth="1"/>
    <col min="2" max="4" width="22" customWidth="1"/>
  </cols>
  <sheetData>
    <row r="1" spans="1:4">
      <c r="A1" s="5" t="s">
        <v>94</v>
      </c>
      <c r="B1" s="5"/>
      <c r="C1" s="5"/>
      <c r="D1" s="5"/>
    </row>
    <row r="2" spans="1:4">
      <c r="A2" s="5"/>
      <c r="B2" s="5"/>
      <c r="C2" s="5"/>
      <c r="D2" s="5"/>
    </row>
    <row r="4" spans="1:4">
      <c r="A4" s="1" t="s">
        <v>95</v>
      </c>
      <c r="B4" s="1" t="s">
        <v>96</v>
      </c>
      <c r="C4" s="1" t="s">
        <v>97</v>
      </c>
      <c r="D4" s="1" t="s">
        <v>98</v>
      </c>
    </row>
    <row r="5" spans="1:4">
      <c r="A5" s="2" t="s">
        <v>99</v>
      </c>
      <c r="B5" s="3">
        <v>1</v>
      </c>
      <c r="C5" s="3">
        <v>1</v>
      </c>
      <c r="D5" s="2" t="s">
        <v>100</v>
      </c>
    </row>
    <row r="6" spans="1:4" ht="27.6">
      <c r="A6" s="2" t="s">
        <v>101</v>
      </c>
      <c r="B6" s="3">
        <v>0.54054054054054057</v>
      </c>
      <c r="C6" s="3">
        <v>0.73495702902347149</v>
      </c>
      <c r="D6" s="2" t="s">
        <v>102</v>
      </c>
    </row>
    <row r="10" spans="1:4">
      <c r="A10" s="10" t="s">
        <v>64</v>
      </c>
      <c r="B10" s="10" t="s">
        <v>65</v>
      </c>
    </row>
    <row r="11" spans="1:4">
      <c r="A11" s="11" t="s">
        <v>103</v>
      </c>
      <c r="B11" s="12">
        <v>0.84779951251379215</v>
      </c>
    </row>
    <row r="12" spans="1:4">
      <c r="A12" s="11" t="s">
        <v>104</v>
      </c>
      <c r="B12" s="12">
        <v>0.87469287469287471</v>
      </c>
    </row>
    <row r="13" spans="1:4">
      <c r="A13" s="11" t="s">
        <v>105</v>
      </c>
      <c r="B13" s="12">
        <v>0.54054054054054057</v>
      </c>
    </row>
    <row r="14" spans="1:4">
      <c r="A14" s="11" t="s">
        <v>106</v>
      </c>
      <c r="B14" s="12">
        <v>1</v>
      </c>
    </row>
  </sheetData>
  <mergeCells count="1">
    <mergeCell ref="A1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workbookViewId="0">
      <selection sqref="A1:I2"/>
    </sheetView>
  </sheetViews>
  <sheetFormatPr baseColWidth="10" defaultColWidth="8.796875" defaultRowHeight="13.8"/>
  <cols>
    <col min="1" max="2" width="12" customWidth="1"/>
    <col min="3" max="8" width="18" customWidth="1"/>
    <col min="9" max="9" width="55" customWidth="1"/>
  </cols>
  <sheetData>
    <row r="1" spans="1:9">
      <c r="A1" s="5" t="s">
        <v>107</v>
      </c>
      <c r="B1" s="5"/>
      <c r="C1" s="5"/>
      <c r="D1" s="5"/>
      <c r="E1" s="5"/>
      <c r="F1" s="5"/>
      <c r="G1" s="5"/>
      <c r="H1" s="5"/>
      <c r="I1" s="5"/>
    </row>
    <row r="2" spans="1:9">
      <c r="A2" s="5"/>
      <c r="B2" s="5"/>
      <c r="C2" s="5"/>
      <c r="D2" s="5"/>
      <c r="E2" s="5"/>
      <c r="F2" s="5"/>
      <c r="G2" s="5"/>
      <c r="H2" s="5"/>
      <c r="I2" s="5"/>
    </row>
    <row r="4" spans="1:9">
      <c r="A4" s="1" t="s">
        <v>108</v>
      </c>
      <c r="B4" s="1" t="s">
        <v>109</v>
      </c>
      <c r="C4" s="1" t="s">
        <v>110</v>
      </c>
      <c r="D4" s="1" t="s">
        <v>111</v>
      </c>
      <c r="E4" s="1" t="s">
        <v>112</v>
      </c>
      <c r="F4" s="1" t="s">
        <v>113</v>
      </c>
      <c r="G4" s="1" t="s">
        <v>114</v>
      </c>
      <c r="H4" s="1" t="s">
        <v>115</v>
      </c>
    </row>
    <row r="5" spans="1:9" ht="55.2">
      <c r="A5" s="2">
        <v>1</v>
      </c>
      <c r="B5" s="2">
        <v>2</v>
      </c>
      <c r="C5" s="2" t="s">
        <v>116</v>
      </c>
      <c r="D5" s="3">
        <v>4.21</v>
      </c>
      <c r="E5" s="3">
        <v>17.864999999999998</v>
      </c>
      <c r="F5" s="3">
        <v>0.89999999999999991</v>
      </c>
      <c r="G5" s="3">
        <v>0.96499999999999997</v>
      </c>
      <c r="H5" s="3">
        <v>0.45999999999999996</v>
      </c>
    </row>
    <row r="6" spans="1:9" ht="138">
      <c r="A6" s="2">
        <v>2</v>
      </c>
      <c r="B6" s="2">
        <v>6</v>
      </c>
      <c r="C6" s="2" t="s">
        <v>117</v>
      </c>
      <c r="D6" s="3">
        <v>2.4</v>
      </c>
      <c r="E6" s="3">
        <v>7.8350000000000009</v>
      </c>
      <c r="F6" s="3">
        <v>0.34333333333333332</v>
      </c>
      <c r="G6" s="3">
        <v>0.93833333333333335</v>
      </c>
      <c r="H6" s="3">
        <v>0.64666666666666661</v>
      </c>
    </row>
    <row r="7" spans="1:9" ht="96.6">
      <c r="A7" s="2">
        <v>3</v>
      </c>
      <c r="B7" s="2">
        <v>4</v>
      </c>
      <c r="C7" s="2" t="s">
        <v>118</v>
      </c>
      <c r="D7" s="3">
        <v>0.62999999999999989</v>
      </c>
      <c r="E7" s="3">
        <v>2.4549999999999996</v>
      </c>
      <c r="F7" s="3">
        <v>7.1250000000000008E-2</v>
      </c>
      <c r="G7" s="3">
        <v>0.89</v>
      </c>
      <c r="H7" s="3">
        <v>0.86249999999999993</v>
      </c>
    </row>
    <row r="8" spans="1:9" ht="110.4">
      <c r="A8" s="2">
        <v>4</v>
      </c>
      <c r="B8" s="2">
        <v>5</v>
      </c>
      <c r="C8" s="2" t="s">
        <v>119</v>
      </c>
      <c r="D8" s="3">
        <v>6.5140000000000002</v>
      </c>
      <c r="E8" s="3">
        <v>25.246000000000002</v>
      </c>
      <c r="F8" s="3">
        <v>1.42</v>
      </c>
      <c r="G8" s="3">
        <v>0.98599999999999999</v>
      </c>
      <c r="H8" s="3">
        <v>0.19</v>
      </c>
    </row>
  </sheetData>
  <mergeCells count="1">
    <mergeCell ref="A1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6"/>
  <sheetViews>
    <sheetView workbookViewId="0">
      <selection activeCell="G36" sqref="G36"/>
    </sheetView>
  </sheetViews>
  <sheetFormatPr baseColWidth="10" defaultColWidth="8.796875" defaultRowHeight="13.8"/>
  <cols>
    <col min="1" max="10" width="16" customWidth="1"/>
  </cols>
  <sheetData>
    <row r="1" spans="1:10">
      <c r="A1" s="5" t="s">
        <v>120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>
      <c r="A4" s="6" t="s">
        <v>121</v>
      </c>
      <c r="B4" s="6"/>
      <c r="C4" s="6"/>
      <c r="D4" s="6"/>
      <c r="E4" s="6"/>
      <c r="F4" s="6"/>
      <c r="G4" s="6"/>
      <c r="H4" s="6"/>
      <c r="I4" s="6"/>
      <c r="J4" s="6"/>
    </row>
    <row r="5" spans="1:10">
      <c r="A5" s="9" t="s">
        <v>122</v>
      </c>
      <c r="B5" s="9"/>
      <c r="C5" s="9"/>
      <c r="D5" s="9"/>
      <c r="E5" s="9"/>
      <c r="F5" s="9"/>
      <c r="G5" s="9"/>
      <c r="H5" s="9"/>
      <c r="I5" s="9"/>
      <c r="J5" s="9"/>
    </row>
    <row r="6" spans="1:10">
      <c r="A6" s="9"/>
      <c r="B6" s="9"/>
      <c r="C6" s="9"/>
      <c r="D6" s="9"/>
      <c r="E6" s="9"/>
      <c r="F6" s="9"/>
      <c r="G6" s="9"/>
      <c r="H6" s="9"/>
      <c r="I6" s="9"/>
      <c r="J6" s="9"/>
    </row>
    <row r="8" spans="1:10">
      <c r="A8" s="6" t="s">
        <v>123</v>
      </c>
      <c r="B8" s="6"/>
      <c r="C8" s="6"/>
      <c r="D8" s="6"/>
      <c r="E8" s="6"/>
      <c r="F8" s="6"/>
      <c r="G8" s="6"/>
      <c r="H8" s="6"/>
      <c r="I8" s="6"/>
      <c r="J8" s="6"/>
    </row>
    <row r="9" spans="1:10">
      <c r="A9" s="9" t="s">
        <v>124</v>
      </c>
      <c r="B9" s="9"/>
      <c r="C9" s="9"/>
      <c r="D9" s="9"/>
      <c r="E9" s="9"/>
      <c r="F9" s="9"/>
      <c r="G9" s="9"/>
      <c r="H9" s="9"/>
      <c r="I9" s="9"/>
      <c r="J9" s="9"/>
    </row>
    <row r="10" spans="1:10">
      <c r="A10" s="9"/>
      <c r="B10" s="9"/>
      <c r="C10" s="9"/>
      <c r="D10" s="9"/>
      <c r="E10" s="9"/>
      <c r="F10" s="9"/>
      <c r="G10" s="9"/>
      <c r="H10" s="9"/>
      <c r="I10" s="9"/>
      <c r="J10" s="9"/>
    </row>
    <row r="12" spans="1:10">
      <c r="A12" s="6" t="s">
        <v>125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9" t="s">
        <v>126</v>
      </c>
      <c r="B13" s="9"/>
      <c r="C13" s="9"/>
      <c r="D13" s="9"/>
      <c r="E13" s="9"/>
      <c r="F13" s="9"/>
      <c r="G13" s="9"/>
      <c r="H13" s="9"/>
      <c r="I13" s="9"/>
      <c r="J13" s="9"/>
    </row>
    <row r="14" spans="1:10">
      <c r="A14" s="9"/>
      <c r="B14" s="9"/>
      <c r="C14" s="9"/>
      <c r="D14" s="9"/>
      <c r="E14" s="9"/>
      <c r="F14" s="9"/>
      <c r="G14" s="9"/>
      <c r="H14" s="9"/>
      <c r="I14" s="9"/>
      <c r="J14" s="9"/>
    </row>
    <row r="16" spans="1:10">
      <c r="A16" s="6" t="s">
        <v>127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9" t="s">
        <v>128</v>
      </c>
      <c r="B17" s="9"/>
      <c r="C17" s="9"/>
      <c r="D17" s="9"/>
      <c r="E17" s="9"/>
      <c r="F17" s="9"/>
      <c r="G17" s="9"/>
      <c r="H17" s="9"/>
      <c r="I17" s="9"/>
      <c r="J17" s="9"/>
    </row>
    <row r="18" spans="1:10">
      <c r="A18" s="9"/>
      <c r="B18" s="9"/>
      <c r="C18" s="9"/>
      <c r="D18" s="9"/>
      <c r="E18" s="9"/>
      <c r="F18" s="9"/>
      <c r="G18" s="9"/>
      <c r="H18" s="9"/>
      <c r="I18" s="9"/>
      <c r="J18" s="9"/>
    </row>
    <row r="20" spans="1:10">
      <c r="A20" s="6" t="s">
        <v>129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9" t="s">
        <v>130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>
      <c r="A22" s="9"/>
      <c r="B22" s="9"/>
      <c r="C22" s="9"/>
      <c r="D22" s="9"/>
      <c r="E22" s="9"/>
      <c r="F22" s="9"/>
      <c r="G22" s="9"/>
      <c r="H22" s="9"/>
      <c r="I22" s="9"/>
      <c r="J22" s="9"/>
    </row>
    <row r="24" spans="1:10">
      <c r="A24" s="6" t="s">
        <v>131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>
      <c r="A25" s="9" t="s">
        <v>132</v>
      </c>
      <c r="B25" s="9"/>
      <c r="C25" s="9"/>
      <c r="D25" s="9"/>
      <c r="E25" s="9"/>
      <c r="F25" s="9"/>
      <c r="G25" s="9"/>
      <c r="H25" s="9"/>
      <c r="I25" s="9"/>
      <c r="J25" s="9"/>
    </row>
    <row r="26" spans="1:10">
      <c r="A26" s="9"/>
      <c r="B26" s="9"/>
      <c r="C26" s="9"/>
      <c r="D26" s="9"/>
      <c r="E26" s="9"/>
      <c r="F26" s="9"/>
      <c r="G26" s="9"/>
      <c r="H26" s="9"/>
      <c r="I26" s="9"/>
      <c r="J26" s="9"/>
    </row>
  </sheetData>
  <mergeCells count="13">
    <mergeCell ref="A21:J22"/>
    <mergeCell ref="A24:J24"/>
    <mergeCell ref="A25:J26"/>
    <mergeCell ref="A12:J12"/>
    <mergeCell ref="A13:J14"/>
    <mergeCell ref="A16:J16"/>
    <mergeCell ref="A17:J18"/>
    <mergeCell ref="A20:J20"/>
    <mergeCell ref="A1:J2"/>
    <mergeCell ref="A4:J4"/>
    <mergeCell ref="A5:J6"/>
    <mergeCell ref="A8:J8"/>
    <mergeCell ref="A9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Base características</vt:lpstr>
      <vt:lpstr>Descriptivos</vt:lpstr>
      <vt:lpstr>Correlaciones</vt:lpstr>
      <vt:lpstr>Adecuación PCA</vt:lpstr>
      <vt:lpstr>PCA</vt:lpstr>
      <vt:lpstr>Selección de k</vt:lpstr>
      <vt:lpstr>Robustez</vt:lpstr>
      <vt:lpstr>Perfiles tipologías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Segundo Cohen Manrique</cp:lastModifiedBy>
  <dcterms:modified xsi:type="dcterms:W3CDTF">2026-07-21T04:13:47Z</dcterms:modified>
</cp:coreProperties>
</file>
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13_ncr:1_{7055A8F5-75EA-455A-BC16-864D77F30B59}" xr6:coauthVersionLast="47" xr6:coauthVersionMax="47" xr10:uidLastSave="{00000000-0000-0000-0000-000000000000}"/>
  <bookViews>
    <workbookView xWindow="28680" yWindow="-120" windowWidth="29040" windowHeight="15720" firstSheet="2" activeTab="8" xr2:uid="{00000000-000D-0000-FFFF-FFFF00000000}"/>
  </bookViews>
  <sheets>
    <sheet name="Portada" sheetId="1" r:id="rId1"/>
    <sheet name="Base analítica" sheetId="2" r:id="rId2"/>
    <sheet name="Descriptivos periodo" sheetId="3" r:id="rId3"/>
    <sheet name="Análisis por zonas" sheetId="4" r:id="rId4"/>
    <sheet name="Pruebas temporales" sheetId="5" r:id="rId5"/>
    <sheet name="PCA" sheetId="6" r:id="rId6"/>
    <sheet name="tSNE y clustering" sheetId="7" r:id="rId7"/>
    <sheet name="Perfiles clúster" sheetId="8" r:id="rId8"/>
    <sheet name="Matriz similitud" sheetId="9" r:id="rId9"/>
    <sheet name="Cambios y riesgo" sheetId="10" r:id="rId10"/>
    <sheet name="Texto para tesis" sheetId="11" r:id="rId11"/>
    <sheet name="Metodología" sheetId="12" r:id="rId12"/>
  </sheets>
  <calcPr calcId="0"/>
</workbook>
</file>

<file path=xl/sharedStrings.xml><?xml version="1.0" encoding="utf-8"?>
<sst xmlns="http://schemas.openxmlformats.org/spreadsheetml/2006/main" count="460" uniqueCount="190">
  <si>
    <t>ANEXO 7. ANÁLISIS ESPACIO-TEMPORAL PROFUNDO DE GRADIENTES</t>
  </si>
  <si>
    <t>Gradientes hidrodinámicos, heterogeneidad, PCA, t-SNE y clustering</t>
  </si>
  <si>
    <t>Propósito</t>
  </si>
  <si>
    <t>Sustentar cuantitativamente la diferenciación espacial y temporal descrita en la tesis.</t>
  </si>
  <si>
    <t>Cobertura</t>
  </si>
  <si>
    <t>17 pozos y tres periodos quinquenales: 2010–2015, 2015–2020 y 2020–2025.</t>
  </si>
  <si>
    <t>Convención</t>
  </si>
  <si>
    <t>Gradiente positivo: profundización del nivel estático y descenso piezométrico. Gradiente negativo: recuperación relativa.</t>
  </si>
  <si>
    <t>Zonificación exploratoria</t>
  </si>
  <si>
    <t>Norte: Ovejas; Centro: Morroa–Corozal–Los Palmitos; Sur: Sampués.</t>
  </si>
  <si>
    <t>Análisis</t>
  </si>
  <si>
    <t>Descriptivos robustos, Friedman, Wilcoxon, Kruskal–Wallis, PCA, t-SNE, K-means, jerárquico, KDE y similitud.</t>
  </si>
  <si>
    <t>Limitación</t>
  </si>
  <si>
    <t>No se estimaron Moran I, Geary C, Getis-Ord ni variogramas porque el archivo no contiene coordenadas completas de los 17 pozos.</t>
  </si>
  <si>
    <t>La zonificación se utiliza como aproximación regional. No reemplaza un análisis espacial georreferenciado basado en coordenadas y matriz de pesos espaciales.</t>
  </si>
  <si>
    <t>Base consolidada de gradientes y atributos hidrodinámicos</t>
  </si>
  <si>
    <t>Pozo</t>
  </si>
  <si>
    <t>Zona</t>
  </si>
  <si>
    <t>Gradiente 2010-2015</t>
  </si>
  <si>
    <t>Gradiente 2015-2020</t>
  </si>
  <si>
    <t>Gradiente 2020-2025</t>
  </si>
  <si>
    <t>Cambio G2-G1</t>
  </si>
  <si>
    <t>Cambio G3-G2</t>
  </si>
  <si>
    <t>Cambio total (m)</t>
  </si>
  <si>
    <t>Nivel medio (m)</t>
  </si>
  <si>
    <t>DE nivel (m)</t>
  </si>
  <si>
    <t>Nivel mínimo (m)</t>
  </si>
  <si>
    <t>Nivel máximo (m)</t>
  </si>
  <si>
    <t>Rango nivel (m)</t>
  </si>
  <si>
    <t>Estado 2020-2025</t>
  </si>
  <si>
    <t>PC1</t>
  </si>
  <si>
    <t>PC2</t>
  </si>
  <si>
    <t>PC3</t>
  </si>
  <si>
    <t>tSNE1</t>
  </si>
  <si>
    <t>tSNE2</t>
  </si>
  <si>
    <t>Cluster KMeans</t>
  </si>
  <si>
    <t>Cluster Jerárquico</t>
  </si>
  <si>
    <t>Concordancia clustering</t>
  </si>
  <si>
    <t>Densidad KDE PCA</t>
  </si>
  <si>
    <t>Sampues - # 52-II-C-PZ-01</t>
  </si>
  <si>
    <t>Sur</t>
  </si>
  <si>
    <t>Descenso acelerado</t>
  </si>
  <si>
    <t>Finca el socorro (Ovejas) - # 44-II-D-PO-02</t>
  </si>
  <si>
    <t>Norte</t>
  </si>
  <si>
    <t>Descenso moderado</t>
  </si>
  <si>
    <t>Ovejas - # 44-II-D-PO-14</t>
  </si>
  <si>
    <t>Los Palmitos - # 44-IV-B-PZ-01 Piñal</t>
  </si>
  <si>
    <t>Centro</t>
  </si>
  <si>
    <t>Recuperación / reducción</t>
  </si>
  <si>
    <t>Morroa (Bremen) - # 44-IV-C-PZ-01 A</t>
  </si>
  <si>
    <t>Estable o leve descenso</t>
  </si>
  <si>
    <t>Bremen - # 44-IV-C-PZ-01 B</t>
  </si>
  <si>
    <t>Las Tinas (Morroa) - # 44-IV-C-PZ-02 A</t>
  </si>
  <si>
    <t>Las Tinas (Morroa) - # 44-IV-C-PZ-02 B</t>
  </si>
  <si>
    <t>Arroyo salida a Betulia (Corozal) - # 44-IV-D-PZ-01 A</t>
  </si>
  <si>
    <t>Arroyo salida a Betulia (Corozal) - # 44-IV-D-PZ-01 B</t>
  </si>
  <si>
    <t>Sabanas de cali (El Tesoro) - # 44-IV-D-PZ-02</t>
  </si>
  <si>
    <t>Finca el tesoro - # 44-IV-D-PZ-04</t>
  </si>
  <si>
    <t>Basurero Viejo, Pileta (Corozal) - # 52-II-B-PZ-01 A</t>
  </si>
  <si>
    <t>Corozal - # 44-IV-D-PO-14</t>
  </si>
  <si>
    <t>Corozal - # 44-IV-D-PZ-20</t>
  </si>
  <si>
    <t>Corozal - # 44-IV-D-PZ-22</t>
  </si>
  <si>
    <t>Cantagallo - # 52-II-A-PZ-01 Corozal</t>
  </si>
  <si>
    <t>Evolución de la heterogeneidad de los gradientes</t>
  </si>
  <si>
    <t>Periodo</t>
  </si>
  <si>
    <t>N</t>
  </si>
  <si>
    <t>Media</t>
  </si>
  <si>
    <t>Mediana</t>
  </si>
  <si>
    <t>DE</t>
  </si>
  <si>
    <t>CV (%)</t>
  </si>
  <si>
    <t>Mínimo</t>
  </si>
  <si>
    <t>P25</t>
  </si>
  <si>
    <t>P75</t>
  </si>
  <si>
    <t>Máximo</t>
  </si>
  <si>
    <t>IQR</t>
  </si>
  <si>
    <t>Asimetría</t>
  </si>
  <si>
    <t>Curtosis exceso</t>
  </si>
  <si>
    <t>Proporción negativa (%)</t>
  </si>
  <si>
    <t>Proporción &gt;0,75 (%)</t>
  </si>
  <si>
    <t>2010-2015</t>
  </si>
  <si>
    <t>2015-2020</t>
  </si>
  <si>
    <t>2020-2025</t>
  </si>
  <si>
    <t>Comparación regional norte–centro–sur</t>
  </si>
  <si>
    <t>Kruskal H</t>
  </si>
  <si>
    <t>p</t>
  </si>
  <si>
    <t>Interpretación</t>
  </si>
  <si>
    <t>Sin evidencia suficiente de diferencias zonales</t>
  </si>
  <si>
    <t>Pruebas pareadas de evolución temporal</t>
  </si>
  <si>
    <t>Comparación</t>
  </si>
  <si>
    <t>Estadístico</t>
  </si>
  <si>
    <t>Resultado</t>
  </si>
  <si>
    <t>Tres periodos (Friedman)</t>
  </si>
  <si>
    <t>Sin evidencia suficiente de cambio global</t>
  </si>
  <si>
    <t>2010-2015 vs 2015-2020</t>
  </si>
  <si>
    <t>No significativa</t>
  </si>
  <si>
    <t>2015-2020 vs 2020-2025</t>
  </si>
  <si>
    <t>2010-2015 vs 2020-2025</t>
  </si>
  <si>
    <t>Análisis de Componentes Principales</t>
  </si>
  <si>
    <t>Componente</t>
  </si>
  <si>
    <t>Varianza explicada (%)</t>
  </si>
  <si>
    <t>Acumulada (%)</t>
  </si>
  <si>
    <t>Autovalor</t>
  </si>
  <si>
    <t>Variable</t>
  </si>
  <si>
    <t>Carga PC1</t>
  </si>
  <si>
    <t>Carga PC2</t>
  </si>
  <si>
    <t>Carga PC3</t>
  </si>
  <si>
    <t>Cluster</t>
  </si>
  <si>
    <t>Estructura de agrupación en espacios reducidos</t>
  </si>
  <si>
    <t>Método</t>
  </si>
  <si>
    <t>k</t>
  </si>
  <si>
    <t>Silhouette</t>
  </si>
  <si>
    <t>Davies-Bouldin</t>
  </si>
  <si>
    <t>Calinski-Harabasz</t>
  </si>
  <si>
    <t>k óptimo según Silhouette: 4</t>
  </si>
  <si>
    <t>K-means</t>
  </si>
  <si>
    <t>Perfil hidrodinámico de los conglomerados</t>
  </si>
  <si>
    <t>Media Gradiente 2010-2015</t>
  </si>
  <si>
    <t>Media Gradiente 2015-2020</t>
  </si>
  <si>
    <t>Media Gradiente 2020-2025</t>
  </si>
  <si>
    <t>Media Cambio total (m)</t>
  </si>
  <si>
    <t>Media Nivel medio (m)</t>
  </si>
  <si>
    <t>Media DE nivel (m)</t>
  </si>
  <si>
    <t>Media Rango nivel (m)</t>
  </si>
  <si>
    <t>Pozos</t>
  </si>
  <si>
    <t>Sampues - # 52-II-C-PZ-01; Las Tinas (Morroa) - # 44-IV-C-PZ-02 A; Arroyo salida a Betulia (Corozal) - # 44-IV-D-PZ-01 A; Finca el tesoro - # 44-IV-D-PZ-04; Basurero Viejo, Pileta (Corozal) - # 52-II-B-PZ-01 A; Cantagallo - # 52-II-A-PZ-01 Corozal</t>
  </si>
  <si>
    <t>Finca el socorro (Ovejas) - # 44-II-D-PO-02; Ovejas - # 44-II-D-PO-14; Morroa (Bremen) - # 44-IV-C-PZ-01 A; Bremen - # 44-IV-C-PZ-01 B; Las Tinas (Morroa) - # 44-IV-C-PZ-02 B; Arroyo salida a Betulia (Corozal) - # 44-IV-D-PZ-01 B; Corozal - # 44-IV-D-PZ-20</t>
  </si>
  <si>
    <t>Sabanas de cali (El Tesoro) - # 44-IV-D-PZ-02; Corozal - # 44-IV-D-PO-14; Corozal - # 44-IV-D-PZ-22</t>
  </si>
  <si>
    <t>Distancia euclídea estandarizada entre pozos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</si>
  <si>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</si>
  <si>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</si>
  <si>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</si>
  <si>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</si>
  <si>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</si>
  <si>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</si>
  <si>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</si>
  <si>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</si>
  <si>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</si>
  <si>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</si>
  <si>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</si>
  <si>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</si>
  <si>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</si>
  <si>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</si>
  <si>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</si>
  <si>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</si>
  <si>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</si>
  <si>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Código corto</t>
  </si>
  <si>
    <t>Aceleración, estabilidad y recuperación por pozo</t>
  </si>
  <si>
    <t>Síntesis interpretativa sustentada por el anexo</t>
  </si>
  <si>
    <t>Evolución temporal</t>
  </si>
  <si>
    <t>El análisis confirma una transición desde una configuración relativamente homogénea en 2010–2015 hacia una diferenciación más marcada en los periodos posteriores. En 2015–2020 se intensifica el contraste entre los gradientes negativos o próximos a la estabilidad del norte y los gradientes positivos del núcleo central. Para 2020–2025 se consolida la coexistencia entre recuperación relativa en Ovejas y abatimiento persistente en varios pozos centrales, configurando una estructura hidrodinámica más heterogénea.</t>
  </si>
  <si>
    <t>Sustento estadístico</t>
  </si>
  <si>
    <t>La evolución de la desviación estándar, el rango intercuartílico, la proporción de gradientes negativos y la frecuencia de valores superiores a 0,75 m/año permite sostener que la diferenciación observada no depende exclusivamente de la representación cromática de los mapas. Las pruebas de Friedman, Wilcoxon y Kruskal–Wallis complementan esta lectura mediante contraste inferencial.</t>
  </si>
  <si>
    <t>Estructura funcional</t>
  </si>
  <si>
    <t>El PCA, t-SNE y los algoritmos de clustering identificaron configuraciones funcionales basadas en la similitud de los tres gradientes, el cambio acumulado y la variabilidad del nivel estático. La calidad de los grupos fue evaluada mediante Silhouette, Davies–Bouldin y Calinski–Harabasz, y su estabilidad se contrastó con clustering jerárquico. Esta convergencia respalda la interpretación de dominios hidrodinámicos con diferentes niveles de presión extractiva, vulnerabilidad y capacidad de respuesta.</t>
  </si>
  <si>
    <t>Metodología de validación del Anexo 7</t>
  </si>
  <si>
    <t>Bloque</t>
  </si>
  <si>
    <t>Procedimiento</t>
  </si>
  <si>
    <t>Indicadores</t>
  </si>
  <si>
    <t>Finalidad</t>
  </si>
  <si>
    <t>Gradientes</t>
  </si>
  <si>
    <t>Comparación quinquenal por pozo.</t>
  </si>
  <si>
    <t>Media, mediana, DE, IQR, CV, asimetría, curtosis y proporciones críticas.</t>
  </si>
  <si>
    <t>Cuantificar heterogeneidad temporal.</t>
  </si>
  <si>
    <t>Temporal</t>
  </si>
  <si>
    <t>Diseño pareado sobre 17 pozos.</t>
  </si>
  <si>
    <t>Friedman y Wilcoxon.</t>
  </si>
  <si>
    <t>Evaluar cambios sistemáticos.</t>
  </si>
  <si>
    <t>Regional</t>
  </si>
  <si>
    <t>Zonificación norte–centro–sur.</t>
  </si>
  <si>
    <t>Kruskal–Wallis y descriptivos.</t>
  </si>
  <si>
    <t>Contrastar diferenciación regional.</t>
  </si>
  <si>
    <t>PCA</t>
  </si>
  <si>
    <t>Estandarización y reducción lineal.</t>
  </si>
  <si>
    <t>Varianza explicada, autovalores y cargas.</t>
  </si>
  <si>
    <t>Identificar ejes dominantes.</t>
  </si>
  <si>
    <t>t-SNE</t>
  </si>
  <si>
    <t>Proyección no lineal.</t>
  </si>
  <si>
    <t>Coordenadas bidimensionales.</t>
  </si>
  <si>
    <t>Visualizar estructura local.</t>
  </si>
  <si>
    <t>Clustering</t>
  </si>
  <si>
    <t>K-means y jerárquico.</t>
  </si>
  <si>
    <t>Silhouette, Davies–Bouldin, Calinski–Harabasz y concordancia.</t>
  </si>
  <si>
    <t>Validar dominios funcionales.</t>
  </si>
  <si>
    <t>KDE</t>
  </si>
  <si>
    <t>Densidad sobre PCA por clúster.</t>
  </si>
  <si>
    <t>Densidad relativa.</t>
  </si>
  <si>
    <t>Evaluar concentración interna.</t>
  </si>
  <si>
    <t>Sin coordenadas completas.</t>
  </si>
  <si>
    <t>No se estiman Moran I, Geary C, Gi* ni variograma.</t>
  </si>
  <si>
    <t>Evitar inferencias no sustentadas.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</si>
</sst>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EF5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Heterogeneidad temporal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</c:v>
          </c:tx>
          <c:invertIfNegative val="1"/>
          <c:cat>
            <c:strRef>
              <c:f>'Descriptivos periodo'!$A$12:$A$14</c:f>
              <c:strCache>
                <c:ptCount val="3"/>
                <c:pt idx="0">
                  <c:v>2010-2015</c:v>
                </c:pt>
                <c:pt idx="1">
                  <c:v>2015-2020</c:v>
                </c:pt>
                <c:pt idx="2">
                  <c:v>2020-2025</c:v>
                </c:pt>
              </c:strCache>
            </c:strRef>
          </c:cat>
          <c:val>
            <c:numRef>
              <c:f>'Descriptivos periodo'!$B$12:$B$14</c:f>
              <c:numCache>
                <c:formatCode>General</c:formatCode>
                <c:ptCount val="3"/>
                <c:pt idx="0">
                  <c:v>0.63457615686274504</c:v>
                </c:pt>
                <c:pt idx="1">
                  <c:v>0.5662388425705136</c:v>
                </c:pt>
                <c:pt idx="2">
                  <c:v>0.59949309771673853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B-46CB-8FAD-FCE6C9421D3C}"/>
            </c:ext>
          </c:extLst>
        </c:ser>
        <c:ser>
          <c:idx val="1"/>
          <c:order val="1"/>
          <c:tx>
            <c:v>DE</c:v>
          </c:tx>
          <c:invertIfNegative val="1"/>
          <c:cat>
            <c:strRef>
              <c:f>'Descriptivos periodo'!$A$12:$A$14</c:f>
              <c:strCache>
                <c:ptCount val="3"/>
                <c:pt idx="0">
                  <c:v>2010-2015</c:v>
                </c:pt>
                <c:pt idx="1">
                  <c:v>2015-2020</c:v>
                </c:pt>
                <c:pt idx="2">
                  <c:v>2020-2025</c:v>
                </c:pt>
              </c:strCache>
            </c:strRef>
          </c:cat>
          <c:val>
            <c:numRef>
              <c:f>'Descriptivos periodo'!$C$12:$C$14</c:f>
              <c:numCache>
                <c:formatCode>General</c:formatCode>
                <c:ptCount val="3"/>
                <c:pt idx="0">
                  <c:v>0.55401274588022964</c:v>
                </c:pt>
                <c:pt idx="1">
                  <c:v>0.83993046605927768</c:v>
                </c:pt>
                <c:pt idx="2">
                  <c:v>0.83049405487602579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B-46CB-8FAD-FCE6C9421D3C}"/>
            </c:ext>
          </c:extLst>
        </c:ser>
        <c:ser>
          <c:idx val="2"/>
          <c:order val="2"/>
          <c:tx>
            <c:v>IQR</c:v>
          </c:tx>
          <c:invertIfNegative val="1"/>
          <c:cat>
            <c:strRef>
              <c:f>'Descriptivos periodo'!$A$12:$A$14</c:f>
              <c:strCache>
                <c:ptCount val="3"/>
                <c:pt idx="0">
                  <c:v>2010-2015</c:v>
                </c:pt>
                <c:pt idx="1">
                  <c:v>2015-2020</c:v>
                </c:pt>
                <c:pt idx="2">
                  <c:v>2020-2025</c:v>
                </c:pt>
              </c:strCache>
            </c:strRef>
          </c:cat>
          <c:val>
            <c:numRef>
              <c:f>'Descriptivos periodo'!$D$12:$D$14</c:f>
              <c:numCache>
                <c:formatCode>General</c:formatCode>
                <c:ptCount val="3"/>
                <c:pt idx="0">
                  <c:v>0.8199999999999994</c:v>
                </c:pt>
                <c:pt idx="1">
                  <c:v>1.0240000000000007</c:v>
                </c:pt>
                <c:pt idx="2">
                  <c:v>0.70000000000000129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B-46CB-8FAD-FCE6C9421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Pozos en PC1–PC2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Lit>
              <c:ptCount val="0"/>
            </c:numLit>
          </c:xVal>
          <c:yVal>
            <c:numRef>
              <c:f>PCA!$C$22:$C$38</c:f>
              <c:numCache>
                <c:formatCode>General</c:formatCode>
                <c:ptCount val="17"/>
                <c:pt idx="0">
                  <c:v>0.3250976084546478</c:v>
                </c:pt>
                <c:pt idx="1">
                  <c:v>0.46761939698112392</c:v>
                </c:pt>
                <c:pt idx="2">
                  <c:v>0.84896456231518347</c:v>
                </c:pt>
                <c:pt idx="3">
                  <c:v>-3.8021674019808334</c:v>
                </c:pt>
                <c:pt idx="4">
                  <c:v>-4.6949126305154354E-2</c:v>
                </c:pt>
                <c:pt idx="5">
                  <c:v>0.37286886960661741</c:v>
                </c:pt>
                <c:pt idx="6">
                  <c:v>0.52898238984671875</c:v>
                </c:pt>
                <c:pt idx="7">
                  <c:v>0.18756773221114986</c:v>
                </c:pt>
                <c:pt idx="8">
                  <c:v>0.74943322177809946</c:v>
                </c:pt>
                <c:pt idx="9">
                  <c:v>0.23877273429442697</c:v>
                </c:pt>
                <c:pt idx="10">
                  <c:v>4.5810295948373408E-2</c:v>
                </c:pt>
                <c:pt idx="11">
                  <c:v>-0.15227594770400121</c:v>
                </c:pt>
                <c:pt idx="12">
                  <c:v>-0.25826496790383963</c:v>
                </c:pt>
                <c:pt idx="13">
                  <c:v>0.25661336710347821</c:v>
                </c:pt>
                <c:pt idx="14">
                  <c:v>-0.33353979349750307</c:v>
                </c:pt>
                <c:pt idx="15">
                  <c:v>0.79809805245143939</c:v>
                </c:pt>
                <c:pt idx="16">
                  <c:v>-0.226630993599928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4-44A9-BF65-6AE085057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sqref="A1:J2"/>
    </sheetView>
  </sheetViews>
  <sheetFormatPr baseColWidth="10" defaultColWidth="8.796875" defaultRowHeight="13.8"/>
  <cols>
    <col min="1" max="1" width="25" customWidth="1"/>
    <col min="2" max="10" width="16" customWidth="1"/>
  </cols>
  <sheetData>
    <row r="1" spans="1:10" ht="20.8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0.8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4" spans="1:10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</row>
    <row r="6" spans="1:10">
      <c r="A6" s="1" t="s">
        <v>2</v>
      </c>
      <c r="B6" s="9" t="s">
        <v>3</v>
      </c>
      <c r="C6" s="9"/>
      <c r="D6" s="9"/>
      <c r="E6" s="9"/>
      <c r="F6" s="9"/>
      <c r="G6" s="9"/>
      <c r="H6" s="9"/>
      <c r="I6" s="9"/>
      <c r="J6" s="9"/>
    </row>
    <row r="7" spans="1:10">
      <c r="A7" s="1" t="s">
        <v>4</v>
      </c>
      <c r="B7" s="9" t="s">
        <v>5</v>
      </c>
      <c r="C7" s="9"/>
      <c r="D7" s="9"/>
      <c r="E7" s="9"/>
      <c r="F7" s="9"/>
      <c r="G7" s="9"/>
      <c r="H7" s="9"/>
      <c r="I7" s="9"/>
      <c r="J7" s="9"/>
    </row>
    <row r="8" spans="1:10">
      <c r="A8" s="1" t="s">
        <v>6</v>
      </c>
      <c r="B8" s="9" t="s">
        <v>7</v>
      </c>
      <c r="C8" s="9"/>
      <c r="D8" s="9"/>
      <c r="E8" s="9"/>
      <c r="F8" s="9"/>
      <c r="G8" s="9"/>
      <c r="H8" s="9"/>
      <c r="I8" s="9"/>
      <c r="J8" s="9"/>
    </row>
    <row r="9" spans="1:10">
      <c r="A9" s="1" t="s">
        <v>8</v>
      </c>
      <c r="B9" s="9" t="s">
        <v>9</v>
      </c>
      <c r="C9" s="9"/>
      <c r="D9" s="9"/>
      <c r="E9" s="9"/>
      <c r="F9" s="9"/>
      <c r="G9" s="9"/>
      <c r="H9" s="9"/>
      <c r="I9" s="9"/>
      <c r="J9" s="9"/>
    </row>
    <row r="10" spans="1:10">
      <c r="A10" s="1" t="s">
        <v>10</v>
      </c>
      <c r="B10" s="9" t="s">
        <v>11</v>
      </c>
      <c r="C10" s="9"/>
      <c r="D10" s="9"/>
      <c r="E10" s="9"/>
      <c r="F10" s="9"/>
      <c r="G10" s="9"/>
      <c r="H10" s="9"/>
      <c r="I10" s="9"/>
      <c r="J10" s="9"/>
    </row>
    <row r="11" spans="1:10">
      <c r="A11" s="1" t="s">
        <v>12</v>
      </c>
      <c r="B11" s="9" t="s">
        <v>13</v>
      </c>
      <c r="C11" s="9"/>
      <c r="D11" s="9"/>
      <c r="E11" s="9"/>
      <c r="F11" s="9"/>
      <c r="G11" s="9"/>
      <c r="H11" s="9"/>
      <c r="I11" s="9"/>
      <c r="J11" s="9"/>
    </row>
    <row r="14" spans="1:10">
      <c r="A14" s="10" t="s">
        <v>14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>
      <c r="A18" s="10"/>
      <c r="B18" s="10"/>
      <c r="C18" s="10"/>
      <c r="D18" s="10"/>
      <c r="E18" s="10"/>
      <c r="F18" s="10"/>
      <c r="G18" s="10"/>
      <c r="H18" s="10"/>
      <c r="I18" s="10"/>
      <c r="J18" s="10"/>
    </row>
  </sheetData>
  <mergeCells count="9">
    <mergeCell ref="B9:J9"/>
    <mergeCell ref="B10:J10"/>
    <mergeCell ref="B11:J11"/>
    <mergeCell ref="A14:J18"/>
    <mergeCell ref="A1:J2"/>
    <mergeCell ref="A4:J4"/>
    <mergeCell ref="B6:J6"/>
    <mergeCell ref="B7:J7"/>
    <mergeCell ref="B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"/>
  <sheetViews>
    <sheetView workbookViewId="0">
      <selection activeCell="G16" sqref="G16"/>
    </sheetView>
  </sheetViews>
  <sheetFormatPr baseColWidth="10" defaultColWidth="8.796875" defaultRowHeight="13.8"/>
  <cols>
    <col min="1" max="1" width="40" customWidth="1"/>
    <col min="2" max="23" width="15" customWidth="1"/>
  </cols>
  <sheetData>
    <row r="1" spans="1:23" ht="20.85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spans="1:23" ht="27.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</row>
    <row r="5" spans="1:23" ht="27.6">
      <c r="A5" s="2" t="s">
        <v>39</v>
      </c>
      <c r="B5" s="2" t="s">
        <v>40</v>
      </c>
      <c r="C5" s="4">
        <v>0.94399999999999973</v>
      </c>
      <c r="D5" s="4">
        <v>0.82550468291872936</v>
      </c>
      <c r="E5" s="4">
        <v>1.0011038799645491</v>
      </c>
      <c r="F5" s="4">
        <v>-0.11849531708127037</v>
      </c>
      <c r="G5" s="4">
        <v>0.17559919704581972</v>
      </c>
      <c r="H5" s="4">
        <v>14.68</v>
      </c>
      <c r="I5" s="4">
        <v>42.086187499999994</v>
      </c>
      <c r="J5" s="4">
        <v>5.4776580964655155</v>
      </c>
      <c r="K5" s="4">
        <v>34.049999999999997</v>
      </c>
      <c r="L5" s="4">
        <v>49.13</v>
      </c>
      <c r="M5" s="4">
        <v>15.080000000000005</v>
      </c>
      <c r="N5" s="2" t="s">
        <v>41</v>
      </c>
      <c r="O5" s="4">
        <v>1.2500604729716109</v>
      </c>
      <c r="P5" s="4">
        <v>0.3250976084546478</v>
      </c>
      <c r="Q5" s="4">
        <v>-0.11718710946114509</v>
      </c>
      <c r="R5" s="4">
        <v>-26.3643798828125</v>
      </c>
      <c r="S5" s="4">
        <v>21.501895904541016</v>
      </c>
      <c r="T5" s="2">
        <v>1</v>
      </c>
      <c r="U5" s="2">
        <v>2</v>
      </c>
      <c r="V5" s="3" t="b">
        <v>0</v>
      </c>
      <c r="W5" s="2">
        <v>0.16150869770667864</v>
      </c>
    </row>
    <row r="6" spans="1:23" ht="27.6">
      <c r="A6" s="2" t="s">
        <v>42</v>
      </c>
      <c r="B6" s="2" t="s">
        <v>43</v>
      </c>
      <c r="C6" s="4">
        <v>7.4794666666667092E-2</v>
      </c>
      <c r="D6" s="4">
        <v>-0.15600000000000022</v>
      </c>
      <c r="E6" s="4">
        <v>0.54600000000000004</v>
      </c>
      <c r="F6" s="4">
        <v>-0.23079466666666731</v>
      </c>
      <c r="G6" s="4">
        <v>0.70200000000000029</v>
      </c>
      <c r="H6" s="4">
        <v>2.275640000000001</v>
      </c>
      <c r="I6" s="4">
        <v>9.7582812499999996</v>
      </c>
      <c r="J6" s="4">
        <v>0.52266514503135286</v>
      </c>
      <c r="K6" s="4">
        <v>9.09</v>
      </c>
      <c r="L6" s="4">
        <v>11.026</v>
      </c>
      <c r="M6" s="4">
        <v>1.9359999999999999</v>
      </c>
      <c r="N6" s="2" t="s">
        <v>44</v>
      </c>
      <c r="O6" s="4">
        <v>-2.4324718855880358</v>
      </c>
      <c r="P6" s="4">
        <v>0.46761939698112392</v>
      </c>
      <c r="Q6" s="4">
        <v>0.32210469017143839</v>
      </c>
      <c r="R6" s="4">
        <v>25.953996658325195</v>
      </c>
      <c r="S6" s="4">
        <v>-56.032855987548828</v>
      </c>
      <c r="T6" s="2">
        <v>2</v>
      </c>
      <c r="U6" s="2">
        <v>1</v>
      </c>
      <c r="V6" s="3" t="b">
        <v>0</v>
      </c>
      <c r="W6" s="2">
        <v>0.21082750559131053</v>
      </c>
    </row>
    <row r="7" spans="1:23" ht="27.6">
      <c r="A7" s="2" t="s">
        <v>45</v>
      </c>
      <c r="B7" s="2" t="s">
        <v>43</v>
      </c>
      <c r="C7" s="4">
        <v>0.57600000000000018</v>
      </c>
      <c r="D7" s="4">
        <v>-1.4734443592200011</v>
      </c>
      <c r="E7" s="4">
        <v>0.37729128122000188</v>
      </c>
      <c r="F7" s="4">
        <v>-2.0494443592200011</v>
      </c>
      <c r="G7" s="4">
        <v>1.850735640440003</v>
      </c>
      <c r="H7" s="4">
        <v>-0.62782770909999908</v>
      </c>
      <c r="I7" s="4">
        <v>7.76859375</v>
      </c>
      <c r="J7" s="4">
        <v>2.2905948073748399</v>
      </c>
      <c r="K7" s="4">
        <v>3.04</v>
      </c>
      <c r="L7" s="4">
        <v>12.9</v>
      </c>
      <c r="M7" s="4">
        <v>9.86</v>
      </c>
      <c r="N7" s="2" t="s">
        <v>44</v>
      </c>
      <c r="O7" s="4">
        <v>-2.1483716024149282</v>
      </c>
      <c r="P7" s="4">
        <v>0.84896456231518347</v>
      </c>
      <c r="Q7" s="4">
        <v>-1.862302223318075</v>
      </c>
      <c r="R7" s="4">
        <v>39.971511840820313</v>
      </c>
      <c r="S7" s="4">
        <v>-62.93841552734375</v>
      </c>
      <c r="T7" s="2">
        <v>2</v>
      </c>
      <c r="U7" s="2">
        <v>1</v>
      </c>
      <c r="V7" s="3" t="b">
        <v>0</v>
      </c>
      <c r="W7" s="2">
        <v>0.16484723215441469</v>
      </c>
    </row>
    <row r="8" spans="1:23" ht="27.6">
      <c r="A8" s="2" t="s">
        <v>46</v>
      </c>
      <c r="B8" s="2" t="s">
        <v>47</v>
      </c>
      <c r="C8" s="4">
        <v>0.48199999999999932</v>
      </c>
      <c r="D8" s="4">
        <v>1.6600000000000024</v>
      </c>
      <c r="E8" s="4">
        <v>-1.8750124999999997</v>
      </c>
      <c r="F8" s="4">
        <v>1.178000000000003</v>
      </c>
      <c r="G8" s="4">
        <v>-3.5350125000000023</v>
      </c>
      <c r="H8" s="4">
        <v>2.3749375000000015</v>
      </c>
      <c r="I8" s="4">
        <v>78.458906250000013</v>
      </c>
      <c r="J8" s="4">
        <v>5.7768570166594406</v>
      </c>
      <c r="K8" s="4">
        <v>71.59</v>
      </c>
      <c r="L8" s="4">
        <v>88.06</v>
      </c>
      <c r="M8" s="4">
        <v>16.47</v>
      </c>
      <c r="N8" s="2" t="s">
        <v>48</v>
      </c>
      <c r="O8" s="4">
        <v>0.45410579479674495</v>
      </c>
      <c r="P8" s="4">
        <v>-3.8021674019808334</v>
      </c>
      <c r="Q8" s="4">
        <v>-0.46457911314319217</v>
      </c>
      <c r="R8" s="4">
        <v>5.8754897117614746</v>
      </c>
      <c r="S8" s="4">
        <v>8.4934587478637695</v>
      </c>
      <c r="T8" s="2">
        <v>3</v>
      </c>
      <c r="U8" s="2">
        <v>4</v>
      </c>
      <c r="V8" s="3" t="b">
        <v>0</v>
      </c>
      <c r="W8" s="2"/>
    </row>
    <row r="9" spans="1:23" ht="27.6">
      <c r="A9" s="2" t="s">
        <v>49</v>
      </c>
      <c r="B9" s="2" t="s">
        <v>47</v>
      </c>
      <c r="C9" s="4">
        <v>0.15400000000000008</v>
      </c>
      <c r="D9" s="4">
        <v>-5.2000000000000136E-2</v>
      </c>
      <c r="E9" s="4">
        <v>3.6000000000000122E-2</v>
      </c>
      <c r="F9" s="4">
        <v>-0.20600000000000021</v>
      </c>
      <c r="G9" s="4">
        <v>8.8000000000000259E-2</v>
      </c>
      <c r="H9" s="4">
        <v>1.0600000000000005</v>
      </c>
      <c r="I9" s="4">
        <v>5.3676562499999996</v>
      </c>
      <c r="J9" s="4">
        <v>0.45395925704456302</v>
      </c>
      <c r="K9" s="4">
        <v>4.3499999999999996</v>
      </c>
      <c r="L9" s="4">
        <v>6.18</v>
      </c>
      <c r="M9" s="4">
        <v>1.83</v>
      </c>
      <c r="N9" s="2" t="s">
        <v>50</v>
      </c>
      <c r="O9" s="4">
        <v>-2.6094827940213388</v>
      </c>
      <c r="P9" s="4">
        <v>-4.6949126305154354E-2</v>
      </c>
      <c r="Q9" s="4">
        <v>0.11416286691825929</v>
      </c>
      <c r="R9" s="4">
        <v>17.899785995483398</v>
      </c>
      <c r="S9" s="4">
        <v>-46.568367004394531</v>
      </c>
      <c r="T9" s="2">
        <v>2</v>
      </c>
      <c r="U9" s="2">
        <v>1</v>
      </c>
      <c r="V9" s="3" t="b">
        <v>0</v>
      </c>
      <c r="W9" s="2">
        <v>0.19758879865374837</v>
      </c>
    </row>
    <row r="10" spans="1:23" ht="27.6">
      <c r="A10" s="2" t="s">
        <v>51</v>
      </c>
      <c r="B10" s="2" t="s">
        <v>47</v>
      </c>
      <c r="C10" s="4">
        <v>0.158</v>
      </c>
      <c r="D10" s="4">
        <v>-0.20800000000000002</v>
      </c>
      <c r="E10" s="4">
        <v>0.37999999999999989</v>
      </c>
      <c r="F10" s="4">
        <v>-0.36599999999999999</v>
      </c>
      <c r="G10" s="4">
        <v>0.58799999999999986</v>
      </c>
      <c r="H10" s="4">
        <v>1.75</v>
      </c>
      <c r="I10" s="4">
        <v>5.57515625</v>
      </c>
      <c r="J10" s="4">
        <v>0.5870641614313522</v>
      </c>
      <c r="K10" s="4">
        <v>4.57</v>
      </c>
      <c r="L10" s="4">
        <v>6.96</v>
      </c>
      <c r="M10" s="4">
        <v>2.3899999999999997</v>
      </c>
      <c r="N10" s="2" t="s">
        <v>44</v>
      </c>
      <c r="O10" s="4">
        <v>-2.4877689643500056</v>
      </c>
      <c r="P10" s="4">
        <v>0.37286886960661741</v>
      </c>
      <c r="Q10" s="4">
        <v>9.5568099155069627E-2</v>
      </c>
      <c r="R10" s="4">
        <v>35.209732055664063</v>
      </c>
      <c r="S10" s="4">
        <v>-51.369121551513672</v>
      </c>
      <c r="T10" s="2">
        <v>2</v>
      </c>
      <c r="U10" s="2">
        <v>1</v>
      </c>
      <c r="V10" s="3" t="b">
        <v>0</v>
      </c>
      <c r="W10" s="2">
        <v>0.21420098129363932</v>
      </c>
    </row>
    <row r="11" spans="1:23" ht="27.6">
      <c r="A11" s="2" t="s">
        <v>52</v>
      </c>
      <c r="B11" s="2" t="s">
        <v>47</v>
      </c>
      <c r="C11" s="4">
        <v>1.0429999999999993</v>
      </c>
      <c r="D11" s="4">
        <v>0.66000000000000081</v>
      </c>
      <c r="E11" s="4">
        <v>0.99000000000000055</v>
      </c>
      <c r="F11" s="4">
        <v>-0.38299999999999845</v>
      </c>
      <c r="G11" s="4">
        <v>0.32999999999999974</v>
      </c>
      <c r="H11" s="4">
        <v>14.32</v>
      </c>
      <c r="I11" s="4">
        <v>43.624843749999997</v>
      </c>
      <c r="J11" s="4">
        <v>3.2591774453011415</v>
      </c>
      <c r="K11" s="4">
        <v>37.630000000000003</v>
      </c>
      <c r="L11" s="4">
        <v>53.37</v>
      </c>
      <c r="M11" s="4">
        <v>15.739999999999995</v>
      </c>
      <c r="N11" s="2" t="s">
        <v>41</v>
      </c>
      <c r="O11" s="4">
        <v>0.93537427854730781</v>
      </c>
      <c r="P11" s="4">
        <v>0.52898238984671875</v>
      </c>
      <c r="Q11" s="4">
        <v>-0.17400732228385374</v>
      </c>
      <c r="R11" s="4">
        <v>-18.966222763061523</v>
      </c>
      <c r="S11" s="4">
        <v>16.634042739868164</v>
      </c>
      <c r="T11" s="2">
        <v>1</v>
      </c>
      <c r="U11" s="2">
        <v>2</v>
      </c>
      <c r="V11" s="3" t="b">
        <v>0</v>
      </c>
      <c r="W11" s="2">
        <v>0.16390598020099484</v>
      </c>
    </row>
    <row r="12" spans="1:23" ht="27.6">
      <c r="A12" s="2" t="s">
        <v>53</v>
      </c>
      <c r="B12" s="2" t="s">
        <v>47</v>
      </c>
      <c r="C12" s="4">
        <v>7.3999999999999927E-2</v>
      </c>
      <c r="D12" s="4">
        <v>-2.7999999999999935E-2</v>
      </c>
      <c r="E12" s="4">
        <v>0.24399999999999994</v>
      </c>
      <c r="F12" s="4">
        <v>-0.10199999999999987</v>
      </c>
      <c r="G12" s="4">
        <v>0.27199999999999985</v>
      </c>
      <c r="H12" s="4">
        <v>1.6699999999999995</v>
      </c>
      <c r="I12" s="4">
        <v>3.0726718750000002</v>
      </c>
      <c r="J12" s="4">
        <v>0.18879437565839172</v>
      </c>
      <c r="K12" s="4">
        <v>2.62</v>
      </c>
      <c r="L12" s="4">
        <v>3.33</v>
      </c>
      <c r="M12" s="4">
        <v>0.71</v>
      </c>
      <c r="N12" s="2" t="s">
        <v>50</v>
      </c>
      <c r="O12" s="4">
        <v>-2.6995958106598565</v>
      </c>
      <c r="P12" s="4">
        <v>0.18756773221114986</v>
      </c>
      <c r="Q12" s="4">
        <v>0.36961909560984629</v>
      </c>
      <c r="R12" s="4">
        <v>26.896883010864258</v>
      </c>
      <c r="S12" s="4">
        <v>-46.048999786376953</v>
      </c>
      <c r="T12" s="2">
        <v>2</v>
      </c>
      <c r="U12" s="2">
        <v>1</v>
      </c>
      <c r="V12" s="3" t="b">
        <v>0</v>
      </c>
      <c r="W12" s="2">
        <v>0.20360944966913908</v>
      </c>
    </row>
    <row r="13" spans="1:23" ht="27.6">
      <c r="A13" s="2" t="s">
        <v>54</v>
      </c>
      <c r="B13" s="2" t="s">
        <v>47</v>
      </c>
      <c r="C13" s="4">
        <v>0.97399999999999953</v>
      </c>
      <c r="D13" s="4">
        <v>0.82399999999999951</v>
      </c>
      <c r="E13" s="4">
        <v>1.4200000000000004</v>
      </c>
      <c r="F13" s="4">
        <v>-0.15000000000000002</v>
      </c>
      <c r="G13" s="4">
        <v>0.59600000000000086</v>
      </c>
      <c r="H13" s="4">
        <v>16.409999999999997</v>
      </c>
      <c r="I13" s="4">
        <v>51.048468750000005</v>
      </c>
      <c r="J13" s="4">
        <v>4.8210873755681822</v>
      </c>
      <c r="K13" s="4">
        <v>43.63</v>
      </c>
      <c r="L13" s="4">
        <v>59.02</v>
      </c>
      <c r="M13" s="4">
        <v>15.39</v>
      </c>
      <c r="N13" s="2" t="s">
        <v>41</v>
      </c>
      <c r="O13" s="4">
        <v>1.5046635444557417</v>
      </c>
      <c r="P13" s="4">
        <v>0.74943322177809946</v>
      </c>
      <c r="Q13" s="4">
        <v>0.1235598233145464</v>
      </c>
      <c r="R13" s="4">
        <v>-19.513692855834961</v>
      </c>
      <c r="S13" s="4">
        <v>27.273397445678711</v>
      </c>
      <c r="T13" s="2">
        <v>1</v>
      </c>
      <c r="U13" s="2">
        <v>2</v>
      </c>
      <c r="V13" s="3" t="b">
        <v>0</v>
      </c>
      <c r="W13" s="2">
        <v>0.12789305434246626</v>
      </c>
    </row>
    <row r="14" spans="1:23" ht="27.6">
      <c r="A14" s="2" t="s">
        <v>55</v>
      </c>
      <c r="B14" s="2" t="s">
        <v>47</v>
      </c>
      <c r="C14" s="4">
        <v>3.1999999999999848E-2</v>
      </c>
      <c r="D14" s="4">
        <v>0.13599999999999995</v>
      </c>
      <c r="E14" s="4">
        <v>0.45000000000000018</v>
      </c>
      <c r="F14" s="4">
        <v>0.10400000000000011</v>
      </c>
      <c r="G14" s="4">
        <v>0.31400000000000022</v>
      </c>
      <c r="H14" s="4">
        <v>2.2000000000000002</v>
      </c>
      <c r="I14" s="4">
        <v>7.3445937499999996</v>
      </c>
      <c r="J14" s="4">
        <v>0.47700590781321539</v>
      </c>
      <c r="K14" s="4">
        <v>6.58</v>
      </c>
      <c r="L14" s="4">
        <v>8.6300000000000008</v>
      </c>
      <c r="M14" s="4">
        <v>2.0500000000000007</v>
      </c>
      <c r="N14" s="2" t="s">
        <v>44</v>
      </c>
      <c r="O14" s="4">
        <v>-2.400903428751735</v>
      </c>
      <c r="P14" s="4">
        <v>0.23877273429442697</v>
      </c>
      <c r="Q14" s="4">
        <v>0.55954522436714738</v>
      </c>
      <c r="R14" s="4">
        <v>33.622749328613281</v>
      </c>
      <c r="S14" s="4">
        <v>-39.754421234130859</v>
      </c>
      <c r="T14" s="2">
        <v>2</v>
      </c>
      <c r="U14" s="2">
        <v>1</v>
      </c>
      <c r="V14" s="3" t="b">
        <v>0</v>
      </c>
      <c r="W14" s="2">
        <v>0.21662953275935976</v>
      </c>
    </row>
    <row r="15" spans="1:23" ht="27.6">
      <c r="A15" s="2" t="s">
        <v>56</v>
      </c>
      <c r="B15" s="2" t="s">
        <v>47</v>
      </c>
      <c r="C15" s="4">
        <v>1.4799999999999982</v>
      </c>
      <c r="D15" s="4">
        <v>1.9419999999999988</v>
      </c>
      <c r="E15" s="4">
        <v>1.6100000000000023</v>
      </c>
      <c r="F15" s="4">
        <v>0.46200000000000063</v>
      </c>
      <c r="G15" s="4">
        <v>-0.33199999999999652</v>
      </c>
      <c r="H15" s="4">
        <v>25.67</v>
      </c>
      <c r="I15" s="4">
        <v>101.73875000000001</v>
      </c>
      <c r="J15" s="4">
        <v>8.1385659947937317</v>
      </c>
      <c r="K15" s="4">
        <v>91.15</v>
      </c>
      <c r="L15" s="4">
        <v>115.1</v>
      </c>
      <c r="M15" s="4">
        <v>23.949999999999989</v>
      </c>
      <c r="N15" s="2" t="s">
        <v>41</v>
      </c>
      <c r="O15" s="4">
        <v>4.4922667400740055</v>
      </c>
      <c r="P15" s="4">
        <v>4.5810295948373408E-2</v>
      </c>
      <c r="Q15" s="4">
        <v>0.31705734557324811</v>
      </c>
      <c r="R15" s="4">
        <v>-41.047035217285156</v>
      </c>
      <c r="S15" s="4">
        <v>47.410598754882813</v>
      </c>
      <c r="T15" s="2">
        <v>4</v>
      </c>
      <c r="U15" s="2">
        <v>3</v>
      </c>
      <c r="V15" s="3" t="b">
        <v>0</v>
      </c>
      <c r="W15" s="2">
        <v>0.16740660608710362</v>
      </c>
    </row>
    <row r="16" spans="1:23" ht="27.6">
      <c r="A16" s="2" t="s">
        <v>57</v>
      </c>
      <c r="B16" s="2" t="s">
        <v>47</v>
      </c>
      <c r="C16" s="4">
        <v>0.11400000000000006</v>
      </c>
      <c r="D16" s="4">
        <v>0.8640000000000001</v>
      </c>
      <c r="E16" s="4">
        <v>1.0700000000000016</v>
      </c>
      <c r="F16" s="4">
        <v>0.75</v>
      </c>
      <c r="G16" s="4">
        <v>0.20600000000000152</v>
      </c>
      <c r="H16" s="4">
        <v>10.600000000000009</v>
      </c>
      <c r="I16" s="4">
        <v>62.514375000000001</v>
      </c>
      <c r="J16" s="4">
        <v>4.1806651249647802</v>
      </c>
      <c r="K16" s="4">
        <v>52.6</v>
      </c>
      <c r="L16" s="4">
        <v>68.86</v>
      </c>
      <c r="M16" s="4">
        <v>16.259999999999998</v>
      </c>
      <c r="N16" s="2" t="s">
        <v>41</v>
      </c>
      <c r="O16" s="4">
        <v>0.61650476981933744</v>
      </c>
      <c r="P16" s="4">
        <v>-0.15227594770400121</v>
      </c>
      <c r="Q16" s="4">
        <v>0.67745305193885152</v>
      </c>
      <c r="R16" s="4">
        <v>-5.4481344223022461</v>
      </c>
      <c r="S16" s="4">
        <v>23.835981369018555</v>
      </c>
      <c r="T16" s="2">
        <v>1</v>
      </c>
      <c r="U16" s="2">
        <v>2</v>
      </c>
      <c r="V16" s="3" t="b">
        <v>0</v>
      </c>
      <c r="W16" s="2">
        <v>0.16186998791591931</v>
      </c>
    </row>
    <row r="17" spans="1:23" ht="27.6">
      <c r="A17" s="2" t="s">
        <v>58</v>
      </c>
      <c r="B17" s="2" t="s">
        <v>47</v>
      </c>
      <c r="C17" s="4">
        <v>0.48799999999999955</v>
      </c>
      <c r="D17" s="4">
        <v>0.53199999999999936</v>
      </c>
      <c r="E17" s="4">
        <v>0.37000000000000027</v>
      </c>
      <c r="F17" s="4">
        <v>4.3999999999999817E-2</v>
      </c>
      <c r="G17" s="4">
        <v>-0.16199999999999909</v>
      </c>
      <c r="H17" s="4">
        <v>7.6199999999999974</v>
      </c>
      <c r="I17" s="4">
        <v>39.614218749999999</v>
      </c>
      <c r="J17" s="4">
        <v>2.8046347325209573</v>
      </c>
      <c r="K17" s="4">
        <v>34.29</v>
      </c>
      <c r="L17" s="4">
        <v>43.72</v>
      </c>
      <c r="M17" s="4">
        <v>9.43</v>
      </c>
      <c r="N17" s="2" t="s">
        <v>44</v>
      </c>
      <c r="O17" s="4">
        <v>-0.48217481959050434</v>
      </c>
      <c r="P17" s="4">
        <v>-0.25826496790383963</v>
      </c>
      <c r="Q17" s="4">
        <v>0.10861286464701563</v>
      </c>
      <c r="R17" s="4">
        <v>-6.2222223281860352</v>
      </c>
      <c r="S17" s="4">
        <v>4.9363369941711426</v>
      </c>
      <c r="T17" s="2">
        <v>1</v>
      </c>
      <c r="U17" s="2">
        <v>2</v>
      </c>
      <c r="V17" s="3" t="b">
        <v>0</v>
      </c>
      <c r="W17" s="2">
        <v>8.7076314866106161E-2</v>
      </c>
    </row>
    <row r="18" spans="1:23" ht="27.6">
      <c r="A18" s="2" t="s">
        <v>59</v>
      </c>
      <c r="B18" s="2" t="s">
        <v>47</v>
      </c>
      <c r="C18" s="4">
        <v>1.5900000000000021</v>
      </c>
      <c r="D18" s="4">
        <v>1.6620000000000004</v>
      </c>
      <c r="E18" s="4">
        <v>1.3859999999999986</v>
      </c>
      <c r="F18" s="4">
        <v>7.1999999999998288E-2</v>
      </c>
      <c r="G18" s="4">
        <v>-0.2760000000000018</v>
      </c>
      <c r="H18" s="4">
        <v>24.6</v>
      </c>
      <c r="I18" s="4">
        <v>74.167187499999997</v>
      </c>
      <c r="J18" s="4">
        <v>7.9289336363013518</v>
      </c>
      <c r="K18" s="4">
        <v>62.6</v>
      </c>
      <c r="L18" s="4">
        <v>85.25</v>
      </c>
      <c r="M18" s="4">
        <v>22.65</v>
      </c>
      <c r="N18" s="2" t="s">
        <v>41</v>
      </c>
      <c r="O18" s="4">
        <v>3.8728442413838082</v>
      </c>
      <c r="P18" s="4">
        <v>0.25661336710347821</v>
      </c>
      <c r="Q18" s="4">
        <v>-9.6838394130005764E-2</v>
      </c>
      <c r="R18" s="4">
        <v>-31.9908447265625</v>
      </c>
      <c r="S18" s="4">
        <v>46.258708953857422</v>
      </c>
      <c r="T18" s="2">
        <v>4</v>
      </c>
      <c r="U18" s="2">
        <v>3</v>
      </c>
      <c r="V18" s="3" t="b">
        <v>0</v>
      </c>
      <c r="W18" s="2">
        <v>0.20180230782178046</v>
      </c>
    </row>
    <row r="19" spans="1:23" ht="27.6">
      <c r="A19" s="2" t="s">
        <v>60</v>
      </c>
      <c r="B19" s="2" t="s">
        <v>47</v>
      </c>
      <c r="C19" s="4">
        <v>0.26400000000000007</v>
      </c>
      <c r="D19" s="4">
        <v>0.31400000000000006</v>
      </c>
      <c r="E19" s="4">
        <v>0</v>
      </c>
      <c r="F19" s="4">
        <v>4.9999999999999989E-2</v>
      </c>
      <c r="G19" s="4">
        <v>-0.31400000000000006</v>
      </c>
      <c r="H19" s="4">
        <v>3.2600000000000016</v>
      </c>
      <c r="I19" s="4">
        <v>13.176562499999999</v>
      </c>
      <c r="J19" s="4">
        <v>1.4871874502216504</v>
      </c>
      <c r="K19" s="4">
        <v>10.43</v>
      </c>
      <c r="L19" s="4">
        <v>15.34</v>
      </c>
      <c r="M19" s="4">
        <v>4.91</v>
      </c>
      <c r="N19" s="2" t="s">
        <v>50</v>
      </c>
      <c r="O19" s="4">
        <v>-1.8475900536114294</v>
      </c>
      <c r="P19" s="4">
        <v>-0.33353979349750307</v>
      </c>
      <c r="Q19" s="4">
        <v>0.14661415442443457</v>
      </c>
      <c r="R19" s="4">
        <v>20.68977165222168</v>
      </c>
      <c r="S19" s="4">
        <v>-35.345569610595703</v>
      </c>
      <c r="T19" s="2">
        <v>2</v>
      </c>
      <c r="U19" s="2">
        <v>1</v>
      </c>
      <c r="V19" s="3" t="b">
        <v>0</v>
      </c>
      <c r="W19" s="2">
        <v>0.13968425226620027</v>
      </c>
    </row>
    <row r="20" spans="1:23" ht="27.6">
      <c r="A20" s="2" t="s">
        <v>61</v>
      </c>
      <c r="B20" s="2" t="s">
        <v>47</v>
      </c>
      <c r="C20" s="4">
        <v>1.6320000000000021</v>
      </c>
      <c r="D20" s="4">
        <v>1.1280000000000001</v>
      </c>
      <c r="E20" s="4">
        <v>1.6400000000000006</v>
      </c>
      <c r="F20" s="4">
        <v>-0.504000000000002</v>
      </c>
      <c r="G20" s="4">
        <v>0.51200000000000045</v>
      </c>
      <c r="H20" s="4">
        <v>23.52000000000001</v>
      </c>
      <c r="I20" s="4">
        <v>77.2890625</v>
      </c>
      <c r="J20" s="4">
        <v>6.83564064032843</v>
      </c>
      <c r="K20" s="4">
        <v>66.87</v>
      </c>
      <c r="L20" s="4">
        <v>88.59</v>
      </c>
      <c r="M20" s="4">
        <v>21.72</v>
      </c>
      <c r="N20" s="2" t="s">
        <v>41</v>
      </c>
      <c r="O20" s="4">
        <v>3.5130242668920926</v>
      </c>
      <c r="P20" s="4">
        <v>0.79809805245143939</v>
      </c>
      <c r="Q20" s="4">
        <v>-0.3593949401429013</v>
      </c>
      <c r="R20" s="4">
        <v>-36.564918518066406</v>
      </c>
      <c r="S20" s="4">
        <v>38.523899078369141</v>
      </c>
      <c r="T20" s="2">
        <v>4</v>
      </c>
      <c r="U20" s="2">
        <v>3</v>
      </c>
      <c r="V20" s="3" t="b">
        <v>0</v>
      </c>
      <c r="W20" s="2">
        <v>0.16765957034981036</v>
      </c>
    </row>
    <row r="21" spans="1:23" ht="27.6">
      <c r="A21" s="2" t="s">
        <v>62</v>
      </c>
      <c r="B21" s="2" t="s">
        <v>47</v>
      </c>
      <c r="C21" s="4">
        <v>0.70799999999999985</v>
      </c>
      <c r="D21" s="4">
        <v>0.99600000000000077</v>
      </c>
      <c r="E21" s="4">
        <v>0.54599999999999937</v>
      </c>
      <c r="F21" s="4">
        <v>0.28800000000000092</v>
      </c>
      <c r="G21" s="4">
        <v>-0.4500000000000014</v>
      </c>
      <c r="H21" s="4">
        <v>11.769999999999996</v>
      </c>
      <c r="I21" s="4">
        <v>39.847187500000004</v>
      </c>
      <c r="J21" s="4">
        <v>4.0250796300478093</v>
      </c>
      <c r="K21" s="4">
        <v>33.75</v>
      </c>
      <c r="L21" s="4">
        <v>45.94</v>
      </c>
      <c r="M21" s="4">
        <v>12.189999999999998</v>
      </c>
      <c r="N21" s="2" t="s">
        <v>44</v>
      </c>
      <c r="O21" s="4">
        <v>0.46951525004718536</v>
      </c>
      <c r="P21" s="4">
        <v>-0.226630993599928</v>
      </c>
      <c r="Q21" s="4">
        <v>0.24001188635931539</v>
      </c>
      <c r="R21" s="4">
        <v>-9.5347270965576172</v>
      </c>
      <c r="S21" s="4">
        <v>13.144562721252441</v>
      </c>
      <c r="T21" s="2">
        <v>1</v>
      </c>
      <c r="U21" s="2">
        <v>2</v>
      </c>
      <c r="V21" s="3" t="b">
        <v>0</v>
      </c>
      <c r="W21" s="2">
        <v>0.15365275285332641</v>
      </c>
    </row>
  </sheetData>
  <mergeCells count="1">
    <mergeCell ref="A1:W2"/>
  </mergeCells>
  <conditionalFormatting sqref="C5:E21">
    <cfRule type="colorScale" priority="1">
      <colorScale>
        <cfvo type="min"/>
        <cfvo type="percentile" val="50"/>
        <cfvo type="max"/>
        <color rgb="FF5B9BD5"/>
        <color rgb="FFFFF2CC"/>
        <color rgb="FFED7D31"/>
      </colorScale>
    </cfRule>
  </conditionalFormatting>
  <conditionalFormatting sqref="N5:N21">
    <cfRule type="expression" dxfId="2" priority="2">
      <formula>N5="Descenso acelerado"</formula>
    </cfRule>
  </conditionalFormatting>
  <conditionalFormatting sqref="V5:V21">
    <cfRule type="expression" dxfId="1" priority="3">
      <formula>V5=TRUE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sqref="A1:N2"/>
    </sheetView>
  </sheetViews>
  <sheetFormatPr baseColWidth="10" defaultColWidth="8.796875" defaultRowHeight="13.8"/>
  <cols>
    <col min="1" max="14" width="17" customWidth="1"/>
  </cols>
  <sheetData>
    <row r="1" spans="1:15" ht="20.85" customHeight="1">
      <c r="A1" s="7" t="s">
        <v>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5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5" ht="41.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</row>
    <row r="5" spans="1:15">
      <c r="A5" s="2" t="s">
        <v>79</v>
      </c>
      <c r="B5" s="2">
        <v>17</v>
      </c>
      <c r="C5" s="4">
        <v>0.63457615686274504</v>
      </c>
      <c r="D5" s="4">
        <v>0.48799999999999955</v>
      </c>
      <c r="E5" s="4">
        <v>0.55401274588022964</v>
      </c>
      <c r="F5" s="4">
        <v>87.304374721281278</v>
      </c>
      <c r="G5" s="4">
        <v>3.1999999999999848E-2</v>
      </c>
      <c r="H5" s="4">
        <v>0.15400000000000008</v>
      </c>
      <c r="I5" s="4">
        <v>0.97399999999999953</v>
      </c>
      <c r="J5" s="4">
        <v>1.6320000000000021</v>
      </c>
      <c r="K5" s="4">
        <v>0.8199999999999994</v>
      </c>
      <c r="L5" s="4">
        <v>0.67378107224559047</v>
      </c>
      <c r="M5" s="4">
        <v>-0.84283702972438945</v>
      </c>
      <c r="N5" s="4">
        <v>0</v>
      </c>
      <c r="O5" s="2">
        <v>35.294117647058826</v>
      </c>
    </row>
    <row r="6" spans="1:15">
      <c r="A6" s="2" t="s">
        <v>80</v>
      </c>
      <c r="B6" s="2">
        <v>17</v>
      </c>
      <c r="C6" s="4">
        <v>0.5662388425705136</v>
      </c>
      <c r="D6" s="4">
        <v>0.66000000000000081</v>
      </c>
      <c r="E6" s="4">
        <v>0.83993046605927768</v>
      </c>
      <c r="F6" s="4">
        <v>148.33501393949285</v>
      </c>
      <c r="G6" s="4">
        <v>-1.4734443592200011</v>
      </c>
      <c r="H6" s="4">
        <v>-2.7999999999999935E-2</v>
      </c>
      <c r="I6" s="4">
        <v>0.99600000000000077</v>
      </c>
      <c r="J6" s="4">
        <v>1.9419999999999988</v>
      </c>
      <c r="K6" s="4">
        <v>1.0240000000000007</v>
      </c>
      <c r="L6" s="4">
        <v>-0.5166357022624648</v>
      </c>
      <c r="M6" s="4">
        <v>0.89078302174458379</v>
      </c>
      <c r="N6" s="4">
        <v>29.411764705882355</v>
      </c>
      <c r="O6" s="2">
        <v>47.058823529411761</v>
      </c>
    </row>
    <row r="7" spans="1:15">
      <c r="A7" s="2" t="s">
        <v>81</v>
      </c>
      <c r="B7" s="2">
        <v>17</v>
      </c>
      <c r="C7" s="4">
        <v>0.59949309771673853</v>
      </c>
      <c r="D7" s="4">
        <v>0.54599999999999937</v>
      </c>
      <c r="E7" s="4">
        <v>0.83049405487602579</v>
      </c>
      <c r="F7" s="4">
        <v>138.53271339364952</v>
      </c>
      <c r="G7" s="4">
        <v>-1.8750124999999997</v>
      </c>
      <c r="H7" s="4">
        <v>0.37000000000000027</v>
      </c>
      <c r="I7" s="4">
        <v>1.0700000000000016</v>
      </c>
      <c r="J7" s="4">
        <v>1.6400000000000006</v>
      </c>
      <c r="K7" s="4">
        <v>0.70000000000000129</v>
      </c>
      <c r="L7" s="4">
        <v>-1.5089758476345978</v>
      </c>
      <c r="M7" s="4">
        <v>4.1721096580966357</v>
      </c>
      <c r="N7" s="4">
        <v>5.8823529411764701</v>
      </c>
      <c r="O7" s="2">
        <v>41.17647058823529</v>
      </c>
    </row>
    <row r="11" spans="1:15">
      <c r="A11" s="1" t="s">
        <v>64</v>
      </c>
      <c r="B11" s="1" t="s">
        <v>66</v>
      </c>
      <c r="C11" s="1" t="s">
        <v>68</v>
      </c>
      <c r="D11" s="1" t="s">
        <v>74</v>
      </c>
    </row>
    <row r="12" spans="1:15">
      <c r="A12" t="s">
        <v>79</v>
      </c>
      <c r="B12">
        <v>0.63457615686274504</v>
      </c>
      <c r="C12">
        <v>0.55401274588022964</v>
      </c>
      <c r="D12">
        <v>0.8199999999999994</v>
      </c>
    </row>
    <row r="13" spans="1:15">
      <c r="A13" t="s">
        <v>80</v>
      </c>
      <c r="B13">
        <v>0.5662388425705136</v>
      </c>
      <c r="C13">
        <v>0.83993046605927768</v>
      </c>
      <c r="D13">
        <v>1.0240000000000007</v>
      </c>
    </row>
    <row r="14" spans="1:15">
      <c r="A14" t="s">
        <v>81</v>
      </c>
      <c r="B14">
        <v>0.59949309771673853</v>
      </c>
      <c r="C14">
        <v>0.83049405487602579</v>
      </c>
      <c r="D14">
        <v>0.70000000000000129</v>
      </c>
    </row>
  </sheetData>
  <mergeCells count="1">
    <mergeCell ref="A1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workbookViewId="0">
      <selection sqref="A1:P2"/>
    </sheetView>
  </sheetViews>
  <sheetFormatPr baseColWidth="10" defaultColWidth="8.796875" defaultRowHeight="13.8"/>
  <cols>
    <col min="1" max="16" width="16" customWidth="1"/>
  </cols>
  <sheetData>
    <row r="1" spans="1:16" ht="20.85" customHeight="1">
      <c r="A1" s="7" t="s">
        <v>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ht="27.6">
      <c r="A4" s="1" t="s">
        <v>17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</row>
    <row r="5" spans="1:16">
      <c r="A5" s="2" t="s">
        <v>43</v>
      </c>
      <c r="B5" s="2" t="s">
        <v>79</v>
      </c>
      <c r="C5" s="2">
        <v>2</v>
      </c>
      <c r="D5" s="4">
        <v>0.32539733333333365</v>
      </c>
      <c r="E5" s="4">
        <v>0.32539733333333365</v>
      </c>
      <c r="F5" s="4">
        <v>0.35440568996686372</v>
      </c>
      <c r="G5" s="4">
        <v>108.91474934206823</v>
      </c>
      <c r="H5" s="4">
        <v>7.4794666666667092E-2</v>
      </c>
      <c r="I5" s="4">
        <v>0.20009600000000036</v>
      </c>
      <c r="J5" s="4">
        <v>0.45069866666666691</v>
      </c>
      <c r="K5" s="4">
        <v>0.57600000000000018</v>
      </c>
      <c r="L5" s="4">
        <v>0.25060266666666653</v>
      </c>
      <c r="M5" s="4">
        <v>0</v>
      </c>
      <c r="N5" s="4">
        <v>-2</v>
      </c>
      <c r="O5" s="4">
        <v>0</v>
      </c>
      <c r="P5" s="4">
        <v>0</v>
      </c>
    </row>
    <row r="6" spans="1:16">
      <c r="A6" s="2" t="s">
        <v>43</v>
      </c>
      <c r="B6" s="2" t="s">
        <v>80</v>
      </c>
      <c r="C6" s="2">
        <v>2</v>
      </c>
      <c r="D6" s="4">
        <v>-0.8147221796100006</v>
      </c>
      <c r="E6" s="4">
        <v>-0.8147221796100006</v>
      </c>
      <c r="F6" s="4">
        <v>0.93157384024042844</v>
      </c>
      <c r="G6" s="4">
        <v>114.34251620413968</v>
      </c>
      <c r="H6" s="4">
        <v>-1.4734443592200011</v>
      </c>
      <c r="I6" s="4">
        <v>-1.1440832694150007</v>
      </c>
      <c r="J6" s="4">
        <v>-0.48536108980500048</v>
      </c>
      <c r="K6" s="4">
        <v>-0.15600000000000022</v>
      </c>
      <c r="L6" s="4">
        <v>0.65872217961000024</v>
      </c>
      <c r="M6" s="4">
        <v>-2.9131619793249438E-16</v>
      </c>
      <c r="N6" s="4">
        <v>-2</v>
      </c>
      <c r="O6" s="4">
        <v>100</v>
      </c>
      <c r="P6" s="4">
        <v>0</v>
      </c>
    </row>
    <row r="7" spans="1:16">
      <c r="A7" s="2" t="s">
        <v>43</v>
      </c>
      <c r="B7" s="2" t="s">
        <v>81</v>
      </c>
      <c r="C7" s="2">
        <v>2</v>
      </c>
      <c r="D7" s="4">
        <v>0.46164564061000096</v>
      </c>
      <c r="E7" s="4">
        <v>0.46164564061000096</v>
      </c>
      <c r="F7" s="4">
        <v>0.11929507909463094</v>
      </c>
      <c r="G7" s="4">
        <v>25.841266244113246</v>
      </c>
      <c r="H7" s="4">
        <v>0.37729128122000188</v>
      </c>
      <c r="I7" s="4">
        <v>0.41946846091500145</v>
      </c>
      <c r="J7" s="4">
        <v>0.50382282030500047</v>
      </c>
      <c r="K7" s="4">
        <v>0.54600000000000004</v>
      </c>
      <c r="L7" s="4">
        <v>8.4354359389999023E-2</v>
      </c>
      <c r="M7" s="4">
        <v>0</v>
      </c>
      <c r="N7" s="4">
        <v>-2</v>
      </c>
      <c r="O7" s="4">
        <v>0</v>
      </c>
      <c r="P7" s="4">
        <v>0</v>
      </c>
    </row>
    <row r="8" spans="1:16">
      <c r="A8" s="2" t="s">
        <v>47</v>
      </c>
      <c r="B8" s="2" t="s">
        <v>79</v>
      </c>
      <c r="C8" s="2">
        <v>14</v>
      </c>
      <c r="D8" s="4">
        <v>0.65664285714285708</v>
      </c>
      <c r="E8" s="4">
        <v>0.48499999999999943</v>
      </c>
      <c r="F8" s="4">
        <v>0.58779478459000389</v>
      </c>
      <c r="G8" s="4">
        <v>89.515141784483006</v>
      </c>
      <c r="H8" s="4">
        <v>3.1999999999999848E-2</v>
      </c>
      <c r="I8" s="4">
        <v>0.15500000000000005</v>
      </c>
      <c r="J8" s="4">
        <v>1.0257499999999993</v>
      </c>
      <c r="K8" s="4">
        <v>1.6320000000000021</v>
      </c>
      <c r="L8" s="4">
        <v>0.87074999999999925</v>
      </c>
      <c r="M8" s="4">
        <v>0.64782048184055097</v>
      </c>
      <c r="N8" s="4">
        <v>-1.1126239793052728</v>
      </c>
      <c r="O8" s="4">
        <v>0</v>
      </c>
      <c r="P8" s="4">
        <v>35.714285714285715</v>
      </c>
    </row>
    <row r="9" spans="1:16">
      <c r="A9" s="2" t="s">
        <v>47</v>
      </c>
      <c r="B9" s="2" t="s">
        <v>80</v>
      </c>
      <c r="C9" s="2">
        <v>14</v>
      </c>
      <c r="D9" s="4">
        <v>0.74500000000000011</v>
      </c>
      <c r="E9" s="4">
        <v>0.74200000000000021</v>
      </c>
      <c r="F9" s="4">
        <v>0.68450981900020436</v>
      </c>
      <c r="G9" s="4">
        <v>91.880512617353759</v>
      </c>
      <c r="H9" s="4">
        <v>-0.20800000000000002</v>
      </c>
      <c r="I9" s="4">
        <v>0.18049999999999999</v>
      </c>
      <c r="J9" s="4">
        <v>1.0950000000000002</v>
      </c>
      <c r="K9" s="4">
        <v>1.9419999999999988</v>
      </c>
      <c r="L9" s="4">
        <v>0.9145000000000002</v>
      </c>
      <c r="M9" s="4">
        <v>0.32920290839666971</v>
      </c>
      <c r="N9" s="4">
        <v>-0.91653763004520927</v>
      </c>
      <c r="O9" s="4">
        <v>21.428571428571427</v>
      </c>
      <c r="P9" s="4">
        <v>50</v>
      </c>
    </row>
    <row r="10" spans="1:16">
      <c r="A10" s="2" t="s">
        <v>47</v>
      </c>
      <c r="B10" s="2" t="s">
        <v>81</v>
      </c>
      <c r="C10" s="2">
        <v>14</v>
      </c>
      <c r="D10" s="4">
        <v>0.59049910714285747</v>
      </c>
      <c r="E10" s="4">
        <v>0.49799999999999978</v>
      </c>
      <c r="F10" s="4">
        <v>0.91234554594378803</v>
      </c>
      <c r="G10" s="4">
        <v>154.50413640024732</v>
      </c>
      <c r="H10" s="4">
        <v>-1.8750124999999997</v>
      </c>
      <c r="I10" s="4">
        <v>0.27550000000000002</v>
      </c>
      <c r="J10" s="4">
        <v>1.3069999999999993</v>
      </c>
      <c r="K10" s="4">
        <v>1.6400000000000006</v>
      </c>
      <c r="L10" s="4">
        <v>1.0314999999999992</v>
      </c>
      <c r="M10" s="4">
        <v>-1.4138833008112119</v>
      </c>
      <c r="N10" s="4">
        <v>3.3006291764749562</v>
      </c>
      <c r="O10" s="4">
        <v>7.1428571428571423</v>
      </c>
      <c r="P10" s="4">
        <v>42.857142857142854</v>
      </c>
    </row>
    <row r="11" spans="1:16">
      <c r="A11" s="2" t="s">
        <v>40</v>
      </c>
      <c r="B11" s="2" t="s">
        <v>79</v>
      </c>
      <c r="C11" s="2">
        <v>1</v>
      </c>
      <c r="D11" s="4">
        <v>0.94399999999999973</v>
      </c>
      <c r="E11" s="4">
        <v>0.94399999999999973</v>
      </c>
      <c r="F11" s="4"/>
      <c r="G11" s="4"/>
      <c r="H11" s="4">
        <v>0.94399999999999973</v>
      </c>
      <c r="I11" s="4">
        <v>0.94399999999999973</v>
      </c>
      <c r="J11" s="4">
        <v>0.94399999999999973</v>
      </c>
      <c r="K11" s="4">
        <v>0.94399999999999973</v>
      </c>
      <c r="L11" s="4">
        <v>0</v>
      </c>
      <c r="M11" s="4"/>
      <c r="N11" s="4"/>
      <c r="O11" s="4">
        <v>0</v>
      </c>
      <c r="P11" s="4">
        <v>100</v>
      </c>
    </row>
    <row r="12" spans="1:16">
      <c r="A12" s="2" t="s">
        <v>40</v>
      </c>
      <c r="B12" s="2" t="s">
        <v>80</v>
      </c>
      <c r="C12" s="2">
        <v>1</v>
      </c>
      <c r="D12" s="4">
        <v>0.82550468291872936</v>
      </c>
      <c r="E12" s="4">
        <v>0.82550468291872936</v>
      </c>
      <c r="F12" s="4"/>
      <c r="G12" s="4"/>
      <c r="H12" s="4">
        <v>0.82550468291872936</v>
      </c>
      <c r="I12" s="4">
        <v>0.82550468291872936</v>
      </c>
      <c r="J12" s="4">
        <v>0.82550468291872936</v>
      </c>
      <c r="K12" s="4">
        <v>0.82550468291872936</v>
      </c>
      <c r="L12" s="4">
        <v>0</v>
      </c>
      <c r="M12" s="4"/>
      <c r="N12" s="4"/>
      <c r="O12" s="4">
        <v>0</v>
      </c>
      <c r="P12" s="4">
        <v>100</v>
      </c>
    </row>
    <row r="13" spans="1:16">
      <c r="A13" s="2" t="s">
        <v>40</v>
      </c>
      <c r="B13" s="2" t="s">
        <v>81</v>
      </c>
      <c r="C13" s="2">
        <v>1</v>
      </c>
      <c r="D13" s="4">
        <v>1.0011038799645491</v>
      </c>
      <c r="E13" s="4">
        <v>1.0011038799645491</v>
      </c>
      <c r="F13" s="4"/>
      <c r="G13" s="4"/>
      <c r="H13" s="4">
        <v>1.0011038799645491</v>
      </c>
      <c r="I13" s="4">
        <v>1.0011038799645491</v>
      </c>
      <c r="J13" s="4">
        <v>1.0011038799645491</v>
      </c>
      <c r="K13" s="4">
        <v>1.0011038799645491</v>
      </c>
      <c r="L13" s="4">
        <v>0</v>
      </c>
      <c r="M13" s="4"/>
      <c r="N13" s="4"/>
      <c r="O13" s="4">
        <v>0</v>
      </c>
      <c r="P13" s="4">
        <v>100</v>
      </c>
    </row>
    <row r="17" spans="1:4">
      <c r="A17" s="1" t="s">
        <v>64</v>
      </c>
      <c r="B17" s="1" t="s">
        <v>83</v>
      </c>
      <c r="C17" s="1" t="s">
        <v>84</v>
      </c>
      <c r="D17" s="1" t="s">
        <v>85</v>
      </c>
    </row>
    <row r="18" spans="1:4">
      <c r="A18" t="s">
        <v>79</v>
      </c>
      <c r="B18" s="5">
        <v>0.85434173669467128</v>
      </c>
      <c r="C18" s="5">
        <v>0.65235207638315229</v>
      </c>
      <c r="D18" t="s">
        <v>86</v>
      </c>
    </row>
    <row r="19" spans="1:4">
      <c r="A19" t="s">
        <v>80</v>
      </c>
      <c r="B19" s="5">
        <v>4.4033613445378137</v>
      </c>
      <c r="C19" s="5">
        <v>0.11061709096971857</v>
      </c>
      <c r="D19" t="s">
        <v>86</v>
      </c>
    </row>
    <row r="20" spans="1:4">
      <c r="A20" t="s">
        <v>81</v>
      </c>
      <c r="B20" s="5">
        <v>0.43417366946778913</v>
      </c>
      <c r="C20" s="5">
        <v>0.80486007645992041</v>
      </c>
      <c r="D20" t="s">
        <v>86</v>
      </c>
    </row>
  </sheetData>
  <mergeCells count="1">
    <mergeCell ref="A1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C13" sqref="C13"/>
    </sheetView>
  </sheetViews>
  <sheetFormatPr baseColWidth="10" defaultColWidth="8.796875" defaultRowHeight="13.8"/>
  <cols>
    <col min="1" max="1" width="30" customWidth="1"/>
    <col min="2" max="4" width="22" customWidth="1"/>
  </cols>
  <sheetData>
    <row r="1" spans="1:4" ht="20.85" customHeight="1">
      <c r="A1" s="7" t="s">
        <v>87</v>
      </c>
      <c r="B1" s="7"/>
      <c r="C1" s="7"/>
      <c r="D1" s="7"/>
    </row>
    <row r="2" spans="1:4" ht="20.85" customHeight="1">
      <c r="A2" s="7"/>
      <c r="B2" s="7"/>
      <c r="C2" s="7"/>
      <c r="D2" s="7"/>
    </row>
    <row r="4" spans="1:4">
      <c r="A4" s="13" t="s">
        <v>88</v>
      </c>
      <c r="B4" s="13" t="s">
        <v>89</v>
      </c>
      <c r="C4" s="13" t="s">
        <v>84</v>
      </c>
      <c r="D4" s="13" t="s">
        <v>90</v>
      </c>
    </row>
    <row r="5" spans="1:4" ht="27.6">
      <c r="A5" s="14" t="s">
        <v>91</v>
      </c>
      <c r="B5" s="15">
        <v>1.058823529411768</v>
      </c>
      <c r="C5" s="15">
        <v>0.58895130975055232</v>
      </c>
      <c r="D5" s="14" t="s">
        <v>92</v>
      </c>
    </row>
    <row r="6" spans="1:4">
      <c r="A6" s="14" t="s">
        <v>93</v>
      </c>
      <c r="B6" s="15">
        <v>65</v>
      </c>
      <c r="C6" s="15">
        <v>0.6112213134765625</v>
      </c>
      <c r="D6" s="14" t="s">
        <v>94</v>
      </c>
    </row>
    <row r="7" spans="1:4">
      <c r="A7" s="14" t="s">
        <v>95</v>
      </c>
      <c r="B7" s="15">
        <v>53</v>
      </c>
      <c r="C7" s="15">
        <v>0.2841644287109375</v>
      </c>
      <c r="D7" s="14" t="s">
        <v>94</v>
      </c>
    </row>
    <row r="8" spans="1:4">
      <c r="A8" s="14" t="s">
        <v>96</v>
      </c>
      <c r="B8" s="15">
        <v>66</v>
      </c>
      <c r="C8" s="15">
        <v>0.644134521484375</v>
      </c>
      <c r="D8" s="14" t="s">
        <v>94</v>
      </c>
    </row>
    <row r="9" spans="1:4">
      <c r="A9" s="12"/>
      <c r="B9" s="12"/>
      <c r="C9" s="12"/>
      <c r="D9" s="12"/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topLeftCell="A7" workbookViewId="0">
      <selection activeCell="F27" sqref="F27"/>
    </sheetView>
  </sheetViews>
  <sheetFormatPr baseColWidth="10" defaultColWidth="8.796875" defaultRowHeight="13.8"/>
  <cols>
    <col min="1" max="1" width="45.69921875" customWidth="1"/>
    <col min="2" max="11" width="20" customWidth="1"/>
  </cols>
  <sheetData>
    <row r="1" spans="1:11" ht="20.85" customHeight="1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7.6">
      <c r="A4" s="13" t="s">
        <v>98</v>
      </c>
      <c r="B4" s="13" t="s">
        <v>99</v>
      </c>
      <c r="C4" s="13" t="s">
        <v>100</v>
      </c>
      <c r="D4" s="13" t="s">
        <v>101</v>
      </c>
    </row>
    <row r="5" spans="1:11">
      <c r="A5" s="16" t="s">
        <v>30</v>
      </c>
      <c r="B5" s="15">
        <v>78.368148849942216</v>
      </c>
      <c r="C5" s="15">
        <v>78.368148849942216</v>
      </c>
      <c r="D5" s="15">
        <v>5.8286310707144517</v>
      </c>
    </row>
    <row r="6" spans="1:11">
      <c r="A6" s="16" t="s">
        <v>31</v>
      </c>
      <c r="B6" s="15">
        <v>14.734356983019218</v>
      </c>
      <c r="C6" s="15">
        <v>93.102505832961427</v>
      </c>
      <c r="D6" s="15">
        <v>1.0958678006120544</v>
      </c>
    </row>
    <row r="7" spans="1:11">
      <c r="A7" s="16" t="s">
        <v>32</v>
      </c>
      <c r="B7" s="15">
        <v>4.2922834227181541</v>
      </c>
      <c r="C7" s="15">
        <v>97.394789255679584</v>
      </c>
      <c r="D7" s="15">
        <v>0.31923857956466267</v>
      </c>
    </row>
    <row r="10" spans="1:11">
      <c r="A10" s="13" t="s">
        <v>102</v>
      </c>
      <c r="B10" s="13" t="s">
        <v>103</v>
      </c>
      <c r="C10" s="13" t="s">
        <v>104</v>
      </c>
      <c r="D10" s="13" t="s">
        <v>105</v>
      </c>
    </row>
    <row r="11" spans="1:11">
      <c r="A11" s="16" t="s">
        <v>18</v>
      </c>
      <c r="B11" s="15">
        <v>0.9425341506490752</v>
      </c>
      <c r="C11" s="15">
        <v>0.19322972326141702</v>
      </c>
      <c r="D11" s="15">
        <v>-0.26729482194725462</v>
      </c>
    </row>
    <row r="12" spans="1:11">
      <c r="A12" s="16" t="s">
        <v>19</v>
      </c>
      <c r="B12" s="15">
        <v>0.85388675983341866</v>
      </c>
      <c r="C12" s="15">
        <v>-0.41265429948546856</v>
      </c>
      <c r="D12" s="15">
        <v>0.38421450923301975</v>
      </c>
    </row>
    <row r="13" spans="1:11">
      <c r="A13" s="16" t="s">
        <v>20</v>
      </c>
      <c r="B13" s="15">
        <v>0.56694621904467157</v>
      </c>
      <c r="C13" s="15">
        <v>0.83493223148461659</v>
      </c>
      <c r="D13" s="15">
        <v>0.17787132260415445</v>
      </c>
    </row>
    <row r="14" spans="1:11">
      <c r="A14" s="16" t="s">
        <v>23</v>
      </c>
      <c r="B14" s="15">
        <v>0.98896644153567892</v>
      </c>
      <c r="C14" s="15">
        <v>0.25082852251600846</v>
      </c>
      <c r="D14" s="15">
        <v>0.11921508393791017</v>
      </c>
    </row>
    <row r="15" spans="1:11">
      <c r="A15" s="16" t="s">
        <v>24</v>
      </c>
      <c r="B15" s="15">
        <v>0.96407906382991015</v>
      </c>
      <c r="C15" s="15">
        <v>-0.30350212406279881</v>
      </c>
      <c r="D15" s="15">
        <v>2.83257227131322E-2</v>
      </c>
    </row>
    <row r="16" spans="1:11">
      <c r="A16" s="16" t="s">
        <v>25</v>
      </c>
      <c r="B16" s="15">
        <v>0.99759516453906194</v>
      </c>
      <c r="C16" s="15">
        <v>-0.16450916913263947</v>
      </c>
      <c r="D16" s="15">
        <v>-0.13823726646681309</v>
      </c>
    </row>
    <row r="17" spans="1:4">
      <c r="A17" s="16" t="s">
        <v>28</v>
      </c>
      <c r="B17" s="15">
        <v>0.99348409929711345</v>
      </c>
      <c r="C17" s="15">
        <v>-9.5094263011708674E-2</v>
      </c>
      <c r="D17" s="15">
        <v>-0.18549645972084111</v>
      </c>
    </row>
    <row r="21" spans="1:4">
      <c r="A21" s="13" t="s">
        <v>16</v>
      </c>
      <c r="B21" s="13" t="s">
        <v>30</v>
      </c>
      <c r="C21" s="13" t="s">
        <v>31</v>
      </c>
      <c r="D21" s="13" t="s">
        <v>106</v>
      </c>
    </row>
    <row r="22" spans="1:4">
      <c r="A22" s="16" t="s">
        <v>39</v>
      </c>
      <c r="B22" s="14">
        <v>1.2500604729716109</v>
      </c>
      <c r="C22" s="14">
        <v>0.3250976084546478</v>
      </c>
      <c r="D22" s="14">
        <v>1</v>
      </c>
    </row>
    <row r="23" spans="1:4">
      <c r="A23" s="16" t="s">
        <v>42</v>
      </c>
      <c r="B23" s="14">
        <v>-2.4324718855880358</v>
      </c>
      <c r="C23" s="14">
        <v>0.46761939698112392</v>
      </c>
      <c r="D23" s="14">
        <v>2</v>
      </c>
    </row>
    <row r="24" spans="1:4">
      <c r="A24" s="16" t="s">
        <v>45</v>
      </c>
      <c r="B24" s="14">
        <v>-2.1483716024149282</v>
      </c>
      <c r="C24" s="14">
        <v>0.84896456231518347</v>
      </c>
      <c r="D24" s="14">
        <v>2</v>
      </c>
    </row>
    <row r="25" spans="1:4">
      <c r="A25" s="16" t="s">
        <v>46</v>
      </c>
      <c r="B25" s="14">
        <v>0.45410579479674495</v>
      </c>
      <c r="C25" s="14">
        <v>-3.8021674019808334</v>
      </c>
      <c r="D25" s="14">
        <v>3</v>
      </c>
    </row>
    <row r="26" spans="1:4">
      <c r="A26" s="16" t="s">
        <v>49</v>
      </c>
      <c r="B26" s="14">
        <v>-2.6094827940213388</v>
      </c>
      <c r="C26" s="14">
        <v>-4.6949126305154354E-2</v>
      </c>
      <c r="D26" s="14">
        <v>2</v>
      </c>
    </row>
    <row r="27" spans="1:4">
      <c r="A27" s="16" t="s">
        <v>51</v>
      </c>
      <c r="B27" s="14">
        <v>-2.4877689643500056</v>
      </c>
      <c r="C27" s="14">
        <v>0.37286886960661741</v>
      </c>
      <c r="D27" s="14">
        <v>2</v>
      </c>
    </row>
    <row r="28" spans="1:4">
      <c r="A28" s="16" t="s">
        <v>52</v>
      </c>
      <c r="B28" s="14">
        <v>0.93537427854730781</v>
      </c>
      <c r="C28" s="14">
        <v>0.52898238984671875</v>
      </c>
      <c r="D28" s="14">
        <v>1</v>
      </c>
    </row>
    <row r="29" spans="1:4">
      <c r="A29" s="16" t="s">
        <v>53</v>
      </c>
      <c r="B29" s="14">
        <v>-2.6995958106598565</v>
      </c>
      <c r="C29" s="14">
        <v>0.18756773221114986</v>
      </c>
      <c r="D29" s="14">
        <v>2</v>
      </c>
    </row>
    <row r="30" spans="1:4">
      <c r="A30" s="16" t="s">
        <v>54</v>
      </c>
      <c r="B30" s="14">
        <v>1.5046635444557417</v>
      </c>
      <c r="C30" s="14">
        <v>0.74943322177809946</v>
      </c>
      <c r="D30" s="14">
        <v>1</v>
      </c>
    </row>
    <row r="31" spans="1:4">
      <c r="A31" s="16" t="s">
        <v>55</v>
      </c>
      <c r="B31" s="14">
        <v>-2.400903428751735</v>
      </c>
      <c r="C31" s="14">
        <v>0.23877273429442697</v>
      </c>
      <c r="D31" s="14">
        <v>2</v>
      </c>
    </row>
    <row r="32" spans="1:4">
      <c r="A32" s="16" t="s">
        <v>56</v>
      </c>
      <c r="B32" s="14">
        <v>4.4922667400740055</v>
      </c>
      <c r="C32" s="14">
        <v>4.5810295948373408E-2</v>
      </c>
      <c r="D32" s="14">
        <v>4</v>
      </c>
    </row>
    <row r="33" spans="1:4">
      <c r="A33" s="16" t="s">
        <v>57</v>
      </c>
      <c r="B33" s="14">
        <v>0.61650476981933744</v>
      </c>
      <c r="C33" s="14">
        <v>-0.15227594770400121</v>
      </c>
      <c r="D33" s="14">
        <v>1</v>
      </c>
    </row>
    <row r="34" spans="1:4">
      <c r="A34" s="16" t="s">
        <v>58</v>
      </c>
      <c r="B34" s="14">
        <v>-0.48217481959050434</v>
      </c>
      <c r="C34" s="14">
        <v>-0.25826496790383963</v>
      </c>
      <c r="D34" s="14">
        <v>1</v>
      </c>
    </row>
    <row r="35" spans="1:4">
      <c r="A35" s="16" t="s">
        <v>59</v>
      </c>
      <c r="B35" s="14">
        <v>3.8728442413838082</v>
      </c>
      <c r="C35" s="14">
        <v>0.25661336710347821</v>
      </c>
      <c r="D35" s="14">
        <v>4</v>
      </c>
    </row>
    <row r="36" spans="1:4">
      <c r="A36" s="16" t="s">
        <v>60</v>
      </c>
      <c r="B36" s="14">
        <v>-1.8475900536114294</v>
      </c>
      <c r="C36" s="14">
        <v>-0.33353979349750307</v>
      </c>
      <c r="D36" s="14">
        <v>2</v>
      </c>
    </row>
    <row r="37" spans="1:4">
      <c r="A37" s="16" t="s">
        <v>61</v>
      </c>
      <c r="B37" s="14">
        <v>3.5130242668920926</v>
      </c>
      <c r="C37" s="14">
        <v>0.79809805245143939</v>
      </c>
      <c r="D37" s="14">
        <v>4</v>
      </c>
    </row>
    <row r="38" spans="1:4">
      <c r="A38" s="16" t="s">
        <v>62</v>
      </c>
      <c r="B38" s="16">
        <v>0.46951525004718536</v>
      </c>
      <c r="C38" s="16">
        <v>-0.226630993599928</v>
      </c>
      <c r="D38" s="14">
        <v>1</v>
      </c>
    </row>
  </sheetData>
  <mergeCells count="1">
    <mergeCell ref="A1:K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workbookViewId="0">
      <selection activeCell="K15" sqref="K15"/>
    </sheetView>
  </sheetViews>
  <sheetFormatPr baseColWidth="10" defaultColWidth="8.796875" defaultRowHeight="13.8"/>
  <cols>
    <col min="1" max="1" width="44.796875" customWidth="1"/>
    <col min="2" max="7" width="18" customWidth="1"/>
  </cols>
  <sheetData>
    <row r="1" spans="1:14" ht="20.85" customHeight="1">
      <c r="A1" s="7" t="s">
        <v>107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27.6">
      <c r="A4" s="1" t="s">
        <v>16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14">
      <c r="A5" s="2" t="s">
        <v>39</v>
      </c>
      <c r="B5" s="4">
        <v>-26.3643798828125</v>
      </c>
      <c r="C5" s="4">
        <v>21.501895904541016</v>
      </c>
      <c r="D5" s="2">
        <v>1</v>
      </c>
      <c r="E5" s="2">
        <v>2</v>
      </c>
      <c r="F5" s="3" t="b">
        <v>0</v>
      </c>
      <c r="G5" s="2">
        <v>0.16150869770667864</v>
      </c>
    </row>
    <row r="6" spans="1:14">
      <c r="A6" s="2" t="s">
        <v>42</v>
      </c>
      <c r="B6" s="4">
        <v>25.953996658325195</v>
      </c>
      <c r="C6" s="4">
        <v>-56.032855987548828</v>
      </c>
      <c r="D6" s="2">
        <v>2</v>
      </c>
      <c r="E6" s="2">
        <v>1</v>
      </c>
      <c r="F6" s="3" t="b">
        <v>0</v>
      </c>
      <c r="G6" s="2">
        <v>0.21082750559131053</v>
      </c>
    </row>
    <row r="7" spans="1:14">
      <c r="A7" s="2" t="s">
        <v>45</v>
      </c>
      <c r="B7" s="4">
        <v>39.971511840820313</v>
      </c>
      <c r="C7" s="4">
        <v>-62.93841552734375</v>
      </c>
      <c r="D7" s="2">
        <v>2</v>
      </c>
      <c r="E7" s="2">
        <v>1</v>
      </c>
      <c r="F7" s="3" t="b">
        <v>0</v>
      </c>
      <c r="G7" s="2">
        <v>0.16484723215441469</v>
      </c>
    </row>
    <row r="8" spans="1:14">
      <c r="A8" s="2" t="s">
        <v>46</v>
      </c>
      <c r="B8" s="4">
        <v>5.8754897117614746</v>
      </c>
      <c r="C8" s="4">
        <v>8.4934587478637695</v>
      </c>
      <c r="D8" s="2">
        <v>3</v>
      </c>
      <c r="E8" s="2">
        <v>4</v>
      </c>
      <c r="F8" s="3" t="b">
        <v>0</v>
      </c>
      <c r="G8" s="2"/>
    </row>
    <row r="9" spans="1:14">
      <c r="A9" s="2" t="s">
        <v>49</v>
      </c>
      <c r="B9" s="4">
        <v>17.899785995483398</v>
      </c>
      <c r="C9" s="4">
        <v>-46.568367004394531</v>
      </c>
      <c r="D9" s="2">
        <v>2</v>
      </c>
      <c r="E9" s="2">
        <v>1</v>
      </c>
      <c r="F9" s="3" t="b">
        <v>0</v>
      </c>
      <c r="G9" s="2">
        <v>0.19758879865374837</v>
      </c>
    </row>
    <row r="10" spans="1:14">
      <c r="A10" s="2" t="s">
        <v>51</v>
      </c>
      <c r="B10" s="4">
        <v>35.209732055664063</v>
      </c>
      <c r="C10" s="4">
        <v>-51.369121551513672</v>
      </c>
      <c r="D10" s="2">
        <v>2</v>
      </c>
      <c r="E10" s="2">
        <v>1</v>
      </c>
      <c r="F10" s="3" t="b">
        <v>0</v>
      </c>
      <c r="G10" s="2">
        <v>0.21420098129363932</v>
      </c>
    </row>
    <row r="11" spans="1:14">
      <c r="A11" s="2" t="s">
        <v>52</v>
      </c>
      <c r="B11" s="4">
        <v>-18.966222763061523</v>
      </c>
      <c r="C11" s="4">
        <v>16.634042739868164</v>
      </c>
      <c r="D11" s="2">
        <v>1</v>
      </c>
      <c r="E11" s="2">
        <v>2</v>
      </c>
      <c r="F11" s="3" t="b">
        <v>0</v>
      </c>
      <c r="G11" s="2">
        <v>0.16390598020099484</v>
      </c>
    </row>
    <row r="12" spans="1:14">
      <c r="A12" s="2" t="s">
        <v>53</v>
      </c>
      <c r="B12" s="4">
        <v>26.896883010864258</v>
      </c>
      <c r="C12" s="4">
        <v>-46.048999786376953</v>
      </c>
      <c r="D12" s="2">
        <v>2</v>
      </c>
      <c r="E12" s="2">
        <v>1</v>
      </c>
      <c r="F12" s="3" t="b">
        <v>0</v>
      </c>
      <c r="G12" s="2">
        <v>0.20360944966913908</v>
      </c>
    </row>
    <row r="13" spans="1:14">
      <c r="A13" s="2" t="s">
        <v>54</v>
      </c>
      <c r="B13" s="4">
        <v>-19.513692855834961</v>
      </c>
      <c r="C13" s="4">
        <v>27.273397445678711</v>
      </c>
      <c r="D13" s="2">
        <v>1</v>
      </c>
      <c r="E13" s="2">
        <v>2</v>
      </c>
      <c r="F13" s="3" t="b">
        <v>0</v>
      </c>
      <c r="G13" s="2">
        <v>0.12789305434246626</v>
      </c>
    </row>
    <row r="14" spans="1:14">
      <c r="A14" s="2" t="s">
        <v>55</v>
      </c>
      <c r="B14" s="4">
        <v>33.622749328613281</v>
      </c>
      <c r="C14" s="4">
        <v>-39.754421234130859</v>
      </c>
      <c r="D14" s="2">
        <v>2</v>
      </c>
      <c r="E14" s="2">
        <v>1</v>
      </c>
      <c r="F14" s="3" t="b">
        <v>0</v>
      </c>
      <c r="G14" s="2">
        <v>0.21662953275935976</v>
      </c>
    </row>
    <row r="15" spans="1:14">
      <c r="A15" s="2" t="s">
        <v>56</v>
      </c>
      <c r="B15" s="4">
        <v>-41.047035217285156</v>
      </c>
      <c r="C15" s="4">
        <v>47.410598754882813</v>
      </c>
      <c r="D15" s="2">
        <v>4</v>
      </c>
      <c r="E15" s="2">
        <v>3</v>
      </c>
      <c r="F15" s="3" t="b">
        <v>0</v>
      </c>
      <c r="G15" s="2">
        <v>0.16740660608710362</v>
      </c>
    </row>
    <row r="16" spans="1:14">
      <c r="A16" s="2" t="s">
        <v>57</v>
      </c>
      <c r="B16" s="4">
        <v>-5.4481344223022461</v>
      </c>
      <c r="C16" s="4">
        <v>23.835981369018555</v>
      </c>
      <c r="D16" s="2">
        <v>1</v>
      </c>
      <c r="E16" s="2">
        <v>2</v>
      </c>
      <c r="F16" s="3" t="b">
        <v>0</v>
      </c>
      <c r="G16" s="2">
        <v>0.16186998791591931</v>
      </c>
    </row>
    <row r="17" spans="1:14">
      <c r="A17" s="2" t="s">
        <v>58</v>
      </c>
      <c r="B17" s="4">
        <v>-6.2222223281860352</v>
      </c>
      <c r="C17" s="4">
        <v>4.9363369941711426</v>
      </c>
      <c r="D17" s="2">
        <v>1</v>
      </c>
      <c r="E17" s="2">
        <v>2</v>
      </c>
      <c r="F17" s="3" t="b">
        <v>0</v>
      </c>
      <c r="G17" s="2">
        <v>8.7076314866106161E-2</v>
      </c>
    </row>
    <row r="18" spans="1:14">
      <c r="A18" s="2" t="s">
        <v>59</v>
      </c>
      <c r="B18" s="4">
        <v>-31.9908447265625</v>
      </c>
      <c r="C18" s="4">
        <v>46.258708953857422</v>
      </c>
      <c r="D18" s="2">
        <v>4</v>
      </c>
      <c r="E18" s="2">
        <v>3</v>
      </c>
      <c r="F18" s="3" t="b">
        <v>0</v>
      </c>
      <c r="G18" s="2">
        <v>0.20180230782178046</v>
      </c>
    </row>
    <row r="19" spans="1:14">
      <c r="A19" s="2" t="s">
        <v>60</v>
      </c>
      <c r="B19" s="4">
        <v>20.68977165222168</v>
      </c>
      <c r="C19" s="4">
        <v>-35.345569610595703</v>
      </c>
      <c r="D19" s="2">
        <v>2</v>
      </c>
      <c r="E19" s="2">
        <v>1</v>
      </c>
      <c r="F19" s="3" t="b">
        <v>0</v>
      </c>
      <c r="G19" s="2">
        <v>0.13968425226620027</v>
      </c>
    </row>
    <row r="20" spans="1:14">
      <c r="A20" s="2" t="s">
        <v>61</v>
      </c>
      <c r="B20" s="4">
        <v>-36.564918518066406</v>
      </c>
      <c r="C20" s="4">
        <v>38.523899078369141</v>
      </c>
      <c r="D20" s="2">
        <v>4</v>
      </c>
      <c r="E20" s="2">
        <v>3</v>
      </c>
      <c r="F20" s="3" t="b">
        <v>0</v>
      </c>
      <c r="G20" s="2">
        <v>0.16765957034981036</v>
      </c>
    </row>
    <row r="21" spans="1:14">
      <c r="A21" s="2" t="s">
        <v>62</v>
      </c>
      <c r="B21" s="4">
        <v>-9.5347270965576172</v>
      </c>
      <c r="C21" s="4">
        <v>13.144562721252441</v>
      </c>
      <c r="D21" s="2">
        <v>1</v>
      </c>
      <c r="E21" s="2">
        <v>2</v>
      </c>
      <c r="F21" s="3" t="b">
        <v>0</v>
      </c>
      <c r="G21" s="2">
        <v>0.15365275285332641</v>
      </c>
    </row>
    <row r="25" spans="1:14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112</v>
      </c>
      <c r="H25" s="8" t="s">
        <v>113</v>
      </c>
      <c r="I25" s="8"/>
      <c r="J25" s="8"/>
      <c r="K25" s="8"/>
      <c r="L25" s="8"/>
      <c r="M25" s="8"/>
      <c r="N25" s="8"/>
    </row>
    <row r="26" spans="1:14">
      <c r="A26" s="2" t="s">
        <v>114</v>
      </c>
      <c r="B26" s="2">
        <v>2</v>
      </c>
      <c r="C26" s="4">
        <v>0.48892618008920735</v>
      </c>
      <c r="D26" s="4">
        <v>0.6984940438608489</v>
      </c>
      <c r="E26" s="4">
        <v>21.194918980104902</v>
      </c>
    </row>
    <row r="27" spans="1:14">
      <c r="A27" s="2" t="s">
        <v>114</v>
      </c>
      <c r="B27" s="2">
        <v>3</v>
      </c>
      <c r="C27" s="4">
        <v>0.524188370636406</v>
      </c>
      <c r="D27" s="4">
        <v>0.66963516826305958</v>
      </c>
      <c r="E27" s="4">
        <v>23.843596844273513</v>
      </c>
    </row>
    <row r="28" spans="1:14">
      <c r="A28" s="2" t="s">
        <v>114</v>
      </c>
      <c r="B28" s="2">
        <v>4</v>
      </c>
      <c r="C28" s="4">
        <v>0.55479614411098377</v>
      </c>
      <c r="D28" s="4">
        <v>0.45489849993115389</v>
      </c>
      <c r="E28" s="4">
        <v>34.912270007539881</v>
      </c>
    </row>
    <row r="29" spans="1:14">
      <c r="A29" s="2" t="s">
        <v>114</v>
      </c>
      <c r="B29" s="2">
        <v>5</v>
      </c>
      <c r="C29" s="4">
        <v>0.53683308243934025</v>
      </c>
      <c r="D29" s="4">
        <v>0.38439063052106559</v>
      </c>
      <c r="E29" s="4">
        <v>39.206136391416685</v>
      </c>
    </row>
    <row r="30" spans="1:14">
      <c r="A30" s="2" t="s">
        <v>114</v>
      </c>
      <c r="B30" s="2">
        <v>6</v>
      </c>
      <c r="C30" s="4">
        <v>0.46739625496431197</v>
      </c>
      <c r="D30" s="4">
        <v>0.5418591802337781</v>
      </c>
      <c r="E30" s="4">
        <v>45.581560135718959</v>
      </c>
    </row>
  </sheetData>
  <mergeCells count="2">
    <mergeCell ref="A1:N2"/>
    <mergeCell ref="H25:N25"/>
  </mergeCells>
  <conditionalFormatting sqref="F5:F21">
    <cfRule type="expression" dxfId="0" priority="1">
      <formula>F5=TRUE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topLeftCell="A3" workbookViewId="0">
      <selection sqref="A1:K2"/>
    </sheetView>
  </sheetViews>
  <sheetFormatPr baseColWidth="10" defaultColWidth="8.796875" defaultRowHeight="13.8"/>
  <cols>
    <col min="1" max="2" width="12" customWidth="1"/>
    <col min="3" max="10" width="19" customWidth="1"/>
    <col min="11" max="11" width="55" customWidth="1"/>
  </cols>
  <sheetData>
    <row r="1" spans="1:11" ht="20.85" customHeight="1">
      <c r="A1" s="7" t="s">
        <v>115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7.6">
      <c r="A4" s="1" t="s">
        <v>106</v>
      </c>
      <c r="B4" s="1" t="s">
        <v>65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</row>
    <row r="5" spans="1:11" ht="165.6">
      <c r="A5" s="2">
        <v>1</v>
      </c>
      <c r="B5" s="2">
        <v>6</v>
      </c>
      <c r="C5" s="4">
        <v>0.71183333333333298</v>
      </c>
      <c r="D5" s="4">
        <v>0.78358411381978821</v>
      </c>
      <c r="E5" s="4">
        <v>0.89951731332742524</v>
      </c>
      <c r="F5" s="4">
        <v>12.566666666666668</v>
      </c>
      <c r="G5" s="4">
        <v>46.455880208333333</v>
      </c>
      <c r="H5" s="4">
        <v>4.0947170674780642</v>
      </c>
      <c r="I5" s="4">
        <v>14.015000000000001</v>
      </c>
      <c r="J5" s="4" t="s">
        <v>124</v>
      </c>
    </row>
    <row r="6" spans="1:11" ht="179.4">
      <c r="A6" s="2">
        <v>2</v>
      </c>
      <c r="B6" s="2">
        <v>7</v>
      </c>
      <c r="C6" s="4">
        <v>0.19039923809523818</v>
      </c>
      <c r="D6" s="4">
        <v>-0.20963490846000019</v>
      </c>
      <c r="E6" s="4">
        <v>0.29047018303142885</v>
      </c>
      <c r="F6" s="4">
        <v>1.6554017558428578</v>
      </c>
      <c r="G6" s="4">
        <v>7.4376450892857138</v>
      </c>
      <c r="H6" s="4">
        <v>0.85818158636790953</v>
      </c>
      <c r="I6" s="4">
        <v>3.3837142857142859</v>
      </c>
      <c r="J6" s="4" t="s">
        <v>125</v>
      </c>
    </row>
    <row r="7" spans="1:11" ht="27.6">
      <c r="A7" s="2">
        <v>3</v>
      </c>
      <c r="B7" s="2">
        <v>1</v>
      </c>
      <c r="C7" s="4">
        <v>0.48199999999999932</v>
      </c>
      <c r="D7" s="4">
        <v>1.6600000000000024</v>
      </c>
      <c r="E7" s="4">
        <v>-1.8750124999999997</v>
      </c>
      <c r="F7" s="4">
        <v>2.3749375000000015</v>
      </c>
      <c r="G7" s="4">
        <v>78.458906250000013</v>
      </c>
      <c r="H7" s="4">
        <v>5.7768570166594406</v>
      </c>
      <c r="I7" s="4">
        <v>16.47</v>
      </c>
      <c r="J7" s="4" t="s">
        <v>46</v>
      </c>
    </row>
    <row r="8" spans="1:11" ht="69">
      <c r="A8" s="2">
        <v>4</v>
      </c>
      <c r="B8" s="2">
        <v>3</v>
      </c>
      <c r="C8" s="4">
        <v>1.5673333333333341</v>
      </c>
      <c r="D8" s="4">
        <v>1.577333333333333</v>
      </c>
      <c r="E8" s="4">
        <v>1.5453333333333337</v>
      </c>
      <c r="F8" s="4">
        <v>24.596666666666675</v>
      </c>
      <c r="G8" s="4">
        <v>84.398333333333326</v>
      </c>
      <c r="H8" s="4">
        <v>7.6343800904745036</v>
      </c>
      <c r="I8" s="4">
        <v>22.77333333333333</v>
      </c>
      <c r="J8" s="4" t="s">
        <v>126</v>
      </c>
    </row>
    <row r="9" spans="1:11">
      <c r="C9" s="5"/>
      <c r="D9" s="5"/>
      <c r="E9" s="5"/>
      <c r="F9" s="5"/>
      <c r="G9" s="5"/>
      <c r="H9" s="5"/>
      <c r="I9" s="5"/>
      <c r="J9" s="5"/>
    </row>
    <row r="10" spans="1:11">
      <c r="C10" s="5"/>
      <c r="D10" s="5"/>
      <c r="E10" s="5"/>
      <c r="F10" s="5"/>
      <c r="G10" s="5"/>
      <c r="H10" s="5"/>
      <c r="I10" s="5"/>
      <c r="J10" s="5"/>
    </row>
  </sheetData>
  <mergeCells count="1">
    <mergeCell ref="A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tabSelected="1" topLeftCell="A9" workbookViewId="0">
      <selection activeCell="E36" sqref="E36"/>
    </sheetView>
  </sheetViews>
  <sheetFormatPr baseColWidth="10" defaultColWidth="8.796875" defaultRowHeight="13.8"/>
  <cols>
    <col min="2" max="2" width="42" customWidth="1"/>
  </cols>
  <sheetData>
    <row r="1" spans="1:18" ht="20.85" customHeight="1">
      <c r="A1" s="7" t="s">
        <v>127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0.8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spans="1:18">
      <c r="A4" s="1" t="s">
        <v>16</v>
      </c>
      <c r="B4" s="1" t="s">
        <v>128</v>
      </c>
      <c r="C4" s="1" t="s">
        <v>129</v>
      </c>
      <c r="D4" s="1" t="s">
        <v>130</v>
      </c>
      <c r="E4" s="1" t="s">
        <v>131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140</v>
      </c>
      <c r="O4" s="1" t="s">
        <v>141</v>
      </c>
      <c r="P4" s="1" t="s">
        <v>142</v>
      </c>
      <c r="Q4" s="1" t="s">
        <v>143</v>
      </c>
      <c r="R4" s="1" t="s">
        <v>144</v>
      </c>
    </row>
    <row r="5" spans="1:18">
      <c r="A5" s="1" t="s">
        <v>128</v>
      </c>
      <c r="B5" s="6">
        <v>0</v>
      </c>
      <c r="C5" s="6">
        <v>3.7480838083984587</v>
      </c>
      <c r="D5" s="6">
        <v>3.9151110433425447</v>
      </c>
      <c r="E5" s="6">
        <v>4.2414635838294661</v>
      </c>
      <c r="F5" s="6">
        <v>3.9124095421379859</v>
      </c>
      <c r="G5" s="6">
        <v>3.7677264778776993</v>
      </c>
      <c r="H5" s="6">
        <v>0.89690868759448905</v>
      </c>
      <c r="I5" s="6">
        <v>4.0057672243687472</v>
      </c>
      <c r="J5" s="6">
        <v>0.6804882261496511</v>
      </c>
      <c r="K5" s="6">
        <v>3.7334770140688143</v>
      </c>
      <c r="L5" s="6">
        <v>3.3465800237158239</v>
      </c>
      <c r="M5" s="6">
        <v>1.8242673889020316</v>
      </c>
      <c r="N5" s="6">
        <v>1.9269630643366609</v>
      </c>
      <c r="O5" s="6">
        <v>2.6409350627690689</v>
      </c>
      <c r="P5" s="6">
        <v>3.1988921252145461</v>
      </c>
      <c r="Q5" s="6">
        <v>2.4035359919595058</v>
      </c>
      <c r="R5" s="6">
        <v>1.0594841622657982</v>
      </c>
    </row>
    <row r="6" spans="1:18">
      <c r="A6" s="1" t="s">
        <v>129</v>
      </c>
      <c r="B6" s="6">
        <v>3.7480838083984587</v>
      </c>
      <c r="C6" s="6">
        <v>0</v>
      </c>
      <c r="D6" s="6">
        <v>2.2726932304426968</v>
      </c>
      <c r="E6" s="6">
        <v>5.2160582214363336</v>
      </c>
      <c r="F6" s="6">
        <v>0.69257371358963893</v>
      </c>
      <c r="G6" s="6">
        <v>0.31126189213113103</v>
      </c>
      <c r="H6" s="6">
        <v>3.4671264347795763</v>
      </c>
      <c r="I6" s="6">
        <v>0.50931425510312178</v>
      </c>
      <c r="J6" s="6">
        <v>3.9559896579436415</v>
      </c>
      <c r="K6" s="6">
        <v>0.3946562388837298</v>
      </c>
      <c r="L6" s="6">
        <v>6.9388997525103457</v>
      </c>
      <c r="M6" s="6">
        <v>3.3631929598750698</v>
      </c>
      <c r="N6" s="6">
        <v>2.0956501214347436</v>
      </c>
      <c r="O6" s="6">
        <v>6.3490516459492685</v>
      </c>
      <c r="P6" s="6">
        <v>1.1076680896317876</v>
      </c>
      <c r="Q6" s="6">
        <v>6.0007290452718278</v>
      </c>
      <c r="R6" s="6">
        <v>3.0195802559352569</v>
      </c>
    </row>
    <row r="7" spans="1:18">
      <c r="A7" s="1" t="s">
        <v>130</v>
      </c>
      <c r="B7" s="6">
        <v>3.9151110433425447</v>
      </c>
      <c r="C7" s="6">
        <v>2.2726932304426968</v>
      </c>
      <c r="D7" s="6">
        <v>0</v>
      </c>
      <c r="E7" s="6">
        <v>5.5305255955897872</v>
      </c>
      <c r="F7" s="6">
        <v>2.3386808292887755</v>
      </c>
      <c r="G7" s="6">
        <v>2.1135623850907677</v>
      </c>
      <c r="H7" s="6">
        <v>3.6386187228696349</v>
      </c>
      <c r="I7" s="6">
        <v>2.4910607866481684</v>
      </c>
      <c r="J7" s="6">
        <v>4.1789305864132471</v>
      </c>
      <c r="K7" s="6">
        <v>2.5602819355988209</v>
      </c>
      <c r="L7" s="6">
        <v>7.046605400885638</v>
      </c>
      <c r="M7" s="6">
        <v>3.9728532877340785</v>
      </c>
      <c r="N7" s="6">
        <v>2.8471475495594145</v>
      </c>
      <c r="O7" s="6">
        <v>6.3613134538786431</v>
      </c>
      <c r="P7" s="6">
        <v>2.4717394500731915</v>
      </c>
      <c r="Q7" s="6">
        <v>5.8971004605937001</v>
      </c>
      <c r="R7" s="6">
        <v>3.5986093036563411</v>
      </c>
    </row>
    <row r="8" spans="1:18">
      <c r="A8" s="1" t="s">
        <v>131</v>
      </c>
      <c r="B8" s="6">
        <v>4.2414635838294661</v>
      </c>
      <c r="C8" s="6">
        <v>5.2160582214363336</v>
      </c>
      <c r="D8" s="6">
        <v>5.5305255955897872</v>
      </c>
      <c r="E8" s="6">
        <v>0</v>
      </c>
      <c r="F8" s="6">
        <v>4.8881285434802413</v>
      </c>
      <c r="G8" s="6">
        <v>5.1387252090714108</v>
      </c>
      <c r="H8" s="6">
        <v>4.3993869769087874</v>
      </c>
      <c r="I8" s="6">
        <v>5.1587288410666101</v>
      </c>
      <c r="J8" s="6">
        <v>4.7092293492208679</v>
      </c>
      <c r="K8" s="6">
        <v>5.0534522458692566</v>
      </c>
      <c r="L8" s="6">
        <v>5.6393714108703925</v>
      </c>
      <c r="M8" s="6">
        <v>4.0400979306560645</v>
      </c>
      <c r="N8" s="6">
        <v>3.7122693807865326</v>
      </c>
      <c r="O8" s="6">
        <v>5.3399429681945172</v>
      </c>
      <c r="P8" s="6">
        <v>4.2200783921505991</v>
      </c>
      <c r="Q8" s="6">
        <v>5.5308506529268735</v>
      </c>
      <c r="R8" s="6">
        <v>3.6585089510210569</v>
      </c>
    </row>
    <row r="9" spans="1:18">
      <c r="A9" s="1" t="s">
        <v>132</v>
      </c>
      <c r="B9" s="6">
        <v>3.9124095421379859</v>
      </c>
      <c r="C9" s="6">
        <v>0.69257371358963893</v>
      </c>
      <c r="D9" s="6">
        <v>2.3386808292887755</v>
      </c>
      <c r="E9" s="6">
        <v>4.8881285434802413</v>
      </c>
      <c r="F9" s="6">
        <v>0</v>
      </c>
      <c r="G9" s="6">
        <v>0.48296836271599425</v>
      </c>
      <c r="H9" s="6">
        <v>3.6360182707239059</v>
      </c>
      <c r="I9" s="6">
        <v>0.36298116965407135</v>
      </c>
      <c r="J9" s="6">
        <v>4.2045638078213026</v>
      </c>
      <c r="K9" s="6">
        <v>0.62534341024366658</v>
      </c>
      <c r="L9" s="6">
        <v>7.1215888468488311</v>
      </c>
      <c r="M9" s="6">
        <v>3.6275577975703022</v>
      </c>
      <c r="N9" s="6">
        <v>2.1625571063103446</v>
      </c>
      <c r="O9" s="6">
        <v>6.5002645034074122</v>
      </c>
      <c r="P9" s="6">
        <v>0.83147687291433092</v>
      </c>
      <c r="Q9" s="6">
        <v>6.2019566319237569</v>
      </c>
      <c r="R9" s="6">
        <v>3.095718794023842</v>
      </c>
    </row>
    <row r="10" spans="1:18">
      <c r="A10" s="1" t="s">
        <v>133</v>
      </c>
      <c r="B10" s="6">
        <v>3.7677264778776993</v>
      </c>
      <c r="C10" s="6">
        <v>0.31126189213113103</v>
      </c>
      <c r="D10" s="6">
        <v>2.1135623850907677</v>
      </c>
      <c r="E10" s="6">
        <v>5.1387252090714108</v>
      </c>
      <c r="F10" s="6">
        <v>0.48296836271599425</v>
      </c>
      <c r="G10" s="6">
        <v>0</v>
      </c>
      <c r="H10" s="6">
        <v>3.481398676084531</v>
      </c>
      <c r="I10" s="6">
        <v>0.42369454682504581</v>
      </c>
      <c r="J10" s="6">
        <v>4.0131881141581394</v>
      </c>
      <c r="K10" s="6">
        <v>0.50047103953178163</v>
      </c>
      <c r="L10" s="6">
        <v>6.9979403835576042</v>
      </c>
      <c r="M10" s="6">
        <v>3.4798641997015531</v>
      </c>
      <c r="N10" s="6">
        <v>2.109580696725748</v>
      </c>
      <c r="O10" s="6">
        <v>6.3776927909131826</v>
      </c>
      <c r="P10" s="6">
        <v>0.99467551319755698</v>
      </c>
      <c r="Q10" s="6">
        <v>6.0368015953160983</v>
      </c>
      <c r="R10" s="6">
        <v>3.0342665066080836</v>
      </c>
    </row>
    <row r="11" spans="1:18">
      <c r="A11" s="1" t="s">
        <v>134</v>
      </c>
      <c r="B11" s="6">
        <v>0.89690868759448905</v>
      </c>
      <c r="C11" s="6">
        <v>3.4671264347795763</v>
      </c>
      <c r="D11" s="6">
        <v>3.6386187228696349</v>
      </c>
      <c r="E11" s="6">
        <v>4.3993869769087874</v>
      </c>
      <c r="F11" s="6">
        <v>3.6360182707239059</v>
      </c>
      <c r="G11" s="6">
        <v>3.481398676084531</v>
      </c>
      <c r="H11" s="6">
        <v>0</v>
      </c>
      <c r="I11" s="6">
        <v>3.7283643371491517</v>
      </c>
      <c r="J11" s="6">
        <v>0.90335082441166059</v>
      </c>
      <c r="K11" s="6">
        <v>3.4725208791379378</v>
      </c>
      <c r="L11" s="6">
        <v>3.6939943209179287</v>
      </c>
      <c r="M11" s="6">
        <v>1.9369252593085051</v>
      </c>
      <c r="N11" s="6">
        <v>1.7322941596719401</v>
      </c>
      <c r="O11" s="6">
        <v>3.0284634374393309</v>
      </c>
      <c r="P11" s="6">
        <v>2.9743982029798981</v>
      </c>
      <c r="Q11" s="6">
        <v>2.6421440419162172</v>
      </c>
      <c r="R11" s="6">
        <v>1.1238349467569735</v>
      </c>
    </row>
    <row r="12" spans="1:18">
      <c r="A12" s="1" t="s">
        <v>135</v>
      </c>
      <c r="B12" s="6">
        <v>4.0057672243687472</v>
      </c>
      <c r="C12" s="6">
        <v>0.50931425510312178</v>
      </c>
      <c r="D12" s="6">
        <v>2.4910607866481684</v>
      </c>
      <c r="E12" s="6">
        <v>5.1587288410666101</v>
      </c>
      <c r="F12" s="6">
        <v>0.36298116965407135</v>
      </c>
      <c r="G12" s="6">
        <v>0.42369454682504581</v>
      </c>
      <c r="H12" s="6">
        <v>3.7283643371491517</v>
      </c>
      <c r="I12" s="6">
        <v>0</v>
      </c>
      <c r="J12" s="6">
        <v>4.25943102498593</v>
      </c>
      <c r="K12" s="6">
        <v>0.42158851716413792</v>
      </c>
      <c r="L12" s="6">
        <v>7.2068955243103456</v>
      </c>
      <c r="M12" s="6">
        <v>3.6745229139812818</v>
      </c>
      <c r="N12" s="6">
        <v>2.2955109161216796</v>
      </c>
      <c r="O12" s="6">
        <v>6.5967672596224194</v>
      </c>
      <c r="P12" s="6">
        <v>1.0393783132466226</v>
      </c>
      <c r="Q12" s="6">
        <v>6.2880894350501038</v>
      </c>
      <c r="R12" s="6">
        <v>3.2070465208860326</v>
      </c>
    </row>
    <row r="13" spans="1:18">
      <c r="A13" s="1" t="s">
        <v>136</v>
      </c>
      <c r="B13" s="6">
        <v>0.6804882261496511</v>
      </c>
      <c r="C13" s="6">
        <v>3.9559896579436415</v>
      </c>
      <c r="D13" s="6">
        <v>4.1789305864132471</v>
      </c>
      <c r="E13" s="6">
        <v>4.7092293492208679</v>
      </c>
      <c r="F13" s="6">
        <v>4.2045638078213026</v>
      </c>
      <c r="G13" s="6">
        <v>4.0131881141581394</v>
      </c>
      <c r="H13" s="6">
        <v>0.90335082441166059</v>
      </c>
      <c r="I13" s="6">
        <v>4.25943102498593</v>
      </c>
      <c r="J13" s="6">
        <v>0</v>
      </c>
      <c r="K13" s="6">
        <v>3.9641238143195299</v>
      </c>
      <c r="L13" s="6">
        <v>3.0894091310645369</v>
      </c>
      <c r="M13" s="6">
        <v>1.8468807937022118</v>
      </c>
      <c r="N13" s="6">
        <v>2.2366415706825551</v>
      </c>
      <c r="O13" s="6">
        <v>2.4765312962558506</v>
      </c>
      <c r="P13" s="6">
        <v>3.541907704156543</v>
      </c>
      <c r="Q13" s="6">
        <v>2.0945407012181563</v>
      </c>
      <c r="R13" s="6">
        <v>1.4666772150291043</v>
      </c>
    </row>
    <row r="14" spans="1:18">
      <c r="A14" s="1" t="s">
        <v>137</v>
      </c>
      <c r="B14" s="6">
        <v>3.7334770140688143</v>
      </c>
      <c r="C14" s="6">
        <v>0.3946562388837298</v>
      </c>
      <c r="D14" s="6">
        <v>2.5602819355988209</v>
      </c>
      <c r="E14" s="6">
        <v>5.0534522458692566</v>
      </c>
      <c r="F14" s="6">
        <v>0.62534341024366658</v>
      </c>
      <c r="G14" s="6">
        <v>0.50047103953178163</v>
      </c>
      <c r="H14" s="6">
        <v>3.4725208791379378</v>
      </c>
      <c r="I14" s="6">
        <v>0.42158851716413792</v>
      </c>
      <c r="J14" s="6">
        <v>3.9641238143195299</v>
      </c>
      <c r="K14" s="6">
        <v>0</v>
      </c>
      <c r="L14" s="6">
        <v>6.9083779102490093</v>
      </c>
      <c r="M14" s="6">
        <v>3.3192458744760547</v>
      </c>
      <c r="N14" s="6">
        <v>2.0440870791183281</v>
      </c>
      <c r="O14" s="6">
        <v>6.3212965466468987</v>
      </c>
      <c r="P14" s="6">
        <v>0.94060317771444901</v>
      </c>
      <c r="Q14" s="6">
        <v>6.0180775948789105</v>
      </c>
      <c r="R14" s="6">
        <v>2.9374496333272937</v>
      </c>
    </row>
    <row r="15" spans="1:18">
      <c r="A15" s="1" t="s">
        <v>138</v>
      </c>
      <c r="B15" s="6">
        <v>3.3465800237158239</v>
      </c>
      <c r="C15" s="6">
        <v>6.9388997525103457</v>
      </c>
      <c r="D15" s="6">
        <v>7.046605400885638</v>
      </c>
      <c r="E15" s="6">
        <v>5.6393714108703925</v>
      </c>
      <c r="F15" s="6">
        <v>7.1215888468488311</v>
      </c>
      <c r="G15" s="6">
        <v>6.9979403835576042</v>
      </c>
      <c r="H15" s="6">
        <v>3.6939943209179287</v>
      </c>
      <c r="I15" s="6">
        <v>7.2068955243103456</v>
      </c>
      <c r="J15" s="6">
        <v>3.0894091310645369</v>
      </c>
      <c r="K15" s="6">
        <v>6.9083779102490093</v>
      </c>
      <c r="L15" s="6">
        <v>0</v>
      </c>
      <c r="M15" s="6">
        <v>4.0732962268037101</v>
      </c>
      <c r="N15" s="6">
        <v>4.99202469602867</v>
      </c>
      <c r="O15" s="6">
        <v>1.047385428939426</v>
      </c>
      <c r="P15" s="6">
        <v>6.3804207128829855</v>
      </c>
      <c r="Q15" s="6">
        <v>1.4522213055966009</v>
      </c>
      <c r="R15" s="6">
        <v>4.0751756518272133</v>
      </c>
    </row>
    <row r="16" spans="1:18">
      <c r="A16" s="1" t="s">
        <v>139</v>
      </c>
      <c r="B16" s="6">
        <v>1.8242673889020316</v>
      </c>
      <c r="C16" s="6">
        <v>3.3631929598750698</v>
      </c>
      <c r="D16" s="6">
        <v>3.9728532877340785</v>
      </c>
      <c r="E16" s="6">
        <v>4.0400979306560645</v>
      </c>
      <c r="F16" s="6">
        <v>3.6275577975703022</v>
      </c>
      <c r="G16" s="6">
        <v>3.4798641997015531</v>
      </c>
      <c r="H16" s="6">
        <v>1.9369252593085051</v>
      </c>
      <c r="I16" s="6">
        <v>3.6745229139812818</v>
      </c>
      <c r="J16" s="6">
        <v>1.8468807937022118</v>
      </c>
      <c r="K16" s="6">
        <v>3.3192458744760547</v>
      </c>
      <c r="L16" s="6">
        <v>4.0732962268037101</v>
      </c>
      <c r="M16" s="6">
        <v>0</v>
      </c>
      <c r="N16" s="6">
        <v>1.7746011427479287</v>
      </c>
      <c r="O16" s="6">
        <v>3.7597293179319387</v>
      </c>
      <c r="P16" s="6">
        <v>2.9745027223227174</v>
      </c>
      <c r="Q16" s="6">
        <v>3.5438285445010806</v>
      </c>
      <c r="R16" s="6">
        <v>1.587670773828594</v>
      </c>
    </row>
    <row r="17" spans="1:18">
      <c r="A17" s="1" t="s">
        <v>140</v>
      </c>
      <c r="B17" s="6">
        <v>1.9269630643366609</v>
      </c>
      <c r="C17" s="6">
        <v>2.0956501214347436</v>
      </c>
      <c r="D17" s="6">
        <v>2.8471475495594145</v>
      </c>
      <c r="E17" s="6">
        <v>3.7122693807865326</v>
      </c>
      <c r="F17" s="6">
        <v>2.1625571063103446</v>
      </c>
      <c r="G17" s="6">
        <v>2.109580696725748</v>
      </c>
      <c r="H17" s="6">
        <v>1.7322941596719401</v>
      </c>
      <c r="I17" s="6">
        <v>2.2955109161216796</v>
      </c>
      <c r="J17" s="6">
        <v>2.2366415706825551</v>
      </c>
      <c r="K17" s="6">
        <v>2.0440870791183281</v>
      </c>
      <c r="L17" s="6">
        <v>4.99202469602867</v>
      </c>
      <c r="M17" s="6">
        <v>1.7746011427479287</v>
      </c>
      <c r="N17" s="6">
        <v>0</v>
      </c>
      <c r="O17" s="6">
        <v>4.4273504286284187</v>
      </c>
      <c r="P17" s="6">
        <v>1.4325063733182997</v>
      </c>
      <c r="Q17" s="6">
        <v>4.1644119382824121</v>
      </c>
      <c r="R17" s="6">
        <v>1.0555005801103301</v>
      </c>
    </row>
    <row r="18" spans="1:18">
      <c r="A18" s="1" t="s">
        <v>141</v>
      </c>
      <c r="B18" s="6">
        <v>2.6409350627690689</v>
      </c>
      <c r="C18" s="6">
        <v>6.3490516459492685</v>
      </c>
      <c r="D18" s="6">
        <v>6.3613134538786431</v>
      </c>
      <c r="E18" s="6">
        <v>5.3399429681945172</v>
      </c>
      <c r="F18" s="6">
        <v>6.5002645034074122</v>
      </c>
      <c r="G18" s="6">
        <v>6.3776927909131826</v>
      </c>
      <c r="H18" s="6">
        <v>3.0284634374393309</v>
      </c>
      <c r="I18" s="6">
        <v>6.5967672596224194</v>
      </c>
      <c r="J18" s="6">
        <v>2.4765312962558506</v>
      </c>
      <c r="K18" s="6">
        <v>6.3212965466468987</v>
      </c>
      <c r="L18" s="6">
        <v>1.047385428939426</v>
      </c>
      <c r="M18" s="6">
        <v>3.7597293179319387</v>
      </c>
      <c r="N18" s="6">
        <v>4.4273504286284187</v>
      </c>
      <c r="O18" s="6">
        <v>0</v>
      </c>
      <c r="P18" s="6">
        <v>5.7590143404756526</v>
      </c>
      <c r="Q18" s="6">
        <v>0.86585351630418284</v>
      </c>
      <c r="R18" s="6">
        <v>3.4584883996815532</v>
      </c>
    </row>
    <row r="19" spans="1:18">
      <c r="A19" s="1" t="s">
        <v>142</v>
      </c>
      <c r="B19" s="6">
        <v>3.1988921252145461</v>
      </c>
      <c r="C19" s="6">
        <v>1.1076680896317876</v>
      </c>
      <c r="D19" s="6">
        <v>2.4717394500731915</v>
      </c>
      <c r="E19" s="6">
        <v>4.2200783921505991</v>
      </c>
      <c r="F19" s="6">
        <v>0.83147687291433092</v>
      </c>
      <c r="G19" s="6">
        <v>0.99467551319755698</v>
      </c>
      <c r="H19" s="6">
        <v>2.9743982029798981</v>
      </c>
      <c r="I19" s="6">
        <v>1.0393783132466226</v>
      </c>
      <c r="J19" s="6">
        <v>3.541907704156543</v>
      </c>
      <c r="K19" s="6">
        <v>0.94060317771444901</v>
      </c>
      <c r="L19" s="6">
        <v>6.3804207128829855</v>
      </c>
      <c r="M19" s="6">
        <v>2.9745027223227174</v>
      </c>
      <c r="N19" s="6">
        <v>1.4325063733182997</v>
      </c>
      <c r="O19" s="6">
        <v>5.7590143404756526</v>
      </c>
      <c r="P19" s="6">
        <v>0</v>
      </c>
      <c r="Q19" s="6">
        <v>5.5135808408276752</v>
      </c>
      <c r="R19" s="6">
        <v>2.3232216938073829</v>
      </c>
    </row>
    <row r="20" spans="1:18">
      <c r="A20" s="1" t="s">
        <v>143</v>
      </c>
      <c r="B20" s="6">
        <v>2.4035359919595058</v>
      </c>
      <c r="C20" s="6">
        <v>6.0007290452718278</v>
      </c>
      <c r="D20" s="6">
        <v>5.8971004605937001</v>
      </c>
      <c r="E20" s="6">
        <v>5.5308506529268735</v>
      </c>
      <c r="F20" s="6">
        <v>6.2019566319237569</v>
      </c>
      <c r="G20" s="6">
        <v>6.0368015953160983</v>
      </c>
      <c r="H20" s="6">
        <v>2.6421440419162172</v>
      </c>
      <c r="I20" s="6">
        <v>6.2880894350501038</v>
      </c>
      <c r="J20" s="6">
        <v>2.0945407012181563</v>
      </c>
      <c r="K20" s="6">
        <v>6.0180775948789105</v>
      </c>
      <c r="L20" s="6">
        <v>1.4522213055966009</v>
      </c>
      <c r="M20" s="6">
        <v>3.5438285445010806</v>
      </c>
      <c r="N20" s="6">
        <v>4.1644119382824121</v>
      </c>
      <c r="O20" s="6">
        <v>0.86585351630418284</v>
      </c>
      <c r="P20" s="6">
        <v>5.5135808408276752</v>
      </c>
      <c r="Q20" s="6">
        <v>0</v>
      </c>
      <c r="R20" s="6">
        <v>3.2924130140510295</v>
      </c>
    </row>
    <row r="21" spans="1:18">
      <c r="A21" s="1" t="s">
        <v>144</v>
      </c>
      <c r="B21" s="6">
        <v>1.0594841622657982</v>
      </c>
      <c r="C21" s="6">
        <v>3.0195802559352569</v>
      </c>
      <c r="D21" s="6">
        <v>3.5986093036563411</v>
      </c>
      <c r="E21" s="6">
        <v>3.6585089510210569</v>
      </c>
      <c r="F21" s="6">
        <v>3.095718794023842</v>
      </c>
      <c r="G21" s="6">
        <v>3.0342665066080836</v>
      </c>
      <c r="H21" s="6">
        <v>1.1238349467569735</v>
      </c>
      <c r="I21" s="6">
        <v>3.2070465208860326</v>
      </c>
      <c r="J21" s="6">
        <v>1.4666772150291043</v>
      </c>
      <c r="K21" s="6">
        <v>2.9374496333272937</v>
      </c>
      <c r="L21" s="6">
        <v>4.0751756518272133</v>
      </c>
      <c r="M21" s="6">
        <v>1.587670773828594</v>
      </c>
      <c r="N21" s="6">
        <v>1.0555005801103301</v>
      </c>
      <c r="O21" s="6">
        <v>3.4584883996815532</v>
      </c>
      <c r="P21" s="6">
        <v>2.3232216938073829</v>
      </c>
      <c r="Q21" s="6">
        <v>3.2924130140510295</v>
      </c>
      <c r="R21" s="6">
        <v>0</v>
      </c>
    </row>
    <row r="24" spans="1:18" ht="27.6">
      <c r="A24" s="13" t="s">
        <v>145</v>
      </c>
      <c r="B24" s="13" t="s">
        <v>16</v>
      </c>
      <c r="C24" s="13" t="s">
        <v>17</v>
      </c>
    </row>
    <row r="25" spans="1:18">
      <c r="A25" s="19" t="s">
        <v>128</v>
      </c>
      <c r="B25" s="17" t="s">
        <v>39</v>
      </c>
      <c r="C25" s="18" t="s">
        <v>40</v>
      </c>
    </row>
    <row r="26" spans="1:18">
      <c r="A26" s="19" t="s">
        <v>129</v>
      </c>
      <c r="B26" s="17" t="s">
        <v>42</v>
      </c>
      <c r="C26" s="18" t="s">
        <v>43</v>
      </c>
    </row>
    <row r="27" spans="1:18">
      <c r="A27" s="19" t="s">
        <v>130</v>
      </c>
      <c r="B27" s="17" t="s">
        <v>45</v>
      </c>
      <c r="C27" s="18" t="s">
        <v>43</v>
      </c>
    </row>
    <row r="28" spans="1:18">
      <c r="A28" s="19" t="s">
        <v>131</v>
      </c>
      <c r="B28" s="17" t="s">
        <v>46</v>
      </c>
      <c r="C28" s="18" t="s">
        <v>47</v>
      </c>
    </row>
    <row r="29" spans="1:18">
      <c r="A29" s="19" t="s">
        <v>132</v>
      </c>
      <c r="B29" s="17" t="s">
        <v>49</v>
      </c>
      <c r="C29" s="18" t="s">
        <v>47</v>
      </c>
    </row>
    <row r="30" spans="1:18">
      <c r="A30" s="19" t="s">
        <v>133</v>
      </c>
      <c r="B30" s="17" t="s">
        <v>51</v>
      </c>
      <c r="C30" s="18" t="s">
        <v>47</v>
      </c>
    </row>
    <row r="31" spans="1:18">
      <c r="A31" s="19" t="s">
        <v>134</v>
      </c>
      <c r="B31" s="17" t="s">
        <v>52</v>
      </c>
      <c r="C31" s="18" t="s">
        <v>47</v>
      </c>
    </row>
    <row r="32" spans="1:18">
      <c r="A32" s="19" t="s">
        <v>135</v>
      </c>
      <c r="B32" s="17" t="s">
        <v>53</v>
      </c>
      <c r="C32" s="18" t="s">
        <v>47</v>
      </c>
    </row>
    <row r="33" spans="1:3">
      <c r="A33" s="19" t="s">
        <v>136</v>
      </c>
      <c r="B33" s="17" t="s">
        <v>54</v>
      </c>
      <c r="C33" s="18" t="s">
        <v>47</v>
      </c>
    </row>
    <row r="34" spans="1:3">
      <c r="A34" s="19" t="s">
        <v>137</v>
      </c>
      <c r="B34" s="17" t="s">
        <v>55</v>
      </c>
      <c r="C34" s="18" t="s">
        <v>47</v>
      </c>
    </row>
    <row r="35" spans="1:3">
      <c r="A35" s="19" t="s">
        <v>138</v>
      </c>
      <c r="B35" s="17" t="s">
        <v>56</v>
      </c>
      <c r="C35" s="18" t="s">
        <v>47</v>
      </c>
    </row>
    <row r="36" spans="1:3">
      <c r="A36" s="19" t="s">
        <v>139</v>
      </c>
      <c r="B36" s="17" t="s">
        <v>57</v>
      </c>
      <c r="C36" s="18" t="s">
        <v>47</v>
      </c>
    </row>
    <row r="37" spans="1:3">
      <c r="A37" s="19" t="s">
        <v>140</v>
      </c>
      <c r="B37" s="17" t="s">
        <v>58</v>
      </c>
      <c r="C37" s="18" t="s">
        <v>47</v>
      </c>
    </row>
    <row r="38" spans="1:3">
      <c r="A38" s="19" t="s">
        <v>141</v>
      </c>
      <c r="B38" s="17" t="s">
        <v>59</v>
      </c>
      <c r="C38" s="18" t="s">
        <v>47</v>
      </c>
    </row>
    <row r="39" spans="1:3">
      <c r="A39" s="19" t="s">
        <v>142</v>
      </c>
      <c r="B39" s="17" t="s">
        <v>60</v>
      </c>
      <c r="C39" s="18" t="s">
        <v>47</v>
      </c>
    </row>
    <row r="40" spans="1:3">
      <c r="A40" s="19" t="s">
        <v>143</v>
      </c>
      <c r="B40" s="17" t="s">
        <v>61</v>
      </c>
      <c r="C40" s="18" t="s">
        <v>47</v>
      </c>
    </row>
    <row r="41" spans="1:3">
      <c r="A41" s="19" t="s">
        <v>144</v>
      </c>
      <c r="B41" s="17" t="s">
        <v>62</v>
      </c>
      <c r="C41" s="19" t="s">
        <v>47</v>
      </c>
    </row>
  </sheetData>
  <mergeCells count="1">
    <mergeCell ref="A1:R2"/>
  </mergeCells>
  <conditionalFormatting sqref="B5:R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/>
  </sheetViews>
  <sheetFormatPr baseColWidth="10" defaultColWidth="8.796875" defaultRowHeight="13.8"/>
  <cols>
    <col min="1" max="1" width="40" customWidth="1"/>
    <col min="2" max="9" width="17" customWidth="1"/>
  </cols>
  <sheetData>
    <row r="1" spans="1:9" ht="20.85" customHeight="1">
      <c r="A1" s="7" t="s">
        <v>146</v>
      </c>
      <c r="B1" s="7"/>
      <c r="C1" s="7"/>
      <c r="D1" s="7"/>
      <c r="E1" s="7"/>
      <c r="F1" s="7"/>
      <c r="G1" s="7"/>
      <c r="H1" s="7"/>
      <c r="I1" s="7"/>
    </row>
    <row r="2" spans="1:9" ht="20.85" customHeight="1">
      <c r="A2" s="7"/>
      <c r="B2" s="7"/>
      <c r="C2" s="7"/>
      <c r="D2" s="7"/>
      <c r="E2" s="7"/>
      <c r="F2" s="7"/>
      <c r="G2" s="7"/>
      <c r="H2" s="7"/>
      <c r="I2" s="7"/>
    </row>
    <row r="4" spans="1:9" ht="27.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29</v>
      </c>
      <c r="I4" s="1" t="s">
        <v>35</v>
      </c>
    </row>
    <row r="5" spans="1:9" ht="27.6">
      <c r="A5" s="2" t="s">
        <v>61</v>
      </c>
      <c r="B5" s="2" t="s">
        <v>47</v>
      </c>
      <c r="C5" s="4">
        <v>1.6320000000000021</v>
      </c>
      <c r="D5" s="4">
        <v>1.1280000000000001</v>
      </c>
      <c r="E5" s="4">
        <v>1.6400000000000006</v>
      </c>
      <c r="F5" s="4">
        <v>-0.504000000000002</v>
      </c>
      <c r="G5" s="4">
        <v>0.51200000000000045</v>
      </c>
      <c r="H5" s="2" t="s">
        <v>41</v>
      </c>
      <c r="I5" s="2">
        <v>4</v>
      </c>
    </row>
    <row r="6" spans="1:9" ht="27.6">
      <c r="A6" s="2" t="s">
        <v>56</v>
      </c>
      <c r="B6" s="2" t="s">
        <v>47</v>
      </c>
      <c r="C6" s="4">
        <v>1.4799999999999982</v>
      </c>
      <c r="D6" s="4">
        <v>1.9419999999999988</v>
      </c>
      <c r="E6" s="4">
        <v>1.6100000000000023</v>
      </c>
      <c r="F6" s="4">
        <v>0.46200000000000063</v>
      </c>
      <c r="G6" s="4">
        <v>-0.33199999999999652</v>
      </c>
      <c r="H6" s="2" t="s">
        <v>41</v>
      </c>
      <c r="I6" s="2">
        <v>4</v>
      </c>
    </row>
    <row r="7" spans="1:9" ht="27.6">
      <c r="A7" s="2" t="s">
        <v>54</v>
      </c>
      <c r="B7" s="2" t="s">
        <v>47</v>
      </c>
      <c r="C7" s="4">
        <v>0.97399999999999953</v>
      </c>
      <c r="D7" s="4">
        <v>0.82399999999999951</v>
      </c>
      <c r="E7" s="4">
        <v>1.4200000000000004</v>
      </c>
      <c r="F7" s="4">
        <v>-0.15000000000000002</v>
      </c>
      <c r="G7" s="4">
        <v>0.59600000000000086</v>
      </c>
      <c r="H7" s="2" t="s">
        <v>41</v>
      </c>
      <c r="I7" s="2">
        <v>1</v>
      </c>
    </row>
    <row r="8" spans="1:9" ht="27.6">
      <c r="A8" s="2" t="s">
        <v>59</v>
      </c>
      <c r="B8" s="2" t="s">
        <v>47</v>
      </c>
      <c r="C8" s="4">
        <v>1.5900000000000021</v>
      </c>
      <c r="D8" s="4">
        <v>1.6620000000000004</v>
      </c>
      <c r="E8" s="4">
        <v>1.3859999999999986</v>
      </c>
      <c r="F8" s="4">
        <v>7.1999999999998288E-2</v>
      </c>
      <c r="G8" s="4">
        <v>-0.2760000000000018</v>
      </c>
      <c r="H8" s="2" t="s">
        <v>41</v>
      </c>
      <c r="I8" s="2">
        <v>4</v>
      </c>
    </row>
    <row r="9" spans="1:9" ht="27.6">
      <c r="A9" s="2" t="s">
        <v>57</v>
      </c>
      <c r="B9" s="2" t="s">
        <v>47</v>
      </c>
      <c r="C9" s="4">
        <v>0.11400000000000006</v>
      </c>
      <c r="D9" s="4">
        <v>0.8640000000000001</v>
      </c>
      <c r="E9" s="4">
        <v>1.0700000000000016</v>
      </c>
      <c r="F9" s="4">
        <v>0.75</v>
      </c>
      <c r="G9" s="4">
        <v>0.20600000000000152</v>
      </c>
      <c r="H9" s="2" t="s">
        <v>41</v>
      </c>
      <c r="I9" s="2">
        <v>1</v>
      </c>
    </row>
    <row r="10" spans="1:9" ht="27.6">
      <c r="A10" s="2" t="s">
        <v>39</v>
      </c>
      <c r="B10" s="2" t="s">
        <v>40</v>
      </c>
      <c r="C10" s="4">
        <v>0.94399999999999973</v>
      </c>
      <c r="D10" s="4">
        <v>0.82550468291872936</v>
      </c>
      <c r="E10" s="4">
        <v>1.0011038799645491</v>
      </c>
      <c r="F10" s="4">
        <v>-0.11849531708127037</v>
      </c>
      <c r="G10" s="4">
        <v>0.17559919704581972</v>
      </c>
      <c r="H10" s="2" t="s">
        <v>41</v>
      </c>
      <c r="I10" s="2">
        <v>1</v>
      </c>
    </row>
    <row r="11" spans="1:9" ht="27.6">
      <c r="A11" s="2" t="s">
        <v>52</v>
      </c>
      <c r="B11" s="2" t="s">
        <v>47</v>
      </c>
      <c r="C11" s="4">
        <v>1.0429999999999993</v>
      </c>
      <c r="D11" s="4">
        <v>0.66000000000000081</v>
      </c>
      <c r="E11" s="4">
        <v>0.99000000000000055</v>
      </c>
      <c r="F11" s="4">
        <v>-0.38299999999999845</v>
      </c>
      <c r="G11" s="4">
        <v>0.32999999999999974</v>
      </c>
      <c r="H11" s="2" t="s">
        <v>41</v>
      </c>
      <c r="I11" s="2">
        <v>1</v>
      </c>
    </row>
    <row r="12" spans="1:9" ht="27.6">
      <c r="A12" s="2" t="s">
        <v>42</v>
      </c>
      <c r="B12" s="2" t="s">
        <v>43</v>
      </c>
      <c r="C12" s="4">
        <v>7.4794666666667092E-2</v>
      </c>
      <c r="D12" s="4">
        <v>-0.15600000000000022</v>
      </c>
      <c r="E12" s="4">
        <v>0.54600000000000004</v>
      </c>
      <c r="F12" s="4">
        <v>-0.23079466666666731</v>
      </c>
      <c r="G12" s="4">
        <v>0.70200000000000029</v>
      </c>
      <c r="H12" s="2" t="s">
        <v>44</v>
      </c>
      <c r="I12" s="2">
        <v>2</v>
      </c>
    </row>
    <row r="13" spans="1:9" ht="27.6">
      <c r="A13" s="2" t="s">
        <v>62</v>
      </c>
      <c r="B13" s="2" t="s">
        <v>47</v>
      </c>
      <c r="C13" s="4">
        <v>0.70799999999999985</v>
      </c>
      <c r="D13" s="4">
        <v>0.99600000000000077</v>
      </c>
      <c r="E13" s="4">
        <v>0.54599999999999937</v>
      </c>
      <c r="F13" s="4">
        <v>0.28800000000000092</v>
      </c>
      <c r="G13" s="4">
        <v>-0.4500000000000014</v>
      </c>
      <c r="H13" s="2" t="s">
        <v>44</v>
      </c>
      <c r="I13" s="2">
        <v>1</v>
      </c>
    </row>
    <row r="14" spans="1:9" ht="27.6">
      <c r="A14" s="2" t="s">
        <v>55</v>
      </c>
      <c r="B14" s="2" t="s">
        <v>47</v>
      </c>
      <c r="C14" s="4">
        <v>3.1999999999999848E-2</v>
      </c>
      <c r="D14" s="4">
        <v>0.13599999999999995</v>
      </c>
      <c r="E14" s="4">
        <v>0.45000000000000018</v>
      </c>
      <c r="F14" s="4">
        <v>0.10400000000000011</v>
      </c>
      <c r="G14" s="4">
        <v>0.31400000000000022</v>
      </c>
      <c r="H14" s="2" t="s">
        <v>44</v>
      </c>
      <c r="I14" s="2">
        <v>2</v>
      </c>
    </row>
    <row r="15" spans="1:9" ht="27.6">
      <c r="A15" s="2" t="s">
        <v>51</v>
      </c>
      <c r="B15" s="2" t="s">
        <v>47</v>
      </c>
      <c r="C15" s="4">
        <v>0.158</v>
      </c>
      <c r="D15" s="4">
        <v>-0.20800000000000002</v>
      </c>
      <c r="E15" s="4">
        <v>0.37999999999999989</v>
      </c>
      <c r="F15" s="4">
        <v>-0.36599999999999999</v>
      </c>
      <c r="G15" s="4">
        <v>0.58799999999999986</v>
      </c>
      <c r="H15" s="2" t="s">
        <v>44</v>
      </c>
      <c r="I15" s="2">
        <v>2</v>
      </c>
    </row>
    <row r="16" spans="1:9" ht="27.6">
      <c r="A16" s="2" t="s">
        <v>45</v>
      </c>
      <c r="B16" s="2" t="s">
        <v>43</v>
      </c>
      <c r="C16" s="4">
        <v>0.57600000000000018</v>
      </c>
      <c r="D16" s="4">
        <v>-1.4734443592200011</v>
      </c>
      <c r="E16" s="4">
        <v>0.37729128122000188</v>
      </c>
      <c r="F16" s="4">
        <v>-2.0494443592200011</v>
      </c>
      <c r="G16" s="4">
        <v>1.850735640440003</v>
      </c>
      <c r="H16" s="2" t="s">
        <v>44</v>
      </c>
      <c r="I16" s="2">
        <v>2</v>
      </c>
    </row>
    <row r="17" spans="1:9" ht="27.6">
      <c r="A17" s="2" t="s">
        <v>58</v>
      </c>
      <c r="B17" s="2" t="s">
        <v>47</v>
      </c>
      <c r="C17" s="4">
        <v>0.48799999999999955</v>
      </c>
      <c r="D17" s="4">
        <v>0.53199999999999936</v>
      </c>
      <c r="E17" s="4">
        <v>0.37000000000000027</v>
      </c>
      <c r="F17" s="4">
        <v>4.3999999999999817E-2</v>
      </c>
      <c r="G17" s="4">
        <v>-0.16199999999999909</v>
      </c>
      <c r="H17" s="2" t="s">
        <v>44</v>
      </c>
      <c r="I17" s="2">
        <v>1</v>
      </c>
    </row>
    <row r="18" spans="1:9" ht="27.6">
      <c r="A18" s="2" t="s">
        <v>53</v>
      </c>
      <c r="B18" s="2" t="s">
        <v>47</v>
      </c>
      <c r="C18" s="4">
        <v>7.3999999999999927E-2</v>
      </c>
      <c r="D18" s="4">
        <v>-2.7999999999999935E-2</v>
      </c>
      <c r="E18" s="4">
        <v>0.24399999999999994</v>
      </c>
      <c r="F18" s="4">
        <v>-0.10199999999999987</v>
      </c>
      <c r="G18" s="4">
        <v>0.27199999999999985</v>
      </c>
      <c r="H18" s="2" t="s">
        <v>50</v>
      </c>
      <c r="I18" s="2">
        <v>2</v>
      </c>
    </row>
    <row r="19" spans="1:9" ht="27.6">
      <c r="A19" s="2" t="s">
        <v>49</v>
      </c>
      <c r="B19" s="2" t="s">
        <v>47</v>
      </c>
      <c r="C19" s="4">
        <v>0.15400000000000008</v>
      </c>
      <c r="D19" s="4">
        <v>-5.2000000000000136E-2</v>
      </c>
      <c r="E19" s="4">
        <v>3.6000000000000122E-2</v>
      </c>
      <c r="F19" s="4">
        <v>-0.20600000000000021</v>
      </c>
      <c r="G19" s="4">
        <v>8.8000000000000259E-2</v>
      </c>
      <c r="H19" s="2" t="s">
        <v>50</v>
      </c>
      <c r="I19" s="2">
        <v>2</v>
      </c>
    </row>
    <row r="20" spans="1:9" ht="27.6">
      <c r="A20" s="2" t="s">
        <v>60</v>
      </c>
      <c r="B20" s="2" t="s">
        <v>47</v>
      </c>
      <c r="C20" s="4">
        <v>0.26400000000000007</v>
      </c>
      <c r="D20" s="4">
        <v>0.31400000000000006</v>
      </c>
      <c r="E20" s="4">
        <v>0</v>
      </c>
      <c r="F20" s="4">
        <v>4.9999999999999989E-2</v>
      </c>
      <c r="G20" s="4">
        <v>-0.31400000000000006</v>
      </c>
      <c r="H20" s="2" t="s">
        <v>50</v>
      </c>
      <c r="I20" s="2">
        <v>2</v>
      </c>
    </row>
    <row r="21" spans="1:9" ht="27.6">
      <c r="A21" s="2" t="s">
        <v>46</v>
      </c>
      <c r="B21" s="2" t="s">
        <v>47</v>
      </c>
      <c r="C21" s="4">
        <v>0.48199999999999932</v>
      </c>
      <c r="D21" s="4">
        <v>1.6600000000000024</v>
      </c>
      <c r="E21" s="4">
        <v>-1.8750124999999997</v>
      </c>
      <c r="F21" s="4">
        <v>1.178000000000003</v>
      </c>
      <c r="G21" s="4">
        <v>-3.5350125000000023</v>
      </c>
      <c r="H21" s="2" t="s">
        <v>48</v>
      </c>
      <c r="I21" s="2">
        <v>3</v>
      </c>
    </row>
  </sheetData>
  <mergeCells count="1">
    <mergeCell ref="A1:I2"/>
  </mergeCells>
  <conditionalFormatting sqref="C5:G21">
    <cfRule type="colorScale" priority="1">
      <colorScale>
        <cfvo type="min"/>
        <cfvo type="percentile" val="50"/>
        <cfvo type="max"/>
        <color rgb="FF5B9BD5"/>
        <color rgb="FFFFF2CC"/>
        <color rgb="FFED7D31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"/>
  <sheetViews>
    <sheetView workbookViewId="0"/>
  </sheetViews>
  <sheetFormatPr baseColWidth="10" defaultColWidth="8.796875" defaultRowHeight="13.8"/>
  <cols>
    <col min="1" max="10" width="16" customWidth="1"/>
  </cols>
  <sheetData>
    <row r="1" spans="1:10" ht="20.85" customHeight="1">
      <c r="A1" s="7" t="s">
        <v>147</v>
      </c>
      <c r="B1" s="7"/>
      <c r="C1" s="7"/>
      <c r="D1" s="7"/>
      <c r="E1" s="7"/>
      <c r="F1" s="7"/>
      <c r="G1" s="7"/>
      <c r="H1" s="7"/>
      <c r="I1" s="7"/>
      <c r="J1" s="7"/>
    </row>
    <row r="2" spans="1:10" ht="20.8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4" spans="1:10">
      <c r="A4" s="8" t="s">
        <v>148</v>
      </c>
      <c r="B4" s="8"/>
      <c r="C4" s="8"/>
      <c r="D4" s="8"/>
      <c r="E4" s="8"/>
      <c r="F4" s="8"/>
      <c r="G4" s="8"/>
      <c r="H4" s="8"/>
      <c r="I4" s="8"/>
      <c r="J4" s="8"/>
    </row>
    <row r="5" spans="1:10">
      <c r="A5" s="11" t="s">
        <v>149</v>
      </c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3" spans="1:10">
      <c r="A13" s="8" t="s">
        <v>150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11" t="s">
        <v>151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2" spans="1:10">
      <c r="A22" s="8" t="s">
        <v>152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>
      <c r="A23" s="11" t="s">
        <v>153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>
      <c r="A29" s="11"/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7">
    <mergeCell ref="A22:J22"/>
    <mergeCell ref="A23:J29"/>
    <mergeCell ref="A1:J2"/>
    <mergeCell ref="A4:J4"/>
    <mergeCell ref="A5:J11"/>
    <mergeCell ref="A13:J13"/>
    <mergeCell ref="A14:J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/>
  </sheetViews>
  <sheetFormatPr baseColWidth="10" defaultColWidth="8.796875" defaultRowHeight="13.8"/>
  <cols>
    <col min="1" max="1" width="18" customWidth="1"/>
    <col min="2" max="4" width="40" customWidth="1"/>
  </cols>
  <sheetData>
    <row r="1" spans="1:4" ht="20.85" customHeight="1">
      <c r="A1" s="7" t="s">
        <v>154</v>
      </c>
      <c r="B1" s="7"/>
      <c r="C1" s="7"/>
      <c r="D1" s="7"/>
    </row>
    <row r="2" spans="1:4" ht="20.85" customHeight="1">
      <c r="A2" s="7"/>
      <c r="B2" s="7"/>
      <c r="C2" s="7"/>
      <c r="D2" s="7"/>
    </row>
    <row r="4" spans="1:4">
      <c r="A4" s="1" t="s">
        <v>155</v>
      </c>
      <c r="B4" s="1" t="s">
        <v>156</v>
      </c>
      <c r="C4" s="1" t="s">
        <v>157</v>
      </c>
      <c r="D4" s="1" t="s">
        <v>158</v>
      </c>
    </row>
    <row r="5" spans="1:4" ht="27.6">
      <c r="A5" s="2" t="s">
        <v>159</v>
      </c>
      <c r="B5" s="2" t="s">
        <v>160</v>
      </c>
      <c r="C5" s="2" t="s">
        <v>161</v>
      </c>
      <c r="D5" s="2" t="s">
        <v>162</v>
      </c>
    </row>
    <row r="6" spans="1:4">
      <c r="A6" s="2" t="s">
        <v>163</v>
      </c>
      <c r="B6" s="2" t="s">
        <v>164</v>
      </c>
      <c r="C6" s="2" t="s">
        <v>165</v>
      </c>
      <c r="D6" s="2" t="s">
        <v>166</v>
      </c>
    </row>
    <row r="7" spans="1:4">
      <c r="A7" s="2" t="s">
        <v>167</v>
      </c>
      <c r="B7" s="2" t="s">
        <v>168</v>
      </c>
      <c r="C7" s="2" t="s">
        <v>169</v>
      </c>
      <c r="D7" s="2" t="s">
        <v>170</v>
      </c>
    </row>
    <row r="8" spans="1:4">
      <c r="A8" s="2" t="s">
        <v>171</v>
      </c>
      <c r="B8" s="2" t="s">
        <v>172</v>
      </c>
      <c r="C8" s="2" t="s">
        <v>173</v>
      </c>
      <c r="D8" s="2" t="s">
        <v>174</v>
      </c>
    </row>
    <row r="9" spans="1:4">
      <c r="A9" s="2" t="s">
        <v>175</v>
      </c>
      <c r="B9" s="2" t="s">
        <v>176</v>
      </c>
      <c r="C9" s="2" t="s">
        <v>177</v>
      </c>
      <c r="D9" s="2" t="s">
        <v>178</v>
      </c>
    </row>
    <row r="10" spans="1:4" ht="27.6">
      <c r="A10" s="2" t="s">
        <v>179</v>
      </c>
      <c r="B10" s="2" t="s">
        <v>180</v>
      </c>
      <c r="C10" s="2" t="s">
        <v>181</v>
      </c>
      <c r="D10" s="2" t="s">
        <v>182</v>
      </c>
    </row>
    <row r="11" spans="1:4">
      <c r="A11" s="2" t="s">
        <v>183</v>
      </c>
      <c r="B11" s="2" t="s">
        <v>184</v>
      </c>
      <c r="C11" s="2" t="s">
        <v>185</v>
      </c>
      <c r="D11" s="2" t="s">
        <v>186</v>
      </c>
    </row>
    <row r="12" spans="1:4" ht="27.6">
      <c r="A12" s="2" t="s">
        <v>12</v>
      </c>
      <c r="B12" s="2" t="s">
        <v>187</v>
      </c>
      <c r="C12" s="2" t="s">
        <v>188</v>
      </c>
      <c r="D12" s="2" t="s">
        <v>189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Portada</vt:lpstr>
      <vt:lpstr>Base analítica</vt:lpstr>
      <vt:lpstr>Descriptivos periodo</vt:lpstr>
      <vt:lpstr>Análisis por zonas</vt:lpstr>
      <vt:lpstr>Pruebas temporales</vt:lpstr>
      <vt:lpstr>PCA</vt:lpstr>
      <vt:lpstr>tSNE y clustering</vt:lpstr>
      <vt:lpstr>Perfiles clúster</vt:lpstr>
      <vt:lpstr>Matriz similitud</vt:lpstr>
      <vt:lpstr>Cambios y riesgo</vt:lpstr>
      <vt:lpstr>Texto para tesis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Segundo Cohen Manrique</cp:lastModifiedBy>
  <dcterms:modified xsi:type="dcterms:W3CDTF">2026-07-21T03:35:30Z</dcterms:modified>
</cp:coreProperties>
</file>
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"/>
    </mc:Choice>
  </mc:AlternateContent>
  <xr:revisionPtr revIDLastSave="0" documentId="13_ncr:1_{619312CB-485E-4D32-9736-EDB28EE9D9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rtada" sheetId="1" r:id="rId1"/>
    <sheet name="Datos base" sheetId="2" r:id="rId2"/>
    <sheet name="Resumen global" sheetId="3" r:id="rId3"/>
    <sheet name="Descriptivos" sheetId="4" r:id="rId4"/>
    <sheet name="Normalidad" sheetId="5" r:id="rId5"/>
    <sheet name="Inferencia" sheetId="6" r:id="rId6"/>
    <sheet name="Bootstrap" sheetId="7" r:id="rId7"/>
    <sheet name="Ranking" sheetId="8" r:id="rId8"/>
    <sheet name="Correlaciones" sheetId="9" r:id="rId9"/>
    <sheet name="Bland-Altman" sheetId="10" r:id="rId10"/>
    <sheet name="Figuras" sheetId="11" r:id="rId11"/>
    <sheet name="Conclusion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2" l="1"/>
  <c r="P21" i="2"/>
  <c r="L21" i="2"/>
  <c r="M21" i="2" s="1"/>
  <c r="H21" i="2"/>
  <c r="I21" i="2" s="1"/>
  <c r="Q20" i="2"/>
  <c r="P20" i="2"/>
  <c r="L20" i="2"/>
  <c r="M20" i="2" s="1"/>
  <c r="H20" i="2"/>
  <c r="I20" i="2" s="1"/>
  <c r="Q19" i="2"/>
  <c r="P19" i="2"/>
  <c r="L19" i="2"/>
  <c r="M19" i="2" s="1"/>
  <c r="H19" i="2"/>
  <c r="I19" i="2" s="1"/>
  <c r="Q18" i="2"/>
  <c r="P18" i="2"/>
  <c r="L18" i="2"/>
  <c r="M18" i="2" s="1"/>
  <c r="H18" i="2"/>
  <c r="I18" i="2" s="1"/>
  <c r="Q17" i="2"/>
  <c r="P17" i="2"/>
  <c r="L17" i="2"/>
  <c r="M17" i="2" s="1"/>
  <c r="H17" i="2"/>
  <c r="I17" i="2" s="1"/>
  <c r="Q16" i="2"/>
  <c r="P16" i="2"/>
  <c r="L16" i="2"/>
  <c r="M16" i="2" s="1"/>
  <c r="H16" i="2"/>
  <c r="I16" i="2" s="1"/>
  <c r="Q15" i="2"/>
  <c r="P15" i="2"/>
  <c r="L15" i="2"/>
  <c r="M15" i="2" s="1"/>
  <c r="H15" i="2"/>
  <c r="I15" i="2" s="1"/>
  <c r="Q14" i="2"/>
  <c r="P14" i="2"/>
  <c r="L14" i="2"/>
  <c r="M14" i="2" s="1"/>
  <c r="H14" i="2"/>
  <c r="I14" i="2" s="1"/>
  <c r="Q13" i="2"/>
  <c r="P13" i="2"/>
  <c r="L13" i="2"/>
  <c r="M13" i="2" s="1"/>
  <c r="H13" i="2"/>
  <c r="I13" i="2" s="1"/>
  <c r="Q12" i="2"/>
  <c r="P12" i="2"/>
  <c r="L12" i="2"/>
  <c r="M12" i="2" s="1"/>
  <c r="H12" i="2"/>
  <c r="I12" i="2" s="1"/>
  <c r="Q11" i="2"/>
  <c r="P11" i="2"/>
  <c r="L11" i="2"/>
  <c r="M11" i="2" s="1"/>
  <c r="H11" i="2"/>
  <c r="I11" i="2" s="1"/>
  <c r="Q10" i="2"/>
  <c r="P10" i="2"/>
  <c r="L10" i="2"/>
  <c r="M10" i="2" s="1"/>
  <c r="H10" i="2"/>
  <c r="I10" i="2" s="1"/>
  <c r="Q9" i="2"/>
  <c r="P9" i="2"/>
  <c r="L9" i="2"/>
  <c r="M9" i="2" s="1"/>
  <c r="I9" i="2"/>
  <c r="H9" i="2"/>
  <c r="Q8" i="2"/>
  <c r="P8" i="2"/>
  <c r="L8" i="2"/>
  <c r="M8" i="2" s="1"/>
  <c r="H8" i="2"/>
  <c r="I8" i="2" s="1"/>
  <c r="Q7" i="2"/>
  <c r="P7" i="2"/>
  <c r="L7" i="2"/>
  <c r="M7" i="2" s="1"/>
  <c r="H7" i="2"/>
  <c r="I7" i="2" s="1"/>
  <c r="Q6" i="2"/>
  <c r="P6" i="2"/>
  <c r="L6" i="2"/>
  <c r="M6" i="2" s="1"/>
  <c r="H6" i="2"/>
  <c r="I6" i="2" s="1"/>
  <c r="Q5" i="2"/>
  <c r="P5" i="2"/>
  <c r="L5" i="2"/>
  <c r="M5" i="2" s="1"/>
  <c r="I5" i="2"/>
  <c r="H5" i="2"/>
</calcChain>
</file>

<file path=xl/sharedStrings.xml><?xml version="1.0" encoding="utf-8"?>
<sst xmlns="http://schemas.openxmlformats.org/spreadsheetml/2006/main" count="437" uniqueCount="195">
  <si>
    <t>ANEXO 5. VALIDACIÓN ESTADÍSTICA DE LOS MÉTODOS DE SUAVIZADO</t>
  </si>
  <si>
    <t>Comparación del filtro Savitzky–Golay (SG) y el suavizador Whittaker (WS) en 17 pozos</t>
  </si>
  <si>
    <t>Propósito</t>
  </si>
  <si>
    <t>Evaluar cuantitativa e inferencialmente la fidelidad de los métodos de suavizado mediante RMSE, MAE y R².</t>
  </si>
  <si>
    <t>Unidad de análisis</t>
  </si>
  <si>
    <t>Diecisiete pozos de monitoreo del acuífero de Morroa.</t>
  </si>
  <si>
    <t>Diseño estadístico</t>
  </si>
  <si>
    <t>Comparación pareada: ambos métodos fueron aplicados sobre las mismas series piezométricas.</t>
  </si>
  <si>
    <t>Métodos</t>
  </si>
  <si>
    <t>Estadística descriptiva, Shapiro–Wilk, Anderson–Darling, t pareada, Wilcoxon, Cohen dz, Hedges gz, bootstrap, correlaciones y Bland–Altman.</t>
  </si>
  <si>
    <t>Criterio de desempeño</t>
  </si>
  <si>
    <t>Menores RMSE y MAE y mayor R² indican mejor ajuste.</t>
  </si>
  <si>
    <t>Resultado global SG</t>
  </si>
  <si>
    <t>RMSE = 0,3413 m; MAE = 0,2409 m; R² = 0,9033.</t>
  </si>
  <si>
    <t>Resultado global WS</t>
  </si>
  <si>
    <t>RMSE = 0,2468 m; MAE = 0,1682 m; R² = 0,9461.</t>
  </si>
  <si>
    <t>Nota metodológica: la significancia estadística se interpreta conjuntamente con el tamaño del efecto y la magnitud práctica de las diferencias. Los valores globales proceden directamente del archivo base proporcionado.</t>
  </si>
  <si>
    <t>Resultados de ajuste por pozo</t>
  </si>
  <si>
    <t>Pozo</t>
  </si>
  <si>
    <t>Código</t>
  </si>
  <si>
    <t>Lambda</t>
  </si>
  <si>
    <t>Tendencia</t>
  </si>
  <si>
    <t>Delta nivel (m)</t>
  </si>
  <si>
    <t>RMSE SG</t>
  </si>
  <si>
    <t>RMSE WS</t>
  </si>
  <si>
    <t>Mejora RMSE (m)</t>
  </si>
  <si>
    <t>Mejora RMSE (%)</t>
  </si>
  <si>
    <t>MAE SG</t>
  </si>
  <si>
    <t>MAE WS</t>
  </si>
  <si>
    <t>Mejora MAE (m)</t>
  </si>
  <si>
    <t>Mejora MAE (%)</t>
  </si>
  <si>
    <t>R2 SG</t>
  </si>
  <si>
    <t>R2 WS</t>
  </si>
  <si>
    <t>Incremento R2</t>
  </si>
  <si>
    <t>Método dominante</t>
  </si>
  <si>
    <t>Finca El Socorro (Ovejas)</t>
  </si>
  <si>
    <t>44-II-D-PO-02</t>
  </si>
  <si>
    <t>Ascendente estable</t>
  </si>
  <si>
    <t>Ovejas – Pozo 14</t>
  </si>
  <si>
    <t>4-II-D-PO-14</t>
  </si>
  <si>
    <t>Ascenso regular</t>
  </si>
  <si>
    <t>Bremen (Morroa) – A</t>
  </si>
  <si>
    <t>44-IV-C-PZ-01A</t>
  </si>
  <si>
    <t>Suave ascenso</t>
  </si>
  <si>
    <t>Bremen (Morroa) – B</t>
  </si>
  <si>
    <t>44-IV-C-PZ-01B</t>
  </si>
  <si>
    <t>Estable / leve alza</t>
  </si>
  <si>
    <t>Las Tinas (Morroa) – A</t>
  </si>
  <si>
    <t>44-IV-C-PZ-02A</t>
  </si>
  <si>
    <t>Ascenso sostenido</t>
  </si>
  <si>
    <t>Las Tinas (Morroa) – B</t>
  </si>
  <si>
    <t>44-IV-C-PZ-02B</t>
  </si>
  <si>
    <t>Ascenso moderado</t>
  </si>
  <si>
    <t>Los Palmitos (Piñal)</t>
  </si>
  <si>
    <t>44-IV-B-PZ-01</t>
  </si>
  <si>
    <t>Incremento progresivo</t>
  </si>
  <si>
    <t>Arroyo Salida a Betulia – A</t>
  </si>
  <si>
    <t>44-IV-D-PZ-01A</t>
  </si>
  <si>
    <t>Ascenso pronunciado</t>
  </si>
  <si>
    <t>Arroyo Salida a Betulia – B</t>
  </si>
  <si>
    <t>44-IV-D-PZ-01B</t>
  </si>
  <si>
    <t>Estabilización leve</t>
  </si>
  <si>
    <t>Sabanas de Cali (El Tesoro)</t>
  </si>
  <si>
    <t>44-IV-D-PZ-02</t>
  </si>
  <si>
    <t>Fuerte ascenso</t>
  </si>
  <si>
    <t>Finca El Tesoro</t>
  </si>
  <si>
    <t>44-IV-D-PZ-04</t>
  </si>
  <si>
    <t>Incremento sostenido</t>
  </si>
  <si>
    <t>Basurero Viejo (Corozal)</t>
  </si>
  <si>
    <t>52-II-B-PZ-01A</t>
  </si>
  <si>
    <t>Estabilidad general</t>
  </si>
  <si>
    <t>Corozal – PO-14</t>
  </si>
  <si>
    <t>44-IV-D-PO-14</t>
  </si>
  <si>
    <t>Corozal – PZ-22</t>
  </si>
  <si>
    <t>44-IV-D-PZ-22</t>
  </si>
  <si>
    <t>Ascenso rápido</t>
  </si>
  <si>
    <t>Cantagallo (Corozal)</t>
  </si>
  <si>
    <t>52-II-A-PZ-01</t>
  </si>
  <si>
    <t>Recuperación gradual</t>
  </si>
  <si>
    <t>Corozal – PZ-20</t>
  </si>
  <si>
    <t>44-IV-D-PZ-20</t>
  </si>
  <si>
    <t>Ascenso corto plazo</t>
  </si>
  <si>
    <t>Sampués</t>
  </si>
  <si>
    <t>52-II-C-PZ-01</t>
  </si>
  <si>
    <t>Estable / creciente</t>
  </si>
  <si>
    <t>Síntesis global del desempeño</t>
  </si>
  <si>
    <t>Indicador</t>
  </si>
  <si>
    <t>Global</t>
  </si>
  <si>
    <t>SG</t>
  </si>
  <si>
    <t>WS</t>
  </si>
  <si>
    <t>Diferencia WS-SG</t>
  </si>
  <si>
    <t>Mejora relativa (%)</t>
  </si>
  <si>
    <t>RMSE (m)</t>
  </si>
  <si>
    <t>MAE (m)</t>
  </si>
  <si>
    <t>R²</t>
  </si>
  <si>
    <t>Interpretación principal</t>
  </si>
  <si>
    <t>El suavizador Whittaker redujo el RMSE promedio en 27.67% y el MAE promedio en 30.18%. El R² promedio aumentó en 0.0427 unidades. Estos resultados evidencian una ventaja global de WS sobre SG.</t>
  </si>
  <si>
    <t>Estadística descriptiva por método y métrica</t>
  </si>
  <si>
    <t>Métrica</t>
  </si>
  <si>
    <t>Método</t>
  </si>
  <si>
    <t>N</t>
  </si>
  <si>
    <t>Media</t>
  </si>
  <si>
    <t>Mediana</t>
  </si>
  <si>
    <t>DE</t>
  </si>
  <si>
    <t>Error estándar</t>
  </si>
  <si>
    <t>IC95% inferior</t>
  </si>
  <si>
    <t>IC95% superior</t>
  </si>
  <si>
    <t>Mínimo</t>
  </si>
  <si>
    <t>P25</t>
  </si>
  <si>
    <t>P75</t>
  </si>
  <si>
    <t>Máximo</t>
  </si>
  <si>
    <t>Rango</t>
  </si>
  <si>
    <t>IQR</t>
  </si>
  <si>
    <t>CV (%)</t>
  </si>
  <si>
    <t>Asimetría</t>
  </si>
  <si>
    <t>Curtosis exceso</t>
  </si>
  <si>
    <t>RMSE</t>
  </si>
  <si>
    <t>MAE</t>
  </si>
  <si>
    <t>Diagnóstico de normalidad de las diferencias pareadas</t>
  </si>
  <si>
    <t>Shapiro W</t>
  </si>
  <si>
    <t>Shapiro p</t>
  </si>
  <si>
    <t>Anderson A²</t>
  </si>
  <si>
    <t>Valor crítico 5%</t>
  </si>
  <si>
    <t>Normalidad aceptable (α=0,05)</t>
  </si>
  <si>
    <t>Comparación pareada y tamaños del efecto</t>
  </si>
  <si>
    <t>Diferencia favorable a WS</t>
  </si>
  <si>
    <t>IC95% diferencia inf.</t>
  </si>
  <si>
    <t>IC95% diferencia sup.</t>
  </si>
  <si>
    <t>t pareada</t>
  </si>
  <si>
    <t>p t pareada</t>
  </si>
  <si>
    <t>Wilcoxon W</t>
  </si>
  <si>
    <t>p Wilcoxon</t>
  </si>
  <si>
    <t>Cohen dz</t>
  </si>
  <si>
    <t>Hedges gz</t>
  </si>
  <si>
    <t>IC95% dz inf.</t>
  </si>
  <si>
    <t>IC95% dz sup.</t>
  </si>
  <si>
    <t>Método recomendado</t>
  </si>
  <si>
    <t>Diferencia significativa (α=0,05)</t>
  </si>
  <si>
    <t>Wilcoxon</t>
  </si>
  <si>
    <t>Intervalos de confianza bootstrap de las medias</t>
  </si>
  <si>
    <t>Media observada</t>
  </si>
  <si>
    <t>IC95% bootstrap inf.</t>
  </si>
  <si>
    <t>IC95% bootstrap sup.</t>
  </si>
  <si>
    <t>Iteraciones</t>
  </si>
  <si>
    <t>Ranking de mejora de WS respecto a SG</t>
  </si>
  <si>
    <t>Posición</t>
  </si>
  <si>
    <t>Incremento R²</t>
  </si>
  <si>
    <t>Puntuación comparativa</t>
  </si>
  <si>
    <t>Correlación entre magnitud inicial y mejora relativa</t>
  </si>
  <si>
    <t>Métrica de mejora</t>
  </si>
  <si>
    <t>Predictor</t>
  </si>
  <si>
    <t>Pearson r</t>
  </si>
  <si>
    <t>Pearson p</t>
  </si>
  <si>
    <t>Spearman rho</t>
  </si>
  <si>
    <t>Spearman p</t>
  </si>
  <si>
    <t>Valor SG</t>
  </si>
  <si>
    <t>Datos para análisis Bland–Altman</t>
  </si>
  <si>
    <t>Media métodos</t>
  </si>
  <si>
    <t>Diferencia SG-WS</t>
  </si>
  <si>
    <t>Sesgo</t>
  </si>
  <si>
    <t>Límite inferior 95%</t>
  </si>
  <si>
    <t>Límite superior 95%</t>
  </si>
  <si>
    <t>Visualización comparativa del desempeño</t>
  </si>
  <si>
    <t>Pozo corto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</si>
  <si>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</si>
  <si>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</si>
  <si>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</si>
  <si>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</si>
  <si>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</si>
  <si>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</si>
  <si>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</si>
  <si>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</si>
  <si>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</si>
  <si>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</si>
  <si>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</si>
  <si>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</si>
  <si>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</si>
  <si>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</si>
  <si>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</si>
  <si>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</si>
  <si>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</si>
  <si>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Conclusiones estadísticas para incorporación en la tesis</t>
  </si>
  <si>
    <t>Con base en lo anterior, y con el fin de evaluar cuantitativamente el desempeño de los métodos de suavizado implementados, se emplearon el error cuadrático medio (RMSE), el error absoluto medio (MAE) y el coeficiente de determinación (R²), complementados con pruebas pareadas, tamaños del efecto e intervalos de confianza bootstrap. En el conjunto de los 17 pozos, el suavizador Whittaker presentó un RMSE promedio de 0.2468 m y un MAE promedio de 0.1682 m, frente a 0.3413 m y 0.2409 m obtenidos mediante Savitzky–Golay. Esto representa reducciones relativas de 27.67% en RMSE y 30.18% en MAE. Asimismo, el R² promedio aumentó de 0.9033 a 0.9461, equivalente a un incremento absoluto de 0.0427. Las comparaciones inferenciales pareadas y los tamaños del efecto consignados en este anexo confirman que la ventaja de WS no se limita a una diferencia descriptiva, sino que presenta consistencia estadística en el conjunto de pozos evaluados. En consecuencia, el enfoque de regularización tipo Tikhonov ofrece un equilibrio más favorable entre fidelidad a los datos y control de la suavidad, particularmente en series con mayor variabilidad o presencia de ruido.</t>
  </si>
  <si>
    <t>Criterios de lectura</t>
  </si>
  <si>
    <t>RMSE y MAE</t>
  </si>
  <si>
    <t>Valores menores indican menor discrepancia entre la serie suavizada y la serie de referencia.</t>
  </si>
  <si>
    <t>Valores mayores indican mayor proporción de variabilidad reproducida por el suavizador.</t>
  </si>
  <si>
    <t>Pruebas pareadas</t>
  </si>
  <si>
    <t>Evalúan si las diferencias entre SG y WS son sistemáticas en los mismos 17 pozos.</t>
  </si>
  <si>
    <t>Tamaño del efecto</t>
  </si>
  <si>
    <t>Cuantifica la magnitud práctica de la diferencia, independientemente del tamaño muestral.</t>
  </si>
  <si>
    <t>Bland–Altman</t>
  </si>
  <si>
    <t>Permite evaluar sesgo y límites de concordancia entre ambos métodos.</t>
  </si>
  <si>
    <t>Mapa Calor</t>
  </si>
  <si>
    <t>Texto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</si>
</sst>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i/>
      <sz val="11"/>
      <color rgb="FF7F6000"/>
      <name val="Carlito"/>
    </font>
    <font>
      <sz val="11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EF5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vertical="top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"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3857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RMSE por pozo: SG vs WS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RMSE SG</c:v>
          </c:tx>
          <c:invertIfNegative val="1"/>
          <c:cat>
            <c:strRef>
              <c:f>Figuras!$A$5:$A$21</c:f>
              <c:strCache>
                <c:ptCount val="17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</c:strCache>
            </c:strRef>
          </c:cat>
          <c:val>
            <c:numRef>
              <c:f>Figuras!$B$5:$B$21</c:f>
              <c:numCache>
                <c:formatCode>0.0000</c:formatCode>
                <c:ptCount val="17"/>
                <c:pt idx="0">
                  <c:v>0.28610000000000002</c:v>
                </c:pt>
                <c:pt idx="1">
                  <c:v>0.75980000000000003</c:v>
                </c:pt>
                <c:pt idx="2">
                  <c:v>0.22950000000000001</c:v>
                </c:pt>
                <c:pt idx="3">
                  <c:v>0.3851</c:v>
                </c:pt>
                <c:pt idx="4">
                  <c:v>0.78200000000000003</c:v>
                </c:pt>
                <c:pt idx="5">
                  <c:v>0.14910000000000001</c:v>
                </c:pt>
                <c:pt idx="6">
                  <c:v>0.219</c:v>
                </c:pt>
                <c:pt idx="7">
                  <c:v>0.128</c:v>
                </c:pt>
                <c:pt idx="8">
                  <c:v>0.38950000000000001</c:v>
                </c:pt>
                <c:pt idx="9">
                  <c:v>0.2077</c:v>
                </c:pt>
                <c:pt idx="10">
                  <c:v>0.64759999999999995</c:v>
                </c:pt>
                <c:pt idx="11">
                  <c:v>0.29099999999999998</c:v>
                </c:pt>
                <c:pt idx="12">
                  <c:v>0.23769999999999999</c:v>
                </c:pt>
                <c:pt idx="13">
                  <c:v>0.26069999999999999</c:v>
                </c:pt>
                <c:pt idx="14">
                  <c:v>0.248</c:v>
                </c:pt>
                <c:pt idx="15">
                  <c:v>0.36730000000000002</c:v>
                </c:pt>
                <c:pt idx="16">
                  <c:v>0.21329999999999999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E-484F-BAB5-ADFF4F31FBB4}"/>
            </c:ext>
          </c:extLst>
        </c:ser>
        <c:ser>
          <c:idx val="1"/>
          <c:order val="1"/>
          <c:tx>
            <c:v>RMSE WS</c:v>
          </c:tx>
          <c:invertIfNegative val="1"/>
          <c:cat>
            <c:strRef>
              <c:f>Figuras!$A$5:$A$21</c:f>
              <c:strCache>
                <c:ptCount val="17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</c:strCache>
            </c:strRef>
          </c:cat>
          <c:val>
            <c:numRef>
              <c:f>Figuras!$C$5:$C$21</c:f>
              <c:numCache>
                <c:formatCode>0.0000</c:formatCode>
                <c:ptCount val="17"/>
                <c:pt idx="0">
                  <c:v>0.18149999999999999</c:v>
                </c:pt>
                <c:pt idx="1">
                  <c:v>0.63949999999999996</c:v>
                </c:pt>
                <c:pt idx="2">
                  <c:v>0.14000000000000001</c:v>
                </c:pt>
                <c:pt idx="3">
                  <c:v>0.32279999999999998</c:v>
                </c:pt>
                <c:pt idx="4">
                  <c:v>0.503</c:v>
                </c:pt>
                <c:pt idx="5">
                  <c:v>0.13719999999999999</c:v>
                </c:pt>
                <c:pt idx="6">
                  <c:v>0.19339999999999999</c:v>
                </c:pt>
                <c:pt idx="7">
                  <c:v>8.6999999999999994E-2</c:v>
                </c:pt>
                <c:pt idx="8">
                  <c:v>0.33279999999999998</c:v>
                </c:pt>
                <c:pt idx="9">
                  <c:v>0.1968</c:v>
                </c:pt>
                <c:pt idx="10">
                  <c:v>0.4259</c:v>
                </c:pt>
                <c:pt idx="11">
                  <c:v>0.17829999999999999</c:v>
                </c:pt>
                <c:pt idx="12">
                  <c:v>0.1288</c:v>
                </c:pt>
                <c:pt idx="13">
                  <c:v>0.12470000000000001</c:v>
                </c:pt>
                <c:pt idx="14">
                  <c:v>0.19259999999999999</c:v>
                </c:pt>
                <c:pt idx="15">
                  <c:v>0.25080000000000002</c:v>
                </c:pt>
                <c:pt idx="16">
                  <c:v>0.1608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E-484F-BAB5-ADFF4F31F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MAE por pozo: SG vs WS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MAE SG</c:v>
          </c:tx>
          <c:invertIfNegative val="1"/>
          <c:cat>
            <c:strRef>
              <c:f>Figuras!$A$26:$A$42</c:f>
              <c:strCache>
                <c:ptCount val="17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</c:strCache>
            </c:strRef>
          </c:cat>
          <c:val>
            <c:numRef>
              <c:f>Figuras!$B$26:$B$42</c:f>
              <c:numCache>
                <c:formatCode>General</c:formatCode>
                <c:ptCount val="17"/>
                <c:pt idx="0">
                  <c:v>0.1996</c:v>
                </c:pt>
                <c:pt idx="1">
                  <c:v>0.52800000000000002</c:v>
                </c:pt>
                <c:pt idx="2">
                  <c:v>0.18229999999999999</c:v>
                </c:pt>
                <c:pt idx="3">
                  <c:v>0.25469999999999998</c:v>
                </c:pt>
                <c:pt idx="4">
                  <c:v>0.61119999999999997</c:v>
                </c:pt>
                <c:pt idx="5">
                  <c:v>0.1111</c:v>
                </c:pt>
                <c:pt idx="6">
                  <c:v>0.12859999999999999</c:v>
                </c:pt>
                <c:pt idx="7">
                  <c:v>9.0999999999999998E-2</c:v>
                </c:pt>
                <c:pt idx="8">
                  <c:v>0.28660000000000002</c:v>
                </c:pt>
                <c:pt idx="9">
                  <c:v>0.20860000000000001</c:v>
                </c:pt>
                <c:pt idx="10">
                  <c:v>0.35489999999999999</c:v>
                </c:pt>
                <c:pt idx="11">
                  <c:v>0.21729999999999999</c:v>
                </c:pt>
                <c:pt idx="12">
                  <c:v>0.17860000000000001</c:v>
                </c:pt>
                <c:pt idx="13">
                  <c:v>0.17580000000000001</c:v>
                </c:pt>
                <c:pt idx="14">
                  <c:v>0.1726</c:v>
                </c:pt>
                <c:pt idx="15">
                  <c:v>0.25580000000000003</c:v>
                </c:pt>
                <c:pt idx="16">
                  <c:v>0.1386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E-4302-A120-9BDD6044F5B7}"/>
            </c:ext>
          </c:extLst>
        </c:ser>
        <c:ser>
          <c:idx val="1"/>
          <c:order val="1"/>
          <c:tx>
            <c:v>MAE WS</c:v>
          </c:tx>
          <c:invertIfNegative val="1"/>
          <c:cat>
            <c:strRef>
              <c:f>Figuras!$A$26:$A$42</c:f>
              <c:strCache>
                <c:ptCount val="17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</c:strCache>
            </c:strRef>
          </c:cat>
          <c:val>
            <c:numRef>
              <c:f>Figuras!$C$26:$C$42</c:f>
              <c:numCache>
                <c:formatCode>General</c:formatCode>
                <c:ptCount val="17"/>
                <c:pt idx="0">
                  <c:v>0.11609999999999999</c:v>
                </c:pt>
                <c:pt idx="1">
                  <c:v>0.43190000000000001</c:v>
                </c:pt>
                <c:pt idx="2">
                  <c:v>0.1019</c:v>
                </c:pt>
                <c:pt idx="3">
                  <c:v>0.2072</c:v>
                </c:pt>
                <c:pt idx="4">
                  <c:v>0.42049999999999998</c:v>
                </c:pt>
                <c:pt idx="5">
                  <c:v>0.1057</c:v>
                </c:pt>
                <c:pt idx="6">
                  <c:v>0.12280000000000001</c:v>
                </c:pt>
                <c:pt idx="7">
                  <c:v>6.6000000000000003E-2</c:v>
                </c:pt>
                <c:pt idx="8">
                  <c:v>0.2366</c:v>
                </c:pt>
                <c:pt idx="9">
                  <c:v>0.1196</c:v>
                </c:pt>
                <c:pt idx="10">
                  <c:v>0.23369999999999999</c:v>
                </c:pt>
                <c:pt idx="11">
                  <c:v>0.15909999999999999</c:v>
                </c:pt>
                <c:pt idx="12">
                  <c:v>9.1999999999999998E-2</c:v>
                </c:pt>
                <c:pt idx="13">
                  <c:v>7.5899999999999995E-2</c:v>
                </c:pt>
                <c:pt idx="14">
                  <c:v>0.1162</c:v>
                </c:pt>
                <c:pt idx="15">
                  <c:v>0.16389999999999999</c:v>
                </c:pt>
                <c:pt idx="16">
                  <c:v>9.01E-2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E-4302-A120-9BDD6044F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R² por pozo: SG vs WS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R2 SG</c:v>
          </c:tx>
          <c:invertIfNegative val="1"/>
          <c:cat>
            <c:strRef>
              <c:f>Figuras!$E$26:$E$42</c:f>
              <c:strCache>
                <c:ptCount val="17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</c:strCache>
            </c:strRef>
          </c:cat>
          <c:val>
            <c:numRef>
              <c:f>Figuras!$F$26:$F$42</c:f>
              <c:numCache>
                <c:formatCode>General</c:formatCode>
                <c:ptCount val="17"/>
                <c:pt idx="0">
                  <c:v>0.83450000000000002</c:v>
                </c:pt>
                <c:pt idx="1">
                  <c:v>0.92449999999999999</c:v>
                </c:pt>
                <c:pt idx="2">
                  <c:v>0.79800000000000004</c:v>
                </c:pt>
                <c:pt idx="3">
                  <c:v>0.61050000000000004</c:v>
                </c:pt>
                <c:pt idx="4">
                  <c:v>0.90449999999999997</c:v>
                </c:pt>
                <c:pt idx="5">
                  <c:v>0.85919999999999996</c:v>
                </c:pt>
                <c:pt idx="6">
                  <c:v>0.99509999999999998</c:v>
                </c:pt>
                <c:pt idx="7">
                  <c:v>0.97799999999999998</c:v>
                </c:pt>
                <c:pt idx="8">
                  <c:v>0.72389999999999999</c:v>
                </c:pt>
                <c:pt idx="9">
                  <c:v>0.99819999999999998</c:v>
                </c:pt>
                <c:pt idx="10">
                  <c:v>0.95920000000000005</c:v>
                </c:pt>
                <c:pt idx="11">
                  <c:v>0.97409999999999997</c:v>
                </c:pt>
                <c:pt idx="12">
                  <c:v>0.99870000000000003</c:v>
                </c:pt>
                <c:pt idx="13">
                  <c:v>0.99519999999999997</c:v>
                </c:pt>
                <c:pt idx="14">
                  <c:v>0.90200000000000002</c:v>
                </c:pt>
                <c:pt idx="15">
                  <c:v>0.90280000000000005</c:v>
                </c:pt>
                <c:pt idx="16">
                  <c:v>0.99809999999999999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E-4CDA-A60A-B9BA0606005C}"/>
            </c:ext>
          </c:extLst>
        </c:ser>
        <c:ser>
          <c:idx val="1"/>
          <c:order val="1"/>
          <c:tx>
            <c:v>R2 WS</c:v>
          </c:tx>
          <c:invertIfNegative val="1"/>
          <c:cat>
            <c:strRef>
              <c:f>Figuras!$E$26:$E$42</c:f>
              <c:strCache>
                <c:ptCount val="17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</c:strCache>
            </c:strRef>
          </c:cat>
          <c:val>
            <c:numRef>
              <c:f>Figuras!$G$26:$G$42</c:f>
              <c:numCache>
                <c:formatCode>General</c:formatCode>
                <c:ptCount val="17"/>
                <c:pt idx="0">
                  <c:v>0.93340000000000001</c:v>
                </c:pt>
                <c:pt idx="1">
                  <c:v>0.94510000000000005</c:v>
                </c:pt>
                <c:pt idx="2">
                  <c:v>0.92479999999999996</c:v>
                </c:pt>
                <c:pt idx="3">
                  <c:v>0.72629999999999995</c:v>
                </c:pt>
                <c:pt idx="4">
                  <c:v>0.95150000000000001</c:v>
                </c:pt>
                <c:pt idx="5">
                  <c:v>0.89790000000000003</c:v>
                </c:pt>
                <c:pt idx="6">
                  <c:v>0.99629999999999996</c:v>
                </c:pt>
                <c:pt idx="7">
                  <c:v>0.99099999999999999</c:v>
                </c:pt>
                <c:pt idx="8">
                  <c:v>0.81850000000000001</c:v>
                </c:pt>
                <c:pt idx="9">
                  <c:v>0.99929999999999997</c:v>
                </c:pt>
                <c:pt idx="10">
                  <c:v>0.98229999999999995</c:v>
                </c:pt>
                <c:pt idx="11">
                  <c:v>0.98909999999999998</c:v>
                </c:pt>
                <c:pt idx="12">
                  <c:v>0.99960000000000004</c:v>
                </c:pt>
                <c:pt idx="13">
                  <c:v>0.99890000000000001</c:v>
                </c:pt>
                <c:pt idx="14">
                  <c:v>0.97529999999999994</c:v>
                </c:pt>
                <c:pt idx="15">
                  <c:v>0.95469999999999999</c:v>
                </c:pt>
                <c:pt idx="16">
                  <c:v>0.99890000000000001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E-4CDA-A60A-B9BA06060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30" sqref="E30"/>
    </sheetView>
  </sheetViews>
  <sheetFormatPr baseColWidth="10" defaultColWidth="8.796875" defaultRowHeight="13.8"/>
  <cols>
    <col min="1" max="1" width="24" customWidth="1"/>
    <col min="2" max="8" width="17" customWidth="1"/>
  </cols>
  <sheetData>
    <row r="1" spans="1:8" ht="20.8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20.85" customHeight="1">
      <c r="A2" s="7"/>
      <c r="B2" s="7"/>
      <c r="C2" s="7"/>
      <c r="D2" s="7"/>
      <c r="E2" s="7"/>
      <c r="F2" s="7"/>
      <c r="G2" s="7"/>
      <c r="H2" s="7"/>
    </row>
    <row r="4" spans="1:8">
      <c r="A4" s="8" t="s">
        <v>1</v>
      </c>
      <c r="B4" s="8"/>
      <c r="C4" s="8"/>
      <c r="D4" s="8"/>
      <c r="E4" s="8"/>
      <c r="F4" s="8"/>
      <c r="G4" s="8"/>
      <c r="H4" s="8"/>
    </row>
    <row r="6" spans="1:8">
      <c r="A6" s="1" t="s">
        <v>2</v>
      </c>
      <c r="B6" s="9" t="s">
        <v>3</v>
      </c>
      <c r="C6" s="9"/>
      <c r="D6" s="9"/>
      <c r="E6" s="9"/>
      <c r="F6" s="9"/>
      <c r="G6" s="9"/>
      <c r="H6" s="9"/>
    </row>
    <row r="7" spans="1:8">
      <c r="A7" s="1" t="s">
        <v>4</v>
      </c>
      <c r="B7" s="9" t="s">
        <v>5</v>
      </c>
      <c r="C7" s="9"/>
      <c r="D7" s="9"/>
      <c r="E7" s="9"/>
      <c r="F7" s="9"/>
      <c r="G7" s="9"/>
      <c r="H7" s="9"/>
    </row>
    <row r="8" spans="1:8">
      <c r="A8" s="1" t="s">
        <v>6</v>
      </c>
      <c r="B8" s="9" t="s">
        <v>7</v>
      </c>
      <c r="C8" s="9"/>
      <c r="D8" s="9"/>
      <c r="E8" s="9"/>
      <c r="F8" s="9"/>
      <c r="G8" s="9"/>
      <c r="H8" s="9"/>
    </row>
    <row r="9" spans="1:8">
      <c r="A9" s="1" t="s">
        <v>8</v>
      </c>
      <c r="B9" s="9" t="s">
        <v>9</v>
      </c>
      <c r="C9" s="9"/>
      <c r="D9" s="9"/>
      <c r="E9" s="9"/>
      <c r="F9" s="9"/>
      <c r="G9" s="9"/>
      <c r="H9" s="9"/>
    </row>
    <row r="10" spans="1:8">
      <c r="A10" s="1" t="s">
        <v>10</v>
      </c>
      <c r="B10" s="9" t="s">
        <v>11</v>
      </c>
      <c r="C10" s="9"/>
      <c r="D10" s="9"/>
      <c r="E10" s="9"/>
      <c r="F10" s="9"/>
      <c r="G10" s="9"/>
      <c r="H10" s="9"/>
    </row>
    <row r="11" spans="1:8">
      <c r="A11" s="1" t="s">
        <v>12</v>
      </c>
      <c r="B11" s="9" t="s">
        <v>13</v>
      </c>
      <c r="C11" s="9"/>
      <c r="D11" s="9"/>
      <c r="E11" s="9"/>
      <c r="F11" s="9"/>
      <c r="G11" s="9"/>
      <c r="H11" s="9"/>
    </row>
    <row r="12" spans="1:8">
      <c r="A12" s="1" t="s">
        <v>14</v>
      </c>
      <c r="B12" s="9" t="s">
        <v>15</v>
      </c>
      <c r="C12" s="9"/>
      <c r="D12" s="9"/>
      <c r="E12" s="9"/>
      <c r="F12" s="9"/>
      <c r="G12" s="9"/>
      <c r="H12" s="9"/>
    </row>
    <row r="15" spans="1:8">
      <c r="A15" s="10" t="s">
        <v>16</v>
      </c>
      <c r="B15" s="10"/>
      <c r="C15" s="10"/>
      <c r="D15" s="10"/>
      <c r="E15" s="10"/>
      <c r="F15" s="10"/>
      <c r="G15" s="10"/>
      <c r="H15" s="10"/>
    </row>
    <row r="16" spans="1:8">
      <c r="A16" s="10"/>
      <c r="B16" s="10"/>
      <c r="C16" s="10"/>
      <c r="D16" s="10"/>
      <c r="E16" s="10"/>
      <c r="F16" s="10"/>
      <c r="G16" s="10"/>
      <c r="H16" s="10"/>
    </row>
    <row r="17" spans="1:8">
      <c r="A17" s="10"/>
      <c r="B17" s="10"/>
      <c r="C17" s="10"/>
      <c r="D17" s="10"/>
      <c r="E17" s="10"/>
      <c r="F17" s="10"/>
      <c r="G17" s="10"/>
      <c r="H17" s="10"/>
    </row>
    <row r="18" spans="1:8">
      <c r="A18" s="10"/>
      <c r="B18" s="10"/>
      <c r="C18" s="10"/>
      <c r="D18" s="10"/>
      <c r="E18" s="10"/>
      <c r="F18" s="10"/>
      <c r="G18" s="10"/>
      <c r="H18" s="10"/>
    </row>
  </sheetData>
  <mergeCells count="10">
    <mergeCell ref="B9:H9"/>
    <mergeCell ref="B10:H10"/>
    <mergeCell ref="B11:H11"/>
    <mergeCell ref="B12:H12"/>
    <mergeCell ref="A15:H18"/>
    <mergeCell ref="A1:H2"/>
    <mergeCell ref="A4:H4"/>
    <mergeCell ref="B6:H6"/>
    <mergeCell ref="B7:H7"/>
    <mergeCell ref="B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topLeftCell="B1" workbookViewId="0">
      <selection activeCell="G30" sqref="G30"/>
    </sheetView>
  </sheetViews>
  <sheetFormatPr baseColWidth="10" defaultColWidth="8.796875" defaultRowHeight="13.8"/>
  <cols>
    <col min="1" max="1" width="34" customWidth="1"/>
    <col min="2" max="2" width="18" customWidth="1"/>
    <col min="3" max="3" width="14" customWidth="1"/>
    <col min="4" max="4" width="24" customWidth="1"/>
    <col min="5" max="17" width="14" customWidth="1"/>
  </cols>
  <sheetData>
    <row r="1" spans="1:17" ht="19.95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9.9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spans="1:17" ht="27.6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</row>
    <row r="5" spans="1:17">
      <c r="A5" s="2" t="s">
        <v>35</v>
      </c>
      <c r="B5" s="2" t="s">
        <v>36</v>
      </c>
      <c r="C5" s="2">
        <v>0.65</v>
      </c>
      <c r="D5" s="2" t="s">
        <v>37</v>
      </c>
      <c r="E5" s="2">
        <v>3.2</v>
      </c>
      <c r="F5" s="3">
        <v>0.28610000000000002</v>
      </c>
      <c r="G5" s="3">
        <v>0.18149999999999999</v>
      </c>
      <c r="H5" s="3">
        <f t="shared" ref="H5:H21" si="0">F5-G5</f>
        <v>0.10460000000000003</v>
      </c>
      <c r="I5" s="4">
        <f t="shared" ref="I5:I21" si="1">IFERROR(H5/F5*100,0)</f>
        <v>36.56064313177211</v>
      </c>
      <c r="J5" s="3">
        <v>0.1996</v>
      </c>
      <c r="K5" s="3">
        <v>0.11609999999999999</v>
      </c>
      <c r="L5" s="3">
        <f t="shared" ref="L5:L21" si="2">J5-K5</f>
        <v>8.3500000000000005E-2</v>
      </c>
      <c r="M5" s="4">
        <f t="shared" ref="M5:M21" si="3">IFERROR(L5/J5*100,0)</f>
        <v>41.833667334669336</v>
      </c>
      <c r="N5" s="3">
        <v>0.83450000000000002</v>
      </c>
      <c r="O5" s="3">
        <v>0.93340000000000001</v>
      </c>
      <c r="P5" s="3">
        <f t="shared" ref="P5:P21" si="4">O5-N5</f>
        <v>9.8899999999999988E-2</v>
      </c>
      <c r="Q5" s="2" t="str">
        <f t="shared" ref="Q5:Q21" si="5">IF(AND(G5&lt;F5,K5&lt;J5,O5&gt;N5),"WS","Mixto")</f>
        <v>WS</v>
      </c>
    </row>
    <row r="6" spans="1:17">
      <c r="A6" s="2" t="s">
        <v>38</v>
      </c>
      <c r="B6" s="2" t="s">
        <v>39</v>
      </c>
      <c r="C6" s="2">
        <v>2.5</v>
      </c>
      <c r="D6" s="2" t="s">
        <v>40</v>
      </c>
      <c r="E6" s="2">
        <v>2.7</v>
      </c>
      <c r="F6" s="3">
        <v>0.75980000000000003</v>
      </c>
      <c r="G6" s="3">
        <v>0.63949999999999996</v>
      </c>
      <c r="H6" s="3">
        <f t="shared" si="0"/>
        <v>0.12030000000000007</v>
      </c>
      <c r="I6" s="4">
        <f t="shared" si="1"/>
        <v>15.833113977362473</v>
      </c>
      <c r="J6" s="3">
        <v>0.52800000000000002</v>
      </c>
      <c r="K6" s="3">
        <v>0.43190000000000001</v>
      </c>
      <c r="L6" s="3">
        <f t="shared" si="2"/>
        <v>9.6100000000000019E-2</v>
      </c>
      <c r="M6" s="4">
        <f t="shared" si="3"/>
        <v>18.200757575757578</v>
      </c>
      <c r="N6" s="3">
        <v>0.92449999999999999</v>
      </c>
      <c r="O6" s="3">
        <v>0.94510000000000005</v>
      </c>
      <c r="P6" s="3">
        <f t="shared" si="4"/>
        <v>2.0600000000000063E-2</v>
      </c>
      <c r="Q6" s="2" t="str">
        <f t="shared" si="5"/>
        <v>WS</v>
      </c>
    </row>
    <row r="7" spans="1:17">
      <c r="A7" s="2" t="s">
        <v>41</v>
      </c>
      <c r="B7" s="2" t="s">
        <v>42</v>
      </c>
      <c r="C7" s="2">
        <v>4.5</v>
      </c>
      <c r="D7" s="2" t="s">
        <v>43</v>
      </c>
      <c r="E7" s="2">
        <v>2.9</v>
      </c>
      <c r="F7" s="3">
        <v>0.22950000000000001</v>
      </c>
      <c r="G7" s="3">
        <v>0.14000000000000001</v>
      </c>
      <c r="H7" s="3">
        <f t="shared" si="0"/>
        <v>8.9499999999999996E-2</v>
      </c>
      <c r="I7" s="4">
        <f t="shared" si="1"/>
        <v>38.997821350762521</v>
      </c>
      <c r="J7" s="3">
        <v>0.18229999999999999</v>
      </c>
      <c r="K7" s="3">
        <v>0.1019</v>
      </c>
      <c r="L7" s="3">
        <f t="shared" si="2"/>
        <v>8.0399999999999985E-2</v>
      </c>
      <c r="M7" s="4">
        <f t="shared" si="3"/>
        <v>44.103126714207349</v>
      </c>
      <c r="N7" s="3">
        <v>0.79800000000000004</v>
      </c>
      <c r="O7" s="3">
        <v>0.92479999999999996</v>
      </c>
      <c r="P7" s="3">
        <f t="shared" si="4"/>
        <v>0.12679999999999991</v>
      </c>
      <c r="Q7" s="2" t="str">
        <f t="shared" si="5"/>
        <v>WS</v>
      </c>
    </row>
    <row r="8" spans="1:17">
      <c r="A8" s="2" t="s">
        <v>44</v>
      </c>
      <c r="B8" s="2" t="s">
        <v>45</v>
      </c>
      <c r="C8" s="2">
        <v>3.5</v>
      </c>
      <c r="D8" s="2" t="s">
        <v>46</v>
      </c>
      <c r="E8" s="2">
        <v>2.1</v>
      </c>
      <c r="F8" s="3">
        <v>0.3851</v>
      </c>
      <c r="G8" s="3">
        <v>0.32279999999999998</v>
      </c>
      <c r="H8" s="3">
        <f t="shared" si="0"/>
        <v>6.2300000000000022E-2</v>
      </c>
      <c r="I8" s="4">
        <f t="shared" si="1"/>
        <v>16.177616203583494</v>
      </c>
      <c r="J8" s="3">
        <v>0.25469999999999998</v>
      </c>
      <c r="K8" s="3">
        <v>0.2072</v>
      </c>
      <c r="L8" s="3">
        <f t="shared" si="2"/>
        <v>4.7499999999999987E-2</v>
      </c>
      <c r="M8" s="4">
        <f t="shared" si="3"/>
        <v>18.649391440910872</v>
      </c>
      <c r="N8" s="3">
        <v>0.61050000000000004</v>
      </c>
      <c r="O8" s="3">
        <v>0.72629999999999995</v>
      </c>
      <c r="P8" s="3">
        <f t="shared" si="4"/>
        <v>0.1157999999999999</v>
      </c>
      <c r="Q8" s="2" t="str">
        <f t="shared" si="5"/>
        <v>WS</v>
      </c>
    </row>
    <row r="9" spans="1:17">
      <c r="A9" s="2" t="s">
        <v>47</v>
      </c>
      <c r="B9" s="2" t="s">
        <v>48</v>
      </c>
      <c r="C9" s="2">
        <v>0.5</v>
      </c>
      <c r="D9" s="2" t="s">
        <v>49</v>
      </c>
      <c r="E9" s="2">
        <v>3.8</v>
      </c>
      <c r="F9" s="3">
        <v>0.78200000000000003</v>
      </c>
      <c r="G9" s="3">
        <v>0.503</v>
      </c>
      <c r="H9" s="3">
        <f t="shared" si="0"/>
        <v>0.27900000000000003</v>
      </c>
      <c r="I9" s="4">
        <f t="shared" si="1"/>
        <v>35.677749360613817</v>
      </c>
      <c r="J9" s="3">
        <v>0.61119999999999997</v>
      </c>
      <c r="K9" s="3">
        <v>0.42049999999999998</v>
      </c>
      <c r="L9" s="3">
        <f t="shared" si="2"/>
        <v>0.19069999999999998</v>
      </c>
      <c r="M9" s="4">
        <f t="shared" si="3"/>
        <v>31.200916230366495</v>
      </c>
      <c r="N9" s="3">
        <v>0.90449999999999997</v>
      </c>
      <c r="O9" s="3">
        <v>0.95150000000000001</v>
      </c>
      <c r="P9" s="3">
        <f t="shared" si="4"/>
        <v>4.7000000000000042E-2</v>
      </c>
      <c r="Q9" s="2" t="str">
        <f t="shared" si="5"/>
        <v>WS</v>
      </c>
    </row>
    <row r="10" spans="1:17">
      <c r="A10" s="2" t="s">
        <v>50</v>
      </c>
      <c r="B10" s="2" t="s">
        <v>51</v>
      </c>
      <c r="C10" s="2">
        <v>4.5</v>
      </c>
      <c r="D10" s="2" t="s">
        <v>52</v>
      </c>
      <c r="E10" s="2">
        <v>2.5</v>
      </c>
      <c r="F10" s="3">
        <v>0.14910000000000001</v>
      </c>
      <c r="G10" s="3">
        <v>0.13719999999999999</v>
      </c>
      <c r="H10" s="3">
        <f t="shared" si="0"/>
        <v>1.1900000000000022E-2</v>
      </c>
      <c r="I10" s="4">
        <f t="shared" si="1"/>
        <v>7.9812206572770092</v>
      </c>
      <c r="J10" s="3">
        <v>0.1111</v>
      </c>
      <c r="K10" s="3">
        <v>0.1057</v>
      </c>
      <c r="L10" s="3">
        <f t="shared" si="2"/>
        <v>5.400000000000002E-3</v>
      </c>
      <c r="M10" s="4">
        <f t="shared" si="3"/>
        <v>4.8604860486048622</v>
      </c>
      <c r="N10" s="3">
        <v>0.85919999999999996</v>
      </c>
      <c r="O10" s="3">
        <v>0.89790000000000003</v>
      </c>
      <c r="P10" s="3">
        <f t="shared" si="4"/>
        <v>3.8700000000000068E-2</v>
      </c>
      <c r="Q10" s="2" t="str">
        <f t="shared" si="5"/>
        <v>WS</v>
      </c>
    </row>
    <row r="11" spans="1:17">
      <c r="A11" s="2" t="s">
        <v>53</v>
      </c>
      <c r="B11" s="2" t="s">
        <v>54</v>
      </c>
      <c r="C11" s="2">
        <v>2.5</v>
      </c>
      <c r="D11" s="2" t="s">
        <v>55</v>
      </c>
      <c r="E11" s="2">
        <v>3.6</v>
      </c>
      <c r="F11" s="3">
        <v>0.219</v>
      </c>
      <c r="G11" s="3">
        <v>0.19339999999999999</v>
      </c>
      <c r="H11" s="3">
        <f t="shared" si="0"/>
        <v>2.5600000000000012E-2</v>
      </c>
      <c r="I11" s="4">
        <f t="shared" si="1"/>
        <v>11.689497716894982</v>
      </c>
      <c r="J11" s="3">
        <v>0.12859999999999999</v>
      </c>
      <c r="K11" s="3">
        <v>0.12280000000000001</v>
      </c>
      <c r="L11" s="3">
        <f t="shared" si="2"/>
        <v>5.7999999999999857E-3</v>
      </c>
      <c r="M11" s="4">
        <f t="shared" si="3"/>
        <v>4.5101088646967238</v>
      </c>
      <c r="N11" s="3">
        <v>0.99509999999999998</v>
      </c>
      <c r="O11" s="3">
        <v>0.99629999999999996</v>
      </c>
      <c r="P11" s="3">
        <f t="shared" si="4"/>
        <v>1.1999999999999789E-3</v>
      </c>
      <c r="Q11" s="2" t="str">
        <f t="shared" si="5"/>
        <v>WS</v>
      </c>
    </row>
    <row r="12" spans="1:17">
      <c r="A12" s="2" t="s">
        <v>56</v>
      </c>
      <c r="B12" s="2" t="s">
        <v>57</v>
      </c>
      <c r="C12" s="2">
        <v>3</v>
      </c>
      <c r="D12" s="2" t="s">
        <v>58</v>
      </c>
      <c r="E12" s="2">
        <v>4.0999999999999996</v>
      </c>
      <c r="F12" s="3">
        <v>0.128</v>
      </c>
      <c r="G12" s="3">
        <v>8.6999999999999994E-2</v>
      </c>
      <c r="H12" s="3">
        <f t="shared" si="0"/>
        <v>4.1000000000000009E-2</v>
      </c>
      <c r="I12" s="4">
        <f t="shared" si="1"/>
        <v>32.031250000000007</v>
      </c>
      <c r="J12" s="3">
        <v>9.0999999999999998E-2</v>
      </c>
      <c r="K12" s="3">
        <v>6.6000000000000003E-2</v>
      </c>
      <c r="L12" s="3">
        <f t="shared" si="2"/>
        <v>2.4999999999999994E-2</v>
      </c>
      <c r="M12" s="4">
        <f t="shared" si="3"/>
        <v>27.472527472527471</v>
      </c>
      <c r="N12" s="3">
        <v>0.97799999999999998</v>
      </c>
      <c r="O12" s="3">
        <v>0.99099999999999999</v>
      </c>
      <c r="P12" s="3">
        <f t="shared" si="4"/>
        <v>1.3000000000000012E-2</v>
      </c>
      <c r="Q12" s="2" t="str">
        <f t="shared" si="5"/>
        <v>WS</v>
      </c>
    </row>
    <row r="13" spans="1:17">
      <c r="A13" s="2" t="s">
        <v>59</v>
      </c>
      <c r="B13" s="2" t="s">
        <v>60</v>
      </c>
      <c r="C13" s="2">
        <v>3.5</v>
      </c>
      <c r="D13" s="2" t="s">
        <v>61</v>
      </c>
      <c r="E13" s="2">
        <v>2.2999999999999998</v>
      </c>
      <c r="F13" s="3">
        <v>0.38950000000000001</v>
      </c>
      <c r="G13" s="3">
        <v>0.33279999999999998</v>
      </c>
      <c r="H13" s="3">
        <f t="shared" si="0"/>
        <v>5.6700000000000028E-2</v>
      </c>
      <c r="I13" s="4">
        <f t="shared" si="1"/>
        <v>14.557124518613614</v>
      </c>
      <c r="J13" s="3">
        <v>0.28660000000000002</v>
      </c>
      <c r="K13" s="3">
        <v>0.2366</v>
      </c>
      <c r="L13" s="3">
        <f t="shared" si="2"/>
        <v>5.0000000000000017E-2</v>
      </c>
      <c r="M13" s="4">
        <f t="shared" si="3"/>
        <v>17.445917655268673</v>
      </c>
      <c r="N13" s="3">
        <v>0.72389999999999999</v>
      </c>
      <c r="O13" s="3">
        <v>0.81850000000000001</v>
      </c>
      <c r="P13" s="3">
        <f t="shared" si="4"/>
        <v>9.4600000000000017E-2</v>
      </c>
      <c r="Q13" s="2" t="str">
        <f t="shared" si="5"/>
        <v>WS</v>
      </c>
    </row>
    <row r="14" spans="1:17">
      <c r="A14" s="2" t="s">
        <v>62</v>
      </c>
      <c r="B14" s="2" t="s">
        <v>63</v>
      </c>
      <c r="C14" s="2">
        <v>0.5</v>
      </c>
      <c r="D14" s="2" t="s">
        <v>64</v>
      </c>
      <c r="E14" s="2">
        <v>5.4</v>
      </c>
      <c r="F14" s="3">
        <v>0.2077</v>
      </c>
      <c r="G14" s="3">
        <v>0.1968</v>
      </c>
      <c r="H14" s="3">
        <f t="shared" si="0"/>
        <v>1.0899999999999993E-2</v>
      </c>
      <c r="I14" s="4">
        <f t="shared" si="1"/>
        <v>5.2479537794896451</v>
      </c>
      <c r="J14" s="3">
        <v>0.20860000000000001</v>
      </c>
      <c r="K14" s="3">
        <v>0.1196</v>
      </c>
      <c r="L14" s="3">
        <f t="shared" si="2"/>
        <v>8.900000000000001E-2</v>
      </c>
      <c r="M14" s="4">
        <f t="shared" si="3"/>
        <v>42.665388302972204</v>
      </c>
      <c r="N14" s="3">
        <v>0.99819999999999998</v>
      </c>
      <c r="O14" s="3">
        <v>0.99929999999999997</v>
      </c>
      <c r="P14" s="3">
        <f t="shared" si="4"/>
        <v>1.0999999999999899E-3</v>
      </c>
      <c r="Q14" s="2" t="str">
        <f t="shared" si="5"/>
        <v>WS</v>
      </c>
    </row>
    <row r="15" spans="1:17">
      <c r="A15" s="2" t="s">
        <v>65</v>
      </c>
      <c r="B15" s="2" t="s">
        <v>66</v>
      </c>
      <c r="C15" s="2">
        <v>0.85</v>
      </c>
      <c r="D15" s="2" t="s">
        <v>67</v>
      </c>
      <c r="E15" s="2">
        <v>4.8</v>
      </c>
      <c r="F15" s="3">
        <v>0.64759999999999995</v>
      </c>
      <c r="G15" s="3">
        <v>0.4259</v>
      </c>
      <c r="H15" s="3">
        <f t="shared" si="0"/>
        <v>0.22169999999999995</v>
      </c>
      <c r="I15" s="4">
        <f t="shared" si="1"/>
        <v>34.234095120444714</v>
      </c>
      <c r="J15" s="3">
        <v>0.35489999999999999</v>
      </c>
      <c r="K15" s="3">
        <v>0.23369999999999999</v>
      </c>
      <c r="L15" s="3">
        <f t="shared" si="2"/>
        <v>0.1212</v>
      </c>
      <c r="M15" s="4">
        <f t="shared" si="3"/>
        <v>34.150464919695686</v>
      </c>
      <c r="N15" s="3">
        <v>0.95920000000000005</v>
      </c>
      <c r="O15" s="3">
        <v>0.98229999999999995</v>
      </c>
      <c r="P15" s="3">
        <f t="shared" si="4"/>
        <v>2.3099999999999898E-2</v>
      </c>
      <c r="Q15" s="2" t="str">
        <f t="shared" si="5"/>
        <v>WS</v>
      </c>
    </row>
    <row r="16" spans="1:17">
      <c r="A16" s="2" t="s">
        <v>68</v>
      </c>
      <c r="B16" s="2" t="s">
        <v>69</v>
      </c>
      <c r="C16" s="2">
        <v>0.25</v>
      </c>
      <c r="D16" s="2" t="s">
        <v>70</v>
      </c>
      <c r="E16" s="2">
        <v>3</v>
      </c>
      <c r="F16" s="3">
        <v>0.29099999999999998</v>
      </c>
      <c r="G16" s="3">
        <v>0.17829999999999999</v>
      </c>
      <c r="H16" s="3">
        <f t="shared" si="0"/>
        <v>0.11269999999999999</v>
      </c>
      <c r="I16" s="4">
        <f t="shared" si="1"/>
        <v>38.728522336769764</v>
      </c>
      <c r="J16" s="3">
        <v>0.21729999999999999</v>
      </c>
      <c r="K16" s="3">
        <v>0.15909999999999999</v>
      </c>
      <c r="L16" s="3">
        <f t="shared" si="2"/>
        <v>5.8200000000000002E-2</v>
      </c>
      <c r="M16" s="4">
        <f t="shared" si="3"/>
        <v>26.783248964565121</v>
      </c>
      <c r="N16" s="3">
        <v>0.97409999999999997</v>
      </c>
      <c r="O16" s="3">
        <v>0.98909999999999998</v>
      </c>
      <c r="P16" s="3">
        <f t="shared" si="4"/>
        <v>1.5000000000000013E-2</v>
      </c>
      <c r="Q16" s="2" t="str">
        <f t="shared" si="5"/>
        <v>WS</v>
      </c>
    </row>
    <row r="17" spans="1:17">
      <c r="A17" s="2" t="s">
        <v>71</v>
      </c>
      <c r="B17" s="2" t="s">
        <v>72</v>
      </c>
      <c r="C17" s="2">
        <v>0.2</v>
      </c>
      <c r="D17" s="2" t="s">
        <v>40</v>
      </c>
      <c r="E17" s="2">
        <v>3.5</v>
      </c>
      <c r="F17" s="3">
        <v>0.23769999999999999</v>
      </c>
      <c r="G17" s="3">
        <v>0.1288</v>
      </c>
      <c r="H17" s="3">
        <f t="shared" si="0"/>
        <v>0.1089</v>
      </c>
      <c r="I17" s="4">
        <f t="shared" si="1"/>
        <v>45.814051325199834</v>
      </c>
      <c r="J17" s="3">
        <v>0.17860000000000001</v>
      </c>
      <c r="K17" s="3">
        <v>9.1999999999999998E-2</v>
      </c>
      <c r="L17" s="3">
        <f t="shared" si="2"/>
        <v>8.660000000000001E-2</v>
      </c>
      <c r="M17" s="4">
        <f t="shared" si="3"/>
        <v>48.488241881298997</v>
      </c>
      <c r="N17" s="3">
        <v>0.99870000000000003</v>
      </c>
      <c r="O17" s="3">
        <v>0.99960000000000004</v>
      </c>
      <c r="P17" s="3">
        <f t="shared" si="4"/>
        <v>9.000000000000119E-4</v>
      </c>
      <c r="Q17" s="2" t="str">
        <f t="shared" si="5"/>
        <v>WS</v>
      </c>
    </row>
    <row r="18" spans="1:17">
      <c r="A18" s="2" t="s">
        <v>73</v>
      </c>
      <c r="B18" s="2" t="s">
        <v>74</v>
      </c>
      <c r="C18" s="2">
        <v>0.15</v>
      </c>
      <c r="D18" s="2" t="s">
        <v>75</v>
      </c>
      <c r="E18" s="2">
        <v>4.2</v>
      </c>
      <c r="F18" s="3">
        <v>0.26069999999999999</v>
      </c>
      <c r="G18" s="3">
        <v>0.12470000000000001</v>
      </c>
      <c r="H18" s="3">
        <f t="shared" si="0"/>
        <v>0.13599999999999998</v>
      </c>
      <c r="I18" s="4">
        <f t="shared" si="1"/>
        <v>52.167242040659758</v>
      </c>
      <c r="J18" s="3">
        <v>0.17580000000000001</v>
      </c>
      <c r="K18" s="3">
        <v>7.5899999999999995E-2</v>
      </c>
      <c r="L18" s="3">
        <f t="shared" si="2"/>
        <v>9.9900000000000017E-2</v>
      </c>
      <c r="M18" s="4">
        <f t="shared" si="3"/>
        <v>56.8259385665529</v>
      </c>
      <c r="N18" s="3">
        <v>0.99519999999999997</v>
      </c>
      <c r="O18" s="3">
        <v>0.99890000000000001</v>
      </c>
      <c r="P18" s="3">
        <f t="shared" si="4"/>
        <v>3.7000000000000366E-3</v>
      </c>
      <c r="Q18" s="2" t="str">
        <f t="shared" si="5"/>
        <v>WS</v>
      </c>
    </row>
    <row r="19" spans="1:17">
      <c r="A19" s="2" t="s">
        <v>76</v>
      </c>
      <c r="B19" s="2" t="s">
        <v>77</v>
      </c>
      <c r="C19" s="2">
        <v>0.15</v>
      </c>
      <c r="D19" s="2" t="s">
        <v>78</v>
      </c>
      <c r="E19" s="2">
        <v>3.9</v>
      </c>
      <c r="F19" s="3">
        <v>0.248</v>
      </c>
      <c r="G19" s="3">
        <v>0.19259999999999999</v>
      </c>
      <c r="H19" s="3">
        <f t="shared" si="0"/>
        <v>5.5400000000000005E-2</v>
      </c>
      <c r="I19" s="4">
        <f t="shared" si="1"/>
        <v>22.338709677419359</v>
      </c>
      <c r="J19" s="3">
        <v>0.1726</v>
      </c>
      <c r="K19" s="3">
        <v>0.1162</v>
      </c>
      <c r="L19" s="3">
        <f t="shared" si="2"/>
        <v>5.6400000000000006E-2</v>
      </c>
      <c r="M19" s="4">
        <f t="shared" si="3"/>
        <v>32.67670915411356</v>
      </c>
      <c r="N19" s="3">
        <v>0.90200000000000002</v>
      </c>
      <c r="O19" s="3">
        <v>0.97529999999999994</v>
      </c>
      <c r="P19" s="3">
        <f t="shared" si="4"/>
        <v>7.3299999999999921E-2</v>
      </c>
      <c r="Q19" s="2" t="str">
        <f t="shared" si="5"/>
        <v>WS</v>
      </c>
    </row>
    <row r="20" spans="1:17">
      <c r="A20" s="2" t="s">
        <v>79</v>
      </c>
      <c r="B20" s="2" t="s">
        <v>80</v>
      </c>
      <c r="C20" s="2">
        <v>0.85</v>
      </c>
      <c r="D20" s="2" t="s">
        <v>81</v>
      </c>
      <c r="E20" s="2">
        <v>3.5</v>
      </c>
      <c r="F20" s="3">
        <v>0.36730000000000002</v>
      </c>
      <c r="G20" s="3">
        <v>0.25080000000000002</v>
      </c>
      <c r="H20" s="3">
        <f t="shared" si="0"/>
        <v>0.11649999999999999</v>
      </c>
      <c r="I20" s="4">
        <f t="shared" si="1"/>
        <v>31.717941736999723</v>
      </c>
      <c r="J20" s="3">
        <v>0.25580000000000003</v>
      </c>
      <c r="K20" s="3">
        <v>0.16389999999999999</v>
      </c>
      <c r="L20" s="3">
        <f t="shared" si="2"/>
        <v>9.1900000000000037E-2</v>
      </c>
      <c r="M20" s="4">
        <f t="shared" si="3"/>
        <v>35.926505082095403</v>
      </c>
      <c r="N20" s="3">
        <v>0.90280000000000005</v>
      </c>
      <c r="O20" s="3">
        <v>0.95469999999999999</v>
      </c>
      <c r="P20" s="3">
        <f t="shared" si="4"/>
        <v>5.1899999999999946E-2</v>
      </c>
      <c r="Q20" s="2" t="str">
        <f t="shared" si="5"/>
        <v>WS</v>
      </c>
    </row>
    <row r="21" spans="1:17">
      <c r="A21" s="2" t="s">
        <v>82</v>
      </c>
      <c r="B21" s="2" t="s">
        <v>83</v>
      </c>
      <c r="C21" s="2">
        <v>0.5</v>
      </c>
      <c r="D21" s="2" t="s">
        <v>84</v>
      </c>
      <c r="E21" s="2">
        <v>4.7</v>
      </c>
      <c r="F21" s="3">
        <v>0.21329999999999999</v>
      </c>
      <c r="G21" s="3">
        <v>0.1608</v>
      </c>
      <c r="H21" s="3">
        <f t="shared" si="0"/>
        <v>5.2499999999999991E-2</v>
      </c>
      <c r="I21" s="4">
        <f t="shared" si="1"/>
        <v>24.613220815752459</v>
      </c>
      <c r="J21" s="3">
        <v>0.1386</v>
      </c>
      <c r="K21" s="3">
        <v>9.01E-2</v>
      </c>
      <c r="L21" s="3">
        <f t="shared" si="2"/>
        <v>4.8500000000000001E-2</v>
      </c>
      <c r="M21" s="4">
        <f t="shared" si="3"/>
        <v>34.992784992784991</v>
      </c>
      <c r="N21" s="3">
        <v>0.99809999999999999</v>
      </c>
      <c r="O21" s="3">
        <v>0.99890000000000001</v>
      </c>
      <c r="P21" s="3">
        <f t="shared" si="4"/>
        <v>8.0000000000002292E-4</v>
      </c>
      <c r="Q21" s="2" t="str">
        <f t="shared" si="5"/>
        <v>WS</v>
      </c>
    </row>
  </sheetData>
  <mergeCells count="1">
    <mergeCell ref="A1:Q2"/>
  </mergeCells>
  <conditionalFormatting sqref="I5:I21">
    <cfRule type="dataBar" priority="1">
      <dataBar>
        <cfvo type="min"/>
        <cfvo type="max"/>
        <color rgb="FF2F75B5"/>
      </dataBar>
    </cfRule>
    <cfRule type="dataBar" priority="4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{930F9803-1A9B-D366-F628-6E93F228C3C2}</x14:id>
        </ext>
      </extLst>
    </cfRule>
  </conditionalFormatting>
  <conditionalFormatting sqref="M5:M21">
    <cfRule type="dataBar" priority="2">
      <dataBar>
        <cfvo type="min"/>
        <cfvo type="max"/>
        <color rgb="FFD6B656"/>
      </dataBar>
    </cfRule>
    <cfRule type="dataBar" priority="5">
      <dataBar>
        <cfvo type="min"/>
        <cfvo type="max"/>
        <color rgb="FFD6B656"/>
      </dataBar>
      <extLst>
        <ext xmlns:x14="http://schemas.microsoft.com/office/spreadsheetml/2009/9/main" uri="{B025F937-C7B1-47D3-B67F-A62EFF666E3E}">
          <x14:id>{B0DE1930-495F-7E02-EE13-3C6C554CD32F}</x14:id>
        </ext>
      </extLst>
    </cfRule>
  </conditionalFormatting>
  <conditionalFormatting sqref="Q5:Q21">
    <cfRule type="expression" dxfId="3" priority="3">
      <formula>Q5="WS"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0F9803-1A9B-D366-F628-6E93F228C3C2}">
            <x14:dataBar>
              <x14:cfvo type="min"/>
              <x14:cfvo type="max"/>
              <x14:negativeFillColor auto="1"/>
              <x14:axisColor auto="1"/>
            </x14:dataBar>
          </x14:cfRule>
          <xm:sqref>I5:I21</xm:sqref>
        </x14:conditionalFormatting>
        <x14:conditionalFormatting xmlns:xm="http://schemas.microsoft.com/office/excel/2006/main">
          <x14:cfRule type="dataBar" id="{B0DE1930-495F-7E02-EE13-3C6C554CD32F}">
            <x14:dataBar>
              <x14:cfvo type="min"/>
              <x14:cfvo type="max"/>
              <x14:negativeFillColor auto="1"/>
              <x14:axisColor auto="1"/>
            </x14:dataBar>
          </x14:cfRule>
          <xm:sqref>M5:M21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C30" sqref="C30"/>
    </sheetView>
  </sheetViews>
  <sheetFormatPr baseColWidth="10" defaultColWidth="8.796875" defaultRowHeight="13.8"/>
  <cols>
    <col min="1" max="6" width="20" customWidth="1"/>
  </cols>
  <sheetData>
    <row r="1" spans="1:10" ht="19.95" customHeight="1">
      <c r="A1" s="7" t="s">
        <v>85</v>
      </c>
      <c r="B1" s="7"/>
      <c r="C1" s="7"/>
      <c r="D1" s="7"/>
      <c r="E1" s="7"/>
      <c r="F1" s="7"/>
      <c r="G1" s="7"/>
      <c r="H1" s="7"/>
      <c r="I1" s="7"/>
      <c r="J1" s="7"/>
    </row>
    <row r="2" spans="1:10" ht="19.9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4" spans="1:10">
      <c r="A4" s="1" t="s">
        <v>86</v>
      </c>
      <c r="B4" s="1" t="s">
        <v>87</v>
      </c>
      <c r="C4" s="1" t="s">
        <v>88</v>
      </c>
      <c r="D4" s="1" t="s">
        <v>89</v>
      </c>
      <c r="E4" s="1" t="s">
        <v>90</v>
      </c>
      <c r="F4" s="1" t="s">
        <v>91</v>
      </c>
    </row>
    <row r="5" spans="1:10">
      <c r="A5" s="2" t="s">
        <v>92</v>
      </c>
      <c r="B5" s="3">
        <v>0.2940382352941176</v>
      </c>
      <c r="C5" s="3">
        <v>0.34125882352941178</v>
      </c>
      <c r="D5" s="3">
        <v>0.24681764705882353</v>
      </c>
      <c r="E5" s="3">
        <v>-9.4441176470588251E-2</v>
      </c>
      <c r="F5" s="4">
        <v>27.67435446616334</v>
      </c>
    </row>
    <row r="6" spans="1:10">
      <c r="A6" s="2" t="s">
        <v>93</v>
      </c>
      <c r="B6" s="3">
        <v>0.20454411764705882</v>
      </c>
      <c r="C6" s="3">
        <v>0.2409</v>
      </c>
      <c r="D6" s="3">
        <v>0.16818823529411764</v>
      </c>
      <c r="E6" s="3">
        <v>-7.2711764705882365E-2</v>
      </c>
      <c r="F6" s="4">
        <v>30.183380948892637</v>
      </c>
    </row>
    <row r="7" spans="1:10">
      <c r="A7" s="2" t="s">
        <v>94</v>
      </c>
      <c r="B7" s="3">
        <v>0.92468823529411748</v>
      </c>
      <c r="C7" s="3">
        <v>0.90332352941176475</v>
      </c>
      <c r="D7" s="3">
        <v>0.94605294117647054</v>
      </c>
      <c r="E7" s="3">
        <v>4.2729411764705794E-2</v>
      </c>
      <c r="F7" s="4">
        <v>4.7302445218636961</v>
      </c>
    </row>
    <row r="10" spans="1:10">
      <c r="A10" s="8" t="s">
        <v>95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10" t="s">
        <v>96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>
      <c r="A15" s="10"/>
      <c r="B15" s="10"/>
      <c r="C15" s="10"/>
      <c r="D15" s="10"/>
      <c r="E15" s="10"/>
      <c r="F15" s="10"/>
      <c r="G15" s="10"/>
      <c r="H15" s="10"/>
      <c r="I15" s="10"/>
      <c r="J15" s="10"/>
    </row>
  </sheetData>
  <mergeCells count="3">
    <mergeCell ref="A1:J2"/>
    <mergeCell ref="A10:J10"/>
    <mergeCell ref="A11:J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"/>
  <sheetViews>
    <sheetView workbookViewId="0">
      <selection sqref="A1:R2"/>
    </sheetView>
  </sheetViews>
  <sheetFormatPr baseColWidth="10" defaultColWidth="8.796875" defaultRowHeight="13.8"/>
  <cols>
    <col min="1" max="1" width="12" customWidth="1"/>
    <col min="2" max="2" width="10" customWidth="1"/>
    <col min="3" max="18" width="14" customWidth="1"/>
  </cols>
  <sheetData>
    <row r="1" spans="1:18" ht="19.95" customHeight="1">
      <c r="A1" s="7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9.9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4" spans="1:18" ht="27.6">
      <c r="A4" s="1" t="s">
        <v>98</v>
      </c>
      <c r="B4" s="1" t="s">
        <v>99</v>
      </c>
      <c r="C4" s="1" t="s">
        <v>100</v>
      </c>
      <c r="D4" s="1" t="s">
        <v>101</v>
      </c>
      <c r="E4" s="1" t="s">
        <v>102</v>
      </c>
      <c r="F4" s="1" t="s">
        <v>103</v>
      </c>
      <c r="G4" s="1" t="s">
        <v>104</v>
      </c>
      <c r="H4" s="1" t="s">
        <v>105</v>
      </c>
      <c r="I4" s="1" t="s">
        <v>106</v>
      </c>
      <c r="J4" s="1" t="s">
        <v>107</v>
      </c>
      <c r="K4" s="1" t="s">
        <v>108</v>
      </c>
      <c r="L4" s="1" t="s">
        <v>109</v>
      </c>
      <c r="M4" s="1" t="s">
        <v>110</v>
      </c>
      <c r="N4" s="1" t="s">
        <v>111</v>
      </c>
      <c r="O4" s="1" t="s">
        <v>112</v>
      </c>
      <c r="P4" s="1" t="s">
        <v>113</v>
      </c>
      <c r="Q4" s="1" t="s">
        <v>114</v>
      </c>
      <c r="R4" s="1" t="s">
        <v>115</v>
      </c>
    </row>
    <row r="5" spans="1:18">
      <c r="A5" s="2" t="s">
        <v>116</v>
      </c>
      <c r="B5" s="2" t="s">
        <v>88</v>
      </c>
      <c r="C5" s="3">
        <v>17</v>
      </c>
      <c r="D5" s="3">
        <v>0.34125882352941178</v>
      </c>
      <c r="E5" s="3">
        <v>0.26069999999999999</v>
      </c>
      <c r="F5" s="3">
        <v>0.20058268886803121</v>
      </c>
      <c r="G5" s="3">
        <v>4.864844781607626E-2</v>
      </c>
      <c r="H5" s="3">
        <v>0.23812872120522305</v>
      </c>
      <c r="I5" s="3">
        <v>0.44438892585360051</v>
      </c>
      <c r="J5" s="3">
        <v>0.128</v>
      </c>
      <c r="K5" s="3">
        <v>0.219</v>
      </c>
      <c r="L5" s="3">
        <v>0.3851</v>
      </c>
      <c r="M5" s="3">
        <v>0.78200000000000003</v>
      </c>
      <c r="N5" s="3">
        <v>0.65400000000000003</v>
      </c>
      <c r="O5" s="3">
        <v>0.1661</v>
      </c>
      <c r="P5" s="3">
        <v>58.77729014990399</v>
      </c>
      <c r="Q5" s="3">
        <v>1.4101683051094143</v>
      </c>
      <c r="R5" s="3">
        <v>0.94970885518783899</v>
      </c>
    </row>
    <row r="6" spans="1:18">
      <c r="A6" s="2" t="s">
        <v>116</v>
      </c>
      <c r="B6" s="2" t="s">
        <v>89</v>
      </c>
      <c r="C6" s="3">
        <v>17</v>
      </c>
      <c r="D6" s="3">
        <v>0.24681764705882353</v>
      </c>
      <c r="E6" s="3">
        <v>0.19259999999999999</v>
      </c>
      <c r="F6" s="3">
        <v>0.15156370869742414</v>
      </c>
      <c r="G6" s="3">
        <v>3.6759598821754461E-2</v>
      </c>
      <c r="H6" s="3">
        <v>0.16889077871933886</v>
      </c>
      <c r="I6" s="3">
        <v>0.32474451539830818</v>
      </c>
      <c r="J6" s="3">
        <v>8.6999999999999994E-2</v>
      </c>
      <c r="K6" s="3">
        <v>0.14000000000000001</v>
      </c>
      <c r="L6" s="3">
        <v>0.32279999999999998</v>
      </c>
      <c r="M6" s="3">
        <v>0.63949999999999996</v>
      </c>
      <c r="N6" s="3">
        <v>0.55249999999999999</v>
      </c>
      <c r="O6" s="3">
        <v>0.18279999999999996</v>
      </c>
      <c r="P6" s="3">
        <v>61.407160510408026</v>
      </c>
      <c r="Q6" s="3">
        <v>1.4734791528780824</v>
      </c>
      <c r="R6" s="3">
        <v>1.6347313594205017</v>
      </c>
    </row>
    <row r="7" spans="1:18">
      <c r="A7" s="2" t="s">
        <v>117</v>
      </c>
      <c r="B7" s="2" t="s">
        <v>88</v>
      </c>
      <c r="C7" s="3">
        <v>17</v>
      </c>
      <c r="D7" s="3">
        <v>0.2409</v>
      </c>
      <c r="E7" s="3">
        <v>0.1996</v>
      </c>
      <c r="F7" s="3">
        <v>0.14074892539554254</v>
      </c>
      <c r="G7" s="3">
        <v>3.4136628594000108E-2</v>
      </c>
      <c r="H7" s="3">
        <v>0.16853358014603137</v>
      </c>
      <c r="I7" s="3">
        <v>0.31326641985396864</v>
      </c>
      <c r="J7" s="3">
        <v>9.0999999999999998E-2</v>
      </c>
      <c r="K7" s="3">
        <v>0.1726</v>
      </c>
      <c r="L7" s="3">
        <v>0.25580000000000003</v>
      </c>
      <c r="M7" s="3">
        <v>0.61119999999999997</v>
      </c>
      <c r="N7" s="3">
        <v>0.5202</v>
      </c>
      <c r="O7" s="3">
        <v>8.3200000000000024E-2</v>
      </c>
      <c r="P7" s="3">
        <v>58.426287005206532</v>
      </c>
      <c r="Q7" s="3">
        <v>1.6976756182609198</v>
      </c>
      <c r="R7" s="3">
        <v>2.5848600994482291</v>
      </c>
    </row>
    <row r="8" spans="1:18">
      <c r="A8" s="2" t="s">
        <v>117</v>
      </c>
      <c r="B8" s="2" t="s">
        <v>89</v>
      </c>
      <c r="C8" s="3">
        <v>17</v>
      </c>
      <c r="D8" s="3">
        <v>0.16818823529411764</v>
      </c>
      <c r="E8" s="3">
        <v>0.1196</v>
      </c>
      <c r="F8" s="3">
        <v>0.10977184795265668</v>
      </c>
      <c r="G8" s="3">
        <v>2.6623583754590896E-2</v>
      </c>
      <c r="H8" s="3">
        <v>0.11174875900849948</v>
      </c>
      <c r="I8" s="3">
        <v>0.22462771157973579</v>
      </c>
      <c r="J8" s="3">
        <v>6.6000000000000003E-2</v>
      </c>
      <c r="K8" s="3">
        <v>0.1019</v>
      </c>
      <c r="L8" s="3">
        <v>0.2072</v>
      </c>
      <c r="M8" s="3">
        <v>0.43190000000000001</v>
      </c>
      <c r="N8" s="3">
        <v>0.3659</v>
      </c>
      <c r="O8" s="3">
        <v>0.10529999999999999</v>
      </c>
      <c r="P8" s="3">
        <v>65.267257106713899</v>
      </c>
      <c r="Q8" s="3">
        <v>1.6742631875009573</v>
      </c>
      <c r="R8" s="3">
        <v>2.1403888481501827</v>
      </c>
    </row>
    <row r="9" spans="1:18">
      <c r="A9" s="2" t="s">
        <v>94</v>
      </c>
      <c r="B9" s="2" t="s">
        <v>88</v>
      </c>
      <c r="C9" s="3">
        <v>17</v>
      </c>
      <c r="D9" s="3">
        <v>0.90332352941176475</v>
      </c>
      <c r="E9" s="3">
        <v>0.92449999999999999</v>
      </c>
      <c r="F9" s="3">
        <v>0.11006246822493444</v>
      </c>
      <c r="G9" s="3">
        <v>2.6694069523976013E-2</v>
      </c>
      <c r="H9" s="3">
        <v>0.8467346299701074</v>
      </c>
      <c r="I9" s="3">
        <v>0.9599124288534221</v>
      </c>
      <c r="J9" s="3">
        <v>0.61050000000000004</v>
      </c>
      <c r="K9" s="3">
        <v>0.85919999999999996</v>
      </c>
      <c r="L9" s="3">
        <v>0.99509999999999998</v>
      </c>
      <c r="M9" s="3">
        <v>0.99870000000000003</v>
      </c>
      <c r="N9" s="3">
        <v>0.38819999999999999</v>
      </c>
      <c r="O9" s="3">
        <v>0.13590000000000002</v>
      </c>
      <c r="P9" s="3">
        <v>12.184169308266112</v>
      </c>
      <c r="Q9" s="3">
        <v>-1.4550708153285006</v>
      </c>
      <c r="R9" s="3">
        <v>1.9227042738020828</v>
      </c>
    </row>
    <row r="10" spans="1:18">
      <c r="A10" s="2" t="s">
        <v>94</v>
      </c>
      <c r="B10" s="2" t="s">
        <v>89</v>
      </c>
      <c r="C10" s="3">
        <v>17</v>
      </c>
      <c r="D10" s="3">
        <v>0.94605294117647054</v>
      </c>
      <c r="E10" s="3">
        <v>0.97529999999999994</v>
      </c>
      <c r="F10" s="3">
        <v>7.3930880875712729E-2</v>
      </c>
      <c r="G10" s="3">
        <v>1.7930872402677663E-2</v>
      </c>
      <c r="H10" s="3">
        <v>0.90804118975037396</v>
      </c>
      <c r="I10" s="3">
        <v>0.98406469260256713</v>
      </c>
      <c r="J10" s="3">
        <v>0.72629999999999995</v>
      </c>
      <c r="K10" s="3">
        <v>0.93340000000000001</v>
      </c>
      <c r="L10" s="3">
        <v>0.99629999999999996</v>
      </c>
      <c r="M10" s="3">
        <v>0.99960000000000004</v>
      </c>
      <c r="N10" s="3">
        <v>0.2733000000000001</v>
      </c>
      <c r="O10" s="3">
        <v>6.2899999999999956E-2</v>
      </c>
      <c r="P10" s="3">
        <v>7.8146663530029805</v>
      </c>
      <c r="Q10" s="3">
        <v>-2.0754703082016381</v>
      </c>
      <c r="R10" s="3">
        <v>4.4230076105395861</v>
      </c>
    </row>
  </sheetData>
  <mergeCells count="1">
    <mergeCell ref="A1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D17" sqref="D17"/>
    </sheetView>
  </sheetViews>
  <sheetFormatPr baseColWidth="10" defaultColWidth="8.796875" defaultRowHeight="13.8"/>
  <cols>
    <col min="1" max="7" width="22" customWidth="1"/>
  </cols>
  <sheetData>
    <row r="1" spans="1:7" ht="19.95" customHeight="1">
      <c r="A1" s="7" t="s">
        <v>118</v>
      </c>
      <c r="B1" s="7"/>
      <c r="C1" s="7"/>
      <c r="D1" s="7"/>
      <c r="E1" s="7"/>
      <c r="F1" s="7"/>
      <c r="G1" s="7"/>
    </row>
    <row r="2" spans="1:7" ht="19.95" customHeight="1">
      <c r="A2" s="7"/>
      <c r="B2" s="7"/>
      <c r="C2" s="7"/>
      <c r="D2" s="7"/>
      <c r="E2" s="7"/>
      <c r="F2" s="7"/>
      <c r="G2" s="7"/>
    </row>
    <row r="4" spans="1:7" ht="27.6">
      <c r="A4" s="1" t="s">
        <v>98</v>
      </c>
      <c r="B4" s="1" t="s">
        <v>119</v>
      </c>
      <c r="C4" s="1" t="s">
        <v>120</v>
      </c>
      <c r="D4" s="1" t="s">
        <v>121</v>
      </c>
      <c r="E4" s="1" t="s">
        <v>122</v>
      </c>
      <c r="F4" s="1" t="s">
        <v>123</v>
      </c>
    </row>
    <row r="5" spans="1:7">
      <c r="A5" s="2" t="s">
        <v>116</v>
      </c>
      <c r="B5" s="3">
        <v>0.88148857441784312</v>
      </c>
      <c r="C5" s="3">
        <v>3.3615767648611183E-2</v>
      </c>
      <c r="D5" s="3">
        <v>0.68421339918765867</v>
      </c>
      <c r="E5" s="3">
        <v>0.71499999999999997</v>
      </c>
      <c r="F5" s="5" t="b">
        <v>0</v>
      </c>
    </row>
    <row r="6" spans="1:7">
      <c r="A6" s="2" t="s">
        <v>117</v>
      </c>
      <c r="B6" s="3">
        <v>0.92878001604670846</v>
      </c>
      <c r="C6" s="3">
        <v>0.20764115647422005</v>
      </c>
      <c r="D6" s="3">
        <v>0.42238606376217191</v>
      </c>
      <c r="E6" s="3">
        <v>0.71499999999999997</v>
      </c>
      <c r="F6" s="5" t="b">
        <v>1</v>
      </c>
    </row>
    <row r="7" spans="1:7">
      <c r="A7" s="2" t="s">
        <v>94</v>
      </c>
      <c r="B7" s="3">
        <v>0.86005645290899491</v>
      </c>
      <c r="C7" s="3">
        <v>1.5324157424444909E-2</v>
      </c>
      <c r="D7" s="3">
        <v>0.88031035551952996</v>
      </c>
      <c r="E7" s="3">
        <v>0.71499999999999997</v>
      </c>
      <c r="F7" s="5" t="b">
        <v>0</v>
      </c>
    </row>
  </sheetData>
  <mergeCells count="1">
    <mergeCell ref="A1:G2"/>
  </mergeCells>
  <conditionalFormatting sqref="F5:F7">
    <cfRule type="expression" dxfId="2" priority="1">
      <formula>F5=TRUE</formula>
    </cfRule>
    <cfRule type="expression" dxfId="1" priority="2">
      <formula>F5=FALSE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workbookViewId="0">
      <selection activeCell="H5" sqref="H5"/>
    </sheetView>
  </sheetViews>
  <sheetFormatPr baseColWidth="10" defaultColWidth="8.796875" defaultRowHeight="13.8"/>
  <cols>
    <col min="1" max="1" width="13" customWidth="1"/>
    <col min="2" max="14" width="17" customWidth="1"/>
  </cols>
  <sheetData>
    <row r="1" spans="1:14" ht="19.95" customHeight="1">
      <c r="A1" s="7" t="s">
        <v>124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9.9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41.4">
      <c r="A4" s="1" t="s">
        <v>98</v>
      </c>
      <c r="B4" s="1" t="s">
        <v>125</v>
      </c>
      <c r="C4" s="1" t="s">
        <v>126</v>
      </c>
      <c r="D4" s="1" t="s">
        <v>127</v>
      </c>
      <c r="E4" s="1" t="s">
        <v>128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137</v>
      </c>
    </row>
    <row r="5" spans="1:14">
      <c r="A5" s="2" t="s">
        <v>116</v>
      </c>
      <c r="B5" s="3">
        <v>9.4441176470588251E-2</v>
      </c>
      <c r="C5" s="3">
        <v>6.4776470588235296E-2</v>
      </c>
      <c r="D5" s="3">
        <v>0.13001779411764705</v>
      </c>
      <c r="E5" s="3">
        <v>5.4748440057754202</v>
      </c>
      <c r="F5" s="3">
        <v>5.0900985831957839E-5</v>
      </c>
      <c r="G5" s="3">
        <v>0</v>
      </c>
      <c r="H5" s="3">
        <v>1.52587890625E-5</v>
      </c>
      <c r="I5" s="3">
        <v>1.3278447129171627</v>
      </c>
      <c r="J5" s="3">
        <v>1.2603271851417137</v>
      </c>
      <c r="K5" s="3">
        <v>1.0279671706211586</v>
      </c>
      <c r="L5" s="3">
        <v>2.1794940325021965</v>
      </c>
      <c r="M5" s="2" t="s">
        <v>138</v>
      </c>
      <c r="N5" s="5" t="b">
        <v>1</v>
      </c>
    </row>
    <row r="6" spans="1:14">
      <c r="A6" s="2" t="s">
        <v>117</v>
      </c>
      <c r="B6" s="3">
        <v>7.2711764705882365E-2</v>
      </c>
      <c r="C6" s="3">
        <v>5.3329117647058832E-2</v>
      </c>
      <c r="D6" s="3">
        <v>9.3982647058823532E-2</v>
      </c>
      <c r="E6" s="3">
        <v>6.6974993034810852</v>
      </c>
      <c r="F6" s="3">
        <v>5.1237291697062654E-6</v>
      </c>
      <c r="G6" s="3">
        <v>0</v>
      </c>
      <c r="H6" s="3">
        <v>1.52587890625E-5</v>
      </c>
      <c r="I6" s="3">
        <v>1.6243821797501898</v>
      </c>
      <c r="J6" s="3">
        <v>1.5417864756950954</v>
      </c>
      <c r="K6" s="3">
        <v>1.1950720491737012</v>
      </c>
      <c r="L6" s="3">
        <v>2.904321645231895</v>
      </c>
      <c r="M6" s="2" t="s">
        <v>128</v>
      </c>
      <c r="N6" s="5" t="b">
        <v>1</v>
      </c>
    </row>
    <row r="7" spans="1:14">
      <c r="A7" s="2" t="s">
        <v>94</v>
      </c>
      <c r="B7" s="3">
        <v>4.272941176470587E-2</v>
      </c>
      <c r="C7" s="3">
        <v>2.3452647058823533E-2</v>
      </c>
      <c r="D7" s="3">
        <v>6.3312205882352923E-2</v>
      </c>
      <c r="E7" s="3">
        <v>-4.0469558621504591</v>
      </c>
      <c r="F7" s="3">
        <v>9.3506171394768987E-4</v>
      </c>
      <c r="G7" s="3">
        <v>0</v>
      </c>
      <c r="H7" s="3">
        <v>1.52587890625E-5</v>
      </c>
      <c r="I7" s="3">
        <v>0.98153096952111341</v>
      </c>
      <c r="J7" s="3">
        <v>0.93162261513868394</v>
      </c>
      <c r="K7" s="3">
        <v>0.69757541965866221</v>
      </c>
      <c r="L7" s="3">
        <v>1.4285682018821064</v>
      </c>
      <c r="M7" s="2" t="s">
        <v>138</v>
      </c>
      <c r="N7" s="5" t="b">
        <v>1</v>
      </c>
    </row>
  </sheetData>
  <mergeCells count="1">
    <mergeCell ref="A1:N2"/>
  </mergeCells>
  <conditionalFormatting sqref="N5:N7">
    <cfRule type="expression" dxfId="0" priority="1">
      <formula>N5=TRUE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D21" sqref="D21"/>
    </sheetView>
  </sheetViews>
  <sheetFormatPr baseColWidth="10" defaultColWidth="8.796875" defaultRowHeight="13.8"/>
  <cols>
    <col min="1" max="6" width="23" customWidth="1"/>
  </cols>
  <sheetData>
    <row r="1" spans="1:6" ht="19.95" customHeight="1">
      <c r="A1" s="7" t="s">
        <v>139</v>
      </c>
      <c r="B1" s="7"/>
      <c r="C1" s="7"/>
      <c r="D1" s="7"/>
      <c r="E1" s="7"/>
      <c r="F1" s="7"/>
    </row>
    <row r="2" spans="1:6" ht="19.95" customHeight="1">
      <c r="A2" s="7"/>
      <c r="B2" s="7"/>
      <c r="C2" s="7"/>
      <c r="D2" s="7"/>
      <c r="E2" s="7"/>
      <c r="F2" s="7"/>
    </row>
    <row r="4" spans="1:6">
      <c r="A4" s="13" t="s">
        <v>98</v>
      </c>
      <c r="B4" s="13" t="s">
        <v>99</v>
      </c>
      <c r="C4" s="13" t="s">
        <v>140</v>
      </c>
      <c r="D4" s="13" t="s">
        <v>141</v>
      </c>
      <c r="E4" s="13" t="s">
        <v>142</v>
      </c>
      <c r="F4" s="13" t="s">
        <v>143</v>
      </c>
    </row>
    <row r="5" spans="1:6">
      <c r="A5" s="11" t="s">
        <v>116</v>
      </c>
      <c r="B5" s="11" t="s">
        <v>88</v>
      </c>
      <c r="C5" s="12">
        <v>0.34125882352941178</v>
      </c>
      <c r="D5" s="12">
        <v>0.25665867647058832</v>
      </c>
      <c r="E5" s="12">
        <v>0.43670794117647055</v>
      </c>
      <c r="F5" s="11">
        <v>10000</v>
      </c>
    </row>
    <row r="6" spans="1:6">
      <c r="A6" s="11" t="s">
        <v>116</v>
      </c>
      <c r="B6" s="11" t="s">
        <v>89</v>
      </c>
      <c r="C6" s="12">
        <v>0.24681764705882353</v>
      </c>
      <c r="D6" s="12">
        <v>0.18267632352941177</v>
      </c>
      <c r="E6" s="12">
        <v>0.32351852941176468</v>
      </c>
      <c r="F6" s="11">
        <v>10000</v>
      </c>
    </row>
    <row r="7" spans="1:6">
      <c r="A7" s="11" t="s">
        <v>117</v>
      </c>
      <c r="B7" s="11" t="s">
        <v>88</v>
      </c>
      <c r="C7" s="12">
        <v>0.2409</v>
      </c>
      <c r="D7" s="12">
        <v>0.18234617647058823</v>
      </c>
      <c r="E7" s="12">
        <v>0.30969073529411761</v>
      </c>
      <c r="F7" s="11">
        <v>10000</v>
      </c>
    </row>
    <row r="8" spans="1:6">
      <c r="A8" s="11" t="s">
        <v>117</v>
      </c>
      <c r="B8" s="11" t="s">
        <v>89</v>
      </c>
      <c r="C8" s="12">
        <v>0.16818823529411764</v>
      </c>
      <c r="D8" s="12">
        <v>0.12265867647058823</v>
      </c>
      <c r="E8" s="12">
        <v>0.22281808823529412</v>
      </c>
      <c r="F8" s="11">
        <v>10000</v>
      </c>
    </row>
    <row r="9" spans="1:6">
      <c r="A9" s="11" t="s">
        <v>94</v>
      </c>
      <c r="B9" s="11" t="s">
        <v>88</v>
      </c>
      <c r="C9" s="12">
        <v>0.90332352941176475</v>
      </c>
      <c r="D9" s="12">
        <v>0.84870529411764706</v>
      </c>
      <c r="E9" s="12">
        <v>0.94975911764705889</v>
      </c>
      <c r="F9" s="11">
        <v>10000</v>
      </c>
    </row>
    <row r="10" spans="1:6">
      <c r="A10" s="11" t="s">
        <v>94</v>
      </c>
      <c r="B10" s="11" t="s">
        <v>89</v>
      </c>
      <c r="C10" s="12">
        <v>0.94605294117647054</v>
      </c>
      <c r="D10" s="12">
        <v>0.90937029411764714</v>
      </c>
      <c r="E10" s="12">
        <v>0.97611794117647066</v>
      </c>
      <c r="F10" s="11">
        <v>10000</v>
      </c>
    </row>
  </sheetData>
  <mergeCells count="1">
    <mergeCell ref="A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selection activeCell="D28" sqref="D28"/>
    </sheetView>
  </sheetViews>
  <sheetFormatPr baseColWidth="10" defaultColWidth="8.796875" defaultRowHeight="13.8"/>
  <cols>
    <col min="1" max="1" width="10" customWidth="1"/>
    <col min="2" max="2" width="34" customWidth="1"/>
    <col min="3" max="7" width="18" customWidth="1"/>
  </cols>
  <sheetData>
    <row r="1" spans="1:9" ht="19.95" customHeight="1">
      <c r="A1" s="7" t="s">
        <v>144</v>
      </c>
      <c r="B1" s="7"/>
      <c r="C1" s="7"/>
      <c r="D1" s="7"/>
      <c r="E1" s="7"/>
      <c r="F1" s="7"/>
      <c r="G1" s="7"/>
      <c r="H1" s="7"/>
      <c r="I1" s="7"/>
    </row>
    <row r="2" spans="1:9" ht="19.95" customHeight="1">
      <c r="A2" s="7"/>
      <c r="B2" s="7"/>
      <c r="C2" s="7"/>
      <c r="D2" s="7"/>
      <c r="E2" s="7"/>
      <c r="F2" s="7"/>
      <c r="G2" s="7"/>
      <c r="H2" s="7"/>
      <c r="I2" s="7"/>
    </row>
    <row r="3" spans="1:9">
      <c r="D3" s="17" t="s">
        <v>193</v>
      </c>
      <c r="E3" s="17" t="s">
        <v>193</v>
      </c>
    </row>
    <row r="4" spans="1:9" ht="27.6">
      <c r="A4" s="13" t="s">
        <v>145</v>
      </c>
      <c r="B4" s="13" t="s">
        <v>18</v>
      </c>
      <c r="C4" s="13" t="s">
        <v>19</v>
      </c>
      <c r="D4" s="13" t="s">
        <v>26</v>
      </c>
      <c r="E4" s="13" t="s">
        <v>30</v>
      </c>
      <c r="F4" s="13" t="s">
        <v>146</v>
      </c>
      <c r="G4" s="13" t="s">
        <v>147</v>
      </c>
    </row>
    <row r="5" spans="1:9">
      <c r="A5" s="14">
        <v>1</v>
      </c>
      <c r="B5" s="16" t="s">
        <v>73</v>
      </c>
      <c r="C5" s="14" t="s">
        <v>74</v>
      </c>
      <c r="D5" s="15">
        <v>52.167242040659758</v>
      </c>
      <c r="E5" s="15">
        <v>56.825938566552907</v>
      </c>
      <c r="F5" s="15">
        <v>3.7000000000000366E-3</v>
      </c>
      <c r="G5" s="15">
        <v>36.454988391043024</v>
      </c>
    </row>
    <row r="6" spans="1:9">
      <c r="A6" s="14">
        <v>2</v>
      </c>
      <c r="B6" s="16" t="s">
        <v>41</v>
      </c>
      <c r="C6" s="14" t="s">
        <v>42</v>
      </c>
      <c r="D6" s="15">
        <v>38.997821350762521</v>
      </c>
      <c r="E6" s="15">
        <v>44.103126714207349</v>
      </c>
      <c r="F6" s="15">
        <v>0.12679999999999991</v>
      </c>
      <c r="G6" s="15">
        <v>32.996890791915597</v>
      </c>
    </row>
    <row r="7" spans="1:9">
      <c r="A7" s="14">
        <v>3</v>
      </c>
      <c r="B7" s="16" t="s">
        <v>71</v>
      </c>
      <c r="C7" s="14" t="s">
        <v>72</v>
      </c>
      <c r="D7" s="15">
        <v>45.814051325199834</v>
      </c>
      <c r="E7" s="15">
        <v>48.48824188129899</v>
      </c>
      <c r="F7" s="15">
        <v>9.000000000000119E-4</v>
      </c>
      <c r="G7" s="15">
        <v>31.464136786265609</v>
      </c>
    </row>
    <row r="8" spans="1:9">
      <c r="A8" s="14">
        <v>4</v>
      </c>
      <c r="B8" s="16" t="s">
        <v>35</v>
      </c>
      <c r="C8" s="14" t="s">
        <v>36</v>
      </c>
      <c r="D8" s="15">
        <v>36.560643131772117</v>
      </c>
      <c r="E8" s="15">
        <v>41.833667334669336</v>
      </c>
      <c r="F8" s="15">
        <v>9.8899999999999988E-2</v>
      </c>
      <c r="G8" s="15">
        <v>30.081906165067064</v>
      </c>
    </row>
    <row r="9" spans="1:9">
      <c r="A9" s="14">
        <v>5</v>
      </c>
      <c r="B9" s="16" t="s">
        <v>79</v>
      </c>
      <c r="C9" s="14" t="s">
        <v>80</v>
      </c>
      <c r="D9" s="15">
        <v>31.717941736999723</v>
      </c>
      <c r="E9" s="15">
        <v>35.926505082095396</v>
      </c>
      <c r="F9" s="15">
        <v>5.1899999999999946E-2</v>
      </c>
      <c r="G9" s="15">
        <v>24.464409462516272</v>
      </c>
    </row>
    <row r="10" spans="1:9">
      <c r="A10" s="14">
        <v>6</v>
      </c>
      <c r="B10" s="16" t="s">
        <v>47</v>
      </c>
      <c r="C10" s="14" t="s">
        <v>48</v>
      </c>
      <c r="D10" s="15">
        <v>35.677749360613809</v>
      </c>
      <c r="E10" s="15">
        <v>31.200916230366488</v>
      </c>
      <c r="F10" s="15">
        <v>4.7000000000000042E-2</v>
      </c>
      <c r="G10" s="15">
        <v>24.024968869372277</v>
      </c>
    </row>
    <row r="11" spans="1:9">
      <c r="A11" s="14">
        <v>7</v>
      </c>
      <c r="B11" s="16" t="s">
        <v>65</v>
      </c>
      <c r="C11" s="14" t="s">
        <v>66</v>
      </c>
      <c r="D11" s="15">
        <v>34.234095120444714</v>
      </c>
      <c r="E11" s="15">
        <v>34.150464919695693</v>
      </c>
      <c r="F11" s="15">
        <v>2.3099999999999898E-2</v>
      </c>
      <c r="G11" s="15">
        <v>23.597605640291444</v>
      </c>
    </row>
    <row r="12" spans="1:9">
      <c r="A12" s="14">
        <v>8</v>
      </c>
      <c r="B12" s="16" t="s">
        <v>68</v>
      </c>
      <c r="C12" s="14" t="s">
        <v>69</v>
      </c>
      <c r="D12" s="15">
        <v>38.728522336769764</v>
      </c>
      <c r="E12" s="15">
        <v>26.783248964565118</v>
      </c>
      <c r="F12" s="15">
        <v>1.5000000000000013E-2</v>
      </c>
      <c r="G12" s="15">
        <v>22.350551423409744</v>
      </c>
    </row>
    <row r="13" spans="1:9">
      <c r="A13" s="14">
        <v>9</v>
      </c>
      <c r="B13" s="16" t="s">
        <v>76</v>
      </c>
      <c r="C13" s="14" t="s">
        <v>77</v>
      </c>
      <c r="D13" s="15">
        <v>22.338709677419359</v>
      </c>
      <c r="E13" s="15">
        <v>32.67670915411356</v>
      </c>
      <c r="F13" s="15">
        <v>7.3299999999999921E-2</v>
      </c>
      <c r="G13" s="15">
        <v>21.047268213615183</v>
      </c>
    </row>
    <row r="14" spans="1:9">
      <c r="A14" s="14">
        <v>10</v>
      </c>
      <c r="B14" s="16" t="s">
        <v>56</v>
      </c>
      <c r="C14" s="14" t="s">
        <v>57</v>
      </c>
      <c r="D14" s="15">
        <v>32.03125</v>
      </c>
      <c r="E14" s="15">
        <v>27.472527472527467</v>
      </c>
      <c r="F14" s="15">
        <v>1.3000000000000012E-2</v>
      </c>
      <c r="G14" s="15">
        <v>20.277673608770233</v>
      </c>
    </row>
    <row r="15" spans="1:9">
      <c r="A15" s="14">
        <v>11</v>
      </c>
      <c r="B15" s="16" t="s">
        <v>82</v>
      </c>
      <c r="C15" s="14" t="s">
        <v>83</v>
      </c>
      <c r="D15" s="15">
        <v>24.613220815752459</v>
      </c>
      <c r="E15" s="15">
        <v>34.992784992784998</v>
      </c>
      <c r="F15" s="15">
        <v>8.0000000000002292E-4</v>
      </c>
      <c r="G15" s="15">
        <v>19.895386032629077</v>
      </c>
    </row>
    <row r="16" spans="1:9">
      <c r="A16" s="14">
        <v>12</v>
      </c>
      <c r="B16" s="16" t="s">
        <v>44</v>
      </c>
      <c r="C16" s="14" t="s">
        <v>45</v>
      </c>
      <c r="D16" s="15">
        <v>16.17761620358349</v>
      </c>
      <c r="E16" s="15">
        <v>18.649391440910868</v>
      </c>
      <c r="F16" s="15">
        <v>0.1157999999999999</v>
      </c>
      <c r="G16" s="15">
        <v>17.931688870851104</v>
      </c>
    </row>
    <row r="17" spans="1:7">
      <c r="A17" s="14">
        <v>13</v>
      </c>
      <c r="B17" s="16" t="s">
        <v>62</v>
      </c>
      <c r="C17" s="14" t="s">
        <v>63</v>
      </c>
      <c r="D17" s="15">
        <v>5.247953779489646</v>
      </c>
      <c r="E17" s="15">
        <v>42.665388302972197</v>
      </c>
      <c r="F17" s="15">
        <v>1.0999999999999899E-3</v>
      </c>
      <c r="G17" s="15">
        <v>16.007846813168175</v>
      </c>
    </row>
    <row r="18" spans="1:7">
      <c r="A18" s="14">
        <v>14</v>
      </c>
      <c r="B18" s="16" t="s">
        <v>59</v>
      </c>
      <c r="C18" s="14" t="s">
        <v>60</v>
      </c>
      <c r="D18" s="15">
        <v>14.557124518613614</v>
      </c>
      <c r="E18" s="15">
        <v>17.445917655268673</v>
      </c>
      <c r="F18" s="15">
        <v>9.4600000000000017E-2</v>
      </c>
      <c r="G18" s="15">
        <v>15.023715167690467</v>
      </c>
    </row>
    <row r="19" spans="1:7">
      <c r="A19" s="14">
        <v>15</v>
      </c>
      <c r="B19" s="16" t="s">
        <v>38</v>
      </c>
      <c r="C19" s="14" t="s">
        <v>39</v>
      </c>
      <c r="D19" s="15">
        <v>15.833113977362475</v>
      </c>
      <c r="E19" s="15">
        <v>18.200757575757578</v>
      </c>
      <c r="F19" s="15">
        <v>2.0600000000000063E-2</v>
      </c>
      <c r="G19" s="15">
        <v>12.087367676531274</v>
      </c>
    </row>
    <row r="20" spans="1:7">
      <c r="A20" s="14">
        <v>16</v>
      </c>
      <c r="B20" s="16" t="s">
        <v>50</v>
      </c>
      <c r="C20" s="14" t="s">
        <v>51</v>
      </c>
      <c r="D20" s="15">
        <v>7.9812206572770092</v>
      </c>
      <c r="E20" s="15">
        <v>4.8604860486048622</v>
      </c>
      <c r="F20" s="15">
        <v>3.8700000000000068E-2</v>
      </c>
      <c r="G20" s="15">
        <v>5.78196555000532</v>
      </c>
    </row>
    <row r="21" spans="1:7">
      <c r="A21" s="14">
        <v>17</v>
      </c>
      <c r="B21" s="16" t="s">
        <v>53</v>
      </c>
      <c r="C21" s="14" t="s">
        <v>54</v>
      </c>
      <c r="D21" s="15">
        <v>11.689497716894984</v>
      </c>
      <c r="E21" s="15">
        <v>4.5101088646967229</v>
      </c>
      <c r="F21" s="15">
        <v>1.1999999999999789E-3</v>
      </c>
      <c r="G21" s="15">
        <v>5.4400658256597003</v>
      </c>
    </row>
  </sheetData>
  <mergeCells count="1">
    <mergeCell ref="A1:I2"/>
  </mergeCells>
  <conditionalFormatting sqref="D5:E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workbookViewId="0">
      <selection sqref="A1:H2"/>
    </sheetView>
  </sheetViews>
  <sheetFormatPr baseColWidth="10" defaultColWidth="8.796875" defaultRowHeight="13.8"/>
  <cols>
    <col min="1" max="8" width="19" customWidth="1"/>
  </cols>
  <sheetData>
    <row r="1" spans="1:8" ht="19.95" customHeight="1">
      <c r="A1" s="7" t="s">
        <v>148</v>
      </c>
      <c r="B1" s="7"/>
      <c r="C1" s="7"/>
      <c r="D1" s="7"/>
      <c r="E1" s="7"/>
      <c r="F1" s="7"/>
      <c r="G1" s="7"/>
      <c r="H1" s="7"/>
    </row>
    <row r="2" spans="1:8" ht="19.95" customHeight="1">
      <c r="A2" s="7"/>
      <c r="B2" s="7"/>
      <c r="C2" s="7"/>
      <c r="D2" s="7"/>
      <c r="E2" s="7"/>
      <c r="F2" s="7"/>
      <c r="G2" s="7"/>
      <c r="H2" s="7"/>
    </row>
    <row r="4" spans="1:8">
      <c r="A4" s="1" t="s">
        <v>149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</row>
    <row r="5" spans="1:8">
      <c r="A5" s="2" t="s">
        <v>116</v>
      </c>
      <c r="B5" s="2" t="s">
        <v>155</v>
      </c>
      <c r="C5" s="3">
        <v>4.7127847203639467E-2</v>
      </c>
      <c r="D5" s="3">
        <v>0.85745792118405761</v>
      </c>
      <c r="E5" s="3">
        <v>0.17892156862745098</v>
      </c>
      <c r="F5" s="3">
        <v>0.49202096290489172</v>
      </c>
      <c r="G5" s="6"/>
      <c r="H5" s="6"/>
    </row>
    <row r="6" spans="1:8">
      <c r="A6" s="2" t="s">
        <v>116</v>
      </c>
      <c r="B6" s="2" t="s">
        <v>22</v>
      </c>
      <c r="C6" s="3">
        <v>0.13295276598536543</v>
      </c>
      <c r="D6" s="3">
        <v>0.61096831913424887</v>
      </c>
      <c r="E6" s="3">
        <v>0.12875538900754524</v>
      </c>
      <c r="F6" s="3">
        <v>0.62237009699491463</v>
      </c>
      <c r="G6" s="6"/>
      <c r="H6" s="6"/>
    </row>
    <row r="7" spans="1:8">
      <c r="A7" s="2" t="s">
        <v>116</v>
      </c>
      <c r="B7" s="2" t="s">
        <v>20</v>
      </c>
      <c r="C7" s="3">
        <v>-0.4384303426393189</v>
      </c>
      <c r="D7" s="3">
        <v>7.8340451263260294E-2</v>
      </c>
      <c r="E7" s="3">
        <v>-0.4177513398392147</v>
      </c>
      <c r="F7" s="3">
        <v>9.5206054304537255E-2</v>
      </c>
      <c r="G7" s="6"/>
      <c r="H7" s="6"/>
    </row>
    <row r="8" spans="1:8">
      <c r="A8" s="2" t="s">
        <v>117</v>
      </c>
      <c r="B8" s="2" t="s">
        <v>155</v>
      </c>
      <c r="C8" s="3">
        <v>-5.6575477620966236E-2</v>
      </c>
      <c r="D8" s="3">
        <v>0.82924452574706642</v>
      </c>
      <c r="E8" s="3">
        <v>-2.2058823529411766E-2</v>
      </c>
      <c r="F8" s="3">
        <v>0.93303044905307531</v>
      </c>
      <c r="G8" s="6"/>
      <c r="H8" s="6"/>
    </row>
    <row r="9" spans="1:8">
      <c r="A9" s="2" t="s">
        <v>117</v>
      </c>
      <c r="B9" s="2" t="s">
        <v>22</v>
      </c>
      <c r="C9" s="3">
        <v>0.49760470493536568</v>
      </c>
      <c r="D9" s="3">
        <v>4.210269626197858E-2</v>
      </c>
      <c r="E9" s="3">
        <v>0.47578181842788153</v>
      </c>
      <c r="F9" s="3">
        <v>5.3555409115695327E-2</v>
      </c>
      <c r="G9" s="6"/>
      <c r="H9" s="6"/>
    </row>
    <row r="10" spans="1:8">
      <c r="A10" s="2" t="s">
        <v>117</v>
      </c>
      <c r="B10" s="2" t="s">
        <v>20</v>
      </c>
      <c r="C10" s="3">
        <v>-0.58936173835742667</v>
      </c>
      <c r="D10" s="3">
        <v>1.2785776427310267E-2</v>
      </c>
      <c r="E10" s="3">
        <v>-0.51756803165920406</v>
      </c>
      <c r="F10" s="3">
        <v>3.3346387412084823E-2</v>
      </c>
      <c r="G10" s="6"/>
      <c r="H10" s="6"/>
    </row>
    <row r="11" spans="1:8">
      <c r="A11" s="2" t="s">
        <v>94</v>
      </c>
      <c r="B11" s="2" t="s">
        <v>155</v>
      </c>
      <c r="C11" s="3">
        <v>-0.94670104397556032</v>
      </c>
      <c r="D11" s="3">
        <v>8.8647959523687729E-9</v>
      </c>
      <c r="E11" s="3">
        <v>-0.97058823529411775</v>
      </c>
      <c r="F11" s="3">
        <v>1.1001306700206469E-10</v>
      </c>
      <c r="G11" s="6"/>
      <c r="H11" s="6"/>
    </row>
    <row r="12" spans="1:8">
      <c r="A12" s="2" t="s">
        <v>94</v>
      </c>
      <c r="B12" s="2" t="s">
        <v>22</v>
      </c>
      <c r="C12" s="3">
        <v>-0.63488263685856217</v>
      </c>
      <c r="D12" s="3">
        <v>6.1803313839028156E-3</v>
      </c>
      <c r="E12" s="3">
        <v>-0.62293083443650465</v>
      </c>
      <c r="F12" s="3">
        <v>7.5591145125588413E-3</v>
      </c>
      <c r="G12" s="6"/>
      <c r="H12" s="6"/>
    </row>
    <row r="13" spans="1:8">
      <c r="A13" s="2" t="s">
        <v>94</v>
      </c>
      <c r="B13" s="2" t="s">
        <v>20</v>
      </c>
      <c r="C13" s="3">
        <v>0.50406011307154974</v>
      </c>
      <c r="D13" s="3">
        <v>3.9100269912624212E-2</v>
      </c>
      <c r="E13" s="3">
        <v>0.47936658170340568</v>
      </c>
      <c r="F13" s="3">
        <v>5.1530280882599193E-2</v>
      </c>
      <c r="G13" s="6"/>
      <c r="H13" s="6"/>
    </row>
    <row r="14" spans="1:8">
      <c r="C14" s="6"/>
      <c r="D14" s="6"/>
      <c r="E14" s="6"/>
      <c r="F14" s="6"/>
      <c r="G14" s="6"/>
      <c r="H14" s="6"/>
    </row>
    <row r="15" spans="1:8">
      <c r="C15" s="6"/>
      <c r="D15" s="6"/>
      <c r="E15" s="6"/>
      <c r="F15" s="6"/>
      <c r="G15" s="6"/>
      <c r="H15" s="6"/>
    </row>
    <row r="16" spans="1:8">
      <c r="C16" s="6"/>
      <c r="D16" s="6"/>
      <c r="E16" s="6"/>
      <c r="F16" s="6"/>
      <c r="G16" s="6"/>
      <c r="H16" s="6"/>
    </row>
    <row r="17" spans="3:8">
      <c r="C17" s="6"/>
      <c r="D17" s="6"/>
      <c r="E17" s="6"/>
      <c r="F17" s="6"/>
      <c r="G17" s="6"/>
      <c r="H17" s="6"/>
    </row>
    <row r="18" spans="3:8">
      <c r="C18" s="6"/>
      <c r="D18" s="6"/>
      <c r="E18" s="6"/>
      <c r="F18" s="6"/>
      <c r="G18" s="6"/>
      <c r="H18" s="6"/>
    </row>
    <row r="19" spans="3:8">
      <c r="C19" s="6"/>
      <c r="D19" s="6"/>
      <c r="E19" s="6"/>
      <c r="F19" s="6"/>
      <c r="G19" s="6"/>
      <c r="H19" s="6"/>
    </row>
    <row r="20" spans="3:8">
      <c r="C20" s="6"/>
      <c r="D20" s="6"/>
      <c r="E20" s="6"/>
      <c r="F20" s="6"/>
      <c r="G20" s="6"/>
      <c r="H20" s="6"/>
    </row>
    <row r="21" spans="3:8">
      <c r="C21" s="6"/>
      <c r="D21" s="6"/>
      <c r="E21" s="6"/>
      <c r="F21" s="6"/>
      <c r="G21" s="6"/>
      <c r="H21" s="6"/>
    </row>
    <row r="22" spans="3:8">
      <c r="C22" s="6"/>
      <c r="D22" s="6"/>
      <c r="E22" s="6"/>
      <c r="F22" s="6"/>
      <c r="G22" s="6"/>
      <c r="H22" s="6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5"/>
  <sheetViews>
    <sheetView topLeftCell="A8" workbookViewId="0">
      <selection sqref="A1:G2"/>
    </sheetView>
  </sheetViews>
  <sheetFormatPr baseColWidth="10" defaultColWidth="8.796875" defaultRowHeight="13.8"/>
  <cols>
    <col min="1" max="1" width="12" customWidth="1"/>
    <col min="2" max="2" width="34" customWidth="1"/>
    <col min="3" max="7" width="18" customWidth="1"/>
  </cols>
  <sheetData>
    <row r="1" spans="1:7" ht="19.95" customHeight="1">
      <c r="A1" s="7" t="s">
        <v>156</v>
      </c>
      <c r="B1" s="7"/>
      <c r="C1" s="7"/>
      <c r="D1" s="7"/>
      <c r="E1" s="7"/>
      <c r="F1" s="7"/>
      <c r="G1" s="7"/>
    </row>
    <row r="2" spans="1:7" ht="19.95" customHeight="1">
      <c r="A2" s="7"/>
      <c r="B2" s="7"/>
      <c r="C2" s="7"/>
      <c r="D2" s="7"/>
      <c r="E2" s="7"/>
      <c r="F2" s="7"/>
      <c r="G2" s="7"/>
    </row>
    <row r="4" spans="1:7" ht="27.6">
      <c r="A4" s="1" t="s">
        <v>98</v>
      </c>
      <c r="B4" s="1" t="s">
        <v>18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161</v>
      </c>
    </row>
    <row r="5" spans="1:7">
      <c r="A5" s="2" t="s">
        <v>116</v>
      </c>
      <c r="B5" s="2" t="s">
        <v>35</v>
      </c>
      <c r="C5" s="3">
        <v>0.23380000000000001</v>
      </c>
      <c r="D5" s="3">
        <v>0.10460000000000003</v>
      </c>
      <c r="E5" s="3">
        <v>9.4441176470588251E-2</v>
      </c>
      <c r="F5" s="3">
        <v>-4.4961197980030732E-2</v>
      </c>
      <c r="G5" s="3">
        <v>0.23384355092120723</v>
      </c>
    </row>
    <row r="6" spans="1:7">
      <c r="A6" s="2" t="s">
        <v>116</v>
      </c>
      <c r="B6" s="2" t="s">
        <v>38</v>
      </c>
      <c r="C6" s="3">
        <v>0.69964999999999999</v>
      </c>
      <c r="D6" s="3">
        <v>0.12030000000000007</v>
      </c>
      <c r="E6" s="3">
        <v>9.4441176470588251E-2</v>
      </c>
      <c r="F6" s="3">
        <v>-4.4961197980030732E-2</v>
      </c>
      <c r="G6" s="3">
        <v>0.23384355092120723</v>
      </c>
    </row>
    <row r="7" spans="1:7">
      <c r="A7" s="2" t="s">
        <v>116</v>
      </c>
      <c r="B7" s="2" t="s">
        <v>41</v>
      </c>
      <c r="C7" s="3">
        <v>0.18475000000000003</v>
      </c>
      <c r="D7" s="3">
        <v>8.9499999999999996E-2</v>
      </c>
      <c r="E7" s="3">
        <v>9.4441176470588251E-2</v>
      </c>
      <c r="F7" s="3">
        <v>-4.4961197980030732E-2</v>
      </c>
      <c r="G7" s="3">
        <v>0.23384355092120723</v>
      </c>
    </row>
    <row r="8" spans="1:7">
      <c r="A8" s="2" t="s">
        <v>116</v>
      </c>
      <c r="B8" s="2" t="s">
        <v>44</v>
      </c>
      <c r="C8" s="3">
        <v>0.35394999999999999</v>
      </c>
      <c r="D8" s="3">
        <v>6.2300000000000022E-2</v>
      </c>
      <c r="E8" s="3">
        <v>9.4441176470588251E-2</v>
      </c>
      <c r="F8" s="3">
        <v>-4.4961197980030732E-2</v>
      </c>
      <c r="G8" s="3">
        <v>0.23384355092120723</v>
      </c>
    </row>
    <row r="9" spans="1:7">
      <c r="A9" s="2" t="s">
        <v>116</v>
      </c>
      <c r="B9" s="2" t="s">
        <v>47</v>
      </c>
      <c r="C9" s="3">
        <v>0.64250000000000007</v>
      </c>
      <c r="D9" s="3">
        <v>0.27900000000000003</v>
      </c>
      <c r="E9" s="3">
        <v>9.4441176470588251E-2</v>
      </c>
      <c r="F9" s="3">
        <v>-4.4961197980030732E-2</v>
      </c>
      <c r="G9" s="3">
        <v>0.23384355092120723</v>
      </c>
    </row>
    <row r="10" spans="1:7">
      <c r="A10" s="2" t="s">
        <v>116</v>
      </c>
      <c r="B10" s="2" t="s">
        <v>50</v>
      </c>
      <c r="C10" s="3">
        <v>0.14315</v>
      </c>
      <c r="D10" s="3">
        <v>1.1900000000000022E-2</v>
      </c>
      <c r="E10" s="3">
        <v>9.4441176470588251E-2</v>
      </c>
      <c r="F10" s="3">
        <v>-4.4961197980030732E-2</v>
      </c>
      <c r="G10" s="3">
        <v>0.23384355092120723</v>
      </c>
    </row>
    <row r="11" spans="1:7">
      <c r="A11" s="2" t="s">
        <v>116</v>
      </c>
      <c r="B11" s="2" t="s">
        <v>53</v>
      </c>
      <c r="C11" s="3">
        <v>0.20619999999999999</v>
      </c>
      <c r="D11" s="3">
        <v>2.5600000000000012E-2</v>
      </c>
      <c r="E11" s="3">
        <v>9.4441176470588251E-2</v>
      </c>
      <c r="F11" s="3">
        <v>-4.4961197980030732E-2</v>
      </c>
      <c r="G11" s="3">
        <v>0.23384355092120723</v>
      </c>
    </row>
    <row r="12" spans="1:7">
      <c r="A12" s="2" t="s">
        <v>116</v>
      </c>
      <c r="B12" s="2" t="s">
        <v>56</v>
      </c>
      <c r="C12" s="3">
        <v>0.1075</v>
      </c>
      <c r="D12" s="3">
        <v>4.1000000000000009E-2</v>
      </c>
      <c r="E12" s="3">
        <v>9.4441176470588251E-2</v>
      </c>
      <c r="F12" s="3">
        <v>-4.4961197980030732E-2</v>
      </c>
      <c r="G12" s="3">
        <v>0.23384355092120723</v>
      </c>
    </row>
    <row r="13" spans="1:7">
      <c r="A13" s="2" t="s">
        <v>116</v>
      </c>
      <c r="B13" s="2" t="s">
        <v>59</v>
      </c>
      <c r="C13" s="3">
        <v>0.36114999999999997</v>
      </c>
      <c r="D13" s="3">
        <v>5.6700000000000028E-2</v>
      </c>
      <c r="E13" s="3">
        <v>9.4441176470588251E-2</v>
      </c>
      <c r="F13" s="3">
        <v>-4.4961197980030732E-2</v>
      </c>
      <c r="G13" s="3">
        <v>0.23384355092120723</v>
      </c>
    </row>
    <row r="14" spans="1:7">
      <c r="A14" s="2" t="s">
        <v>116</v>
      </c>
      <c r="B14" s="2" t="s">
        <v>62</v>
      </c>
      <c r="C14" s="3">
        <v>0.20224999999999999</v>
      </c>
      <c r="D14" s="3">
        <v>1.0899999999999993E-2</v>
      </c>
      <c r="E14" s="3">
        <v>9.4441176470588251E-2</v>
      </c>
      <c r="F14" s="3">
        <v>-4.4961197980030732E-2</v>
      </c>
      <c r="G14" s="3">
        <v>0.23384355092120723</v>
      </c>
    </row>
    <row r="15" spans="1:7">
      <c r="A15" s="2" t="s">
        <v>116</v>
      </c>
      <c r="B15" s="2" t="s">
        <v>65</v>
      </c>
      <c r="C15" s="3">
        <v>0.53674999999999995</v>
      </c>
      <c r="D15" s="3">
        <v>0.22169999999999995</v>
      </c>
      <c r="E15" s="3">
        <v>9.4441176470588251E-2</v>
      </c>
      <c r="F15" s="3">
        <v>-4.4961197980030732E-2</v>
      </c>
      <c r="G15" s="3">
        <v>0.23384355092120723</v>
      </c>
    </row>
    <row r="16" spans="1:7">
      <c r="A16" s="2" t="s">
        <v>116</v>
      </c>
      <c r="B16" s="2" t="s">
        <v>68</v>
      </c>
      <c r="C16" s="3">
        <v>0.23464999999999997</v>
      </c>
      <c r="D16" s="3">
        <v>0.11269999999999999</v>
      </c>
      <c r="E16" s="3">
        <v>9.4441176470588251E-2</v>
      </c>
      <c r="F16" s="3">
        <v>-4.4961197980030732E-2</v>
      </c>
      <c r="G16" s="3">
        <v>0.23384355092120723</v>
      </c>
    </row>
    <row r="17" spans="1:7">
      <c r="A17" s="2" t="s">
        <v>116</v>
      </c>
      <c r="B17" s="2" t="s">
        <v>71</v>
      </c>
      <c r="C17" s="3">
        <v>0.18325</v>
      </c>
      <c r="D17" s="3">
        <v>0.1089</v>
      </c>
      <c r="E17" s="3">
        <v>9.4441176470588251E-2</v>
      </c>
      <c r="F17" s="3">
        <v>-4.4961197980030732E-2</v>
      </c>
      <c r="G17" s="3">
        <v>0.23384355092120723</v>
      </c>
    </row>
    <row r="18" spans="1:7">
      <c r="A18" s="2" t="s">
        <v>116</v>
      </c>
      <c r="B18" s="2" t="s">
        <v>73</v>
      </c>
      <c r="C18" s="3">
        <v>0.19269999999999998</v>
      </c>
      <c r="D18" s="3">
        <v>0.13599999999999998</v>
      </c>
      <c r="E18" s="3">
        <v>9.4441176470588251E-2</v>
      </c>
      <c r="F18" s="3">
        <v>-4.4961197980030732E-2</v>
      </c>
      <c r="G18" s="3">
        <v>0.23384355092120723</v>
      </c>
    </row>
    <row r="19" spans="1:7">
      <c r="A19" s="2" t="s">
        <v>116</v>
      </c>
      <c r="B19" s="2" t="s">
        <v>76</v>
      </c>
      <c r="C19" s="3">
        <v>0.2203</v>
      </c>
      <c r="D19" s="3">
        <v>5.5400000000000005E-2</v>
      </c>
      <c r="E19" s="3">
        <v>9.4441176470588251E-2</v>
      </c>
      <c r="F19" s="3">
        <v>-4.4961197980030732E-2</v>
      </c>
      <c r="G19" s="3">
        <v>0.23384355092120723</v>
      </c>
    </row>
    <row r="20" spans="1:7">
      <c r="A20" s="2" t="s">
        <v>116</v>
      </c>
      <c r="B20" s="2" t="s">
        <v>79</v>
      </c>
      <c r="C20" s="3">
        <v>0.30905000000000005</v>
      </c>
      <c r="D20" s="3">
        <v>0.11649999999999999</v>
      </c>
      <c r="E20" s="3">
        <v>9.4441176470588251E-2</v>
      </c>
      <c r="F20" s="3">
        <v>-4.4961197980030732E-2</v>
      </c>
      <c r="G20" s="3">
        <v>0.23384355092120723</v>
      </c>
    </row>
    <row r="21" spans="1:7">
      <c r="A21" s="2" t="s">
        <v>116</v>
      </c>
      <c r="B21" s="2" t="s">
        <v>82</v>
      </c>
      <c r="C21" s="3">
        <v>0.18704999999999999</v>
      </c>
      <c r="D21" s="3">
        <v>5.2499999999999991E-2</v>
      </c>
      <c r="E21" s="3">
        <v>9.4441176470588251E-2</v>
      </c>
      <c r="F21" s="3">
        <v>-4.4961197980030732E-2</v>
      </c>
      <c r="G21" s="3">
        <v>0.23384355092120723</v>
      </c>
    </row>
    <row r="22" spans="1:7">
      <c r="A22" s="2" t="s">
        <v>117</v>
      </c>
      <c r="B22" s="2" t="s">
        <v>35</v>
      </c>
      <c r="C22" s="3">
        <v>0.15784999999999999</v>
      </c>
      <c r="D22" s="3">
        <v>8.3500000000000005E-2</v>
      </c>
      <c r="E22" s="3">
        <v>7.2711764705882365E-2</v>
      </c>
      <c r="F22" s="3">
        <v>-1.5023166519136683E-2</v>
      </c>
      <c r="G22" s="3">
        <v>0.16044669593090141</v>
      </c>
    </row>
    <row r="23" spans="1:7">
      <c r="A23" s="2" t="s">
        <v>117</v>
      </c>
      <c r="B23" s="2" t="s">
        <v>38</v>
      </c>
      <c r="C23" s="3">
        <v>0.47994999999999999</v>
      </c>
      <c r="D23" s="3">
        <v>9.6100000000000019E-2</v>
      </c>
      <c r="E23" s="3">
        <v>7.2711764705882365E-2</v>
      </c>
      <c r="F23" s="3">
        <v>-1.5023166519136683E-2</v>
      </c>
      <c r="G23" s="3">
        <v>0.16044669593090141</v>
      </c>
    </row>
    <row r="24" spans="1:7">
      <c r="A24" s="2" t="s">
        <v>117</v>
      </c>
      <c r="B24" s="2" t="s">
        <v>41</v>
      </c>
      <c r="C24" s="3">
        <v>0.1421</v>
      </c>
      <c r="D24" s="3">
        <v>8.0399999999999985E-2</v>
      </c>
      <c r="E24" s="3">
        <v>7.2711764705882365E-2</v>
      </c>
      <c r="F24" s="3">
        <v>-1.5023166519136683E-2</v>
      </c>
      <c r="G24" s="3">
        <v>0.16044669593090141</v>
      </c>
    </row>
    <row r="25" spans="1:7">
      <c r="A25" s="2" t="s">
        <v>117</v>
      </c>
      <c r="B25" s="2" t="s">
        <v>44</v>
      </c>
      <c r="C25" s="3">
        <v>0.23094999999999999</v>
      </c>
      <c r="D25" s="3">
        <v>4.7499999999999987E-2</v>
      </c>
      <c r="E25" s="3">
        <v>7.2711764705882365E-2</v>
      </c>
      <c r="F25" s="3">
        <v>-1.5023166519136683E-2</v>
      </c>
      <c r="G25" s="3">
        <v>0.16044669593090141</v>
      </c>
    </row>
    <row r="26" spans="1:7">
      <c r="A26" s="2" t="s">
        <v>117</v>
      </c>
      <c r="B26" s="2" t="s">
        <v>47</v>
      </c>
      <c r="C26" s="3">
        <v>0.51584999999999992</v>
      </c>
      <c r="D26" s="3">
        <v>0.19069999999999998</v>
      </c>
      <c r="E26" s="3">
        <v>7.2711764705882365E-2</v>
      </c>
      <c r="F26" s="3">
        <v>-1.5023166519136683E-2</v>
      </c>
      <c r="G26" s="3">
        <v>0.16044669593090141</v>
      </c>
    </row>
    <row r="27" spans="1:7">
      <c r="A27" s="2" t="s">
        <v>117</v>
      </c>
      <c r="B27" s="2" t="s">
        <v>50</v>
      </c>
      <c r="C27" s="3">
        <v>0.1084</v>
      </c>
      <c r="D27" s="3">
        <v>5.400000000000002E-3</v>
      </c>
      <c r="E27" s="3">
        <v>7.2711764705882365E-2</v>
      </c>
      <c r="F27" s="3">
        <v>-1.5023166519136683E-2</v>
      </c>
      <c r="G27" s="3">
        <v>0.16044669593090141</v>
      </c>
    </row>
    <row r="28" spans="1:7">
      <c r="A28" s="2" t="s">
        <v>117</v>
      </c>
      <c r="B28" s="2" t="s">
        <v>53</v>
      </c>
      <c r="C28" s="3">
        <v>0.12570000000000001</v>
      </c>
      <c r="D28" s="3">
        <v>5.7999999999999857E-3</v>
      </c>
      <c r="E28" s="3">
        <v>7.2711764705882365E-2</v>
      </c>
      <c r="F28" s="3">
        <v>-1.5023166519136683E-2</v>
      </c>
      <c r="G28" s="3">
        <v>0.16044669593090141</v>
      </c>
    </row>
    <row r="29" spans="1:7">
      <c r="A29" s="2" t="s">
        <v>117</v>
      </c>
      <c r="B29" s="2" t="s">
        <v>56</v>
      </c>
      <c r="C29" s="3">
        <v>7.85E-2</v>
      </c>
      <c r="D29" s="3">
        <v>2.4999999999999994E-2</v>
      </c>
      <c r="E29" s="3">
        <v>7.2711764705882365E-2</v>
      </c>
      <c r="F29" s="3">
        <v>-1.5023166519136683E-2</v>
      </c>
      <c r="G29" s="3">
        <v>0.16044669593090141</v>
      </c>
    </row>
    <row r="30" spans="1:7">
      <c r="A30" s="2" t="s">
        <v>117</v>
      </c>
      <c r="B30" s="2" t="s">
        <v>59</v>
      </c>
      <c r="C30" s="3">
        <v>0.2616</v>
      </c>
      <c r="D30" s="3">
        <v>5.0000000000000017E-2</v>
      </c>
      <c r="E30" s="3">
        <v>7.2711764705882365E-2</v>
      </c>
      <c r="F30" s="3">
        <v>-1.5023166519136683E-2</v>
      </c>
      <c r="G30" s="3">
        <v>0.16044669593090141</v>
      </c>
    </row>
    <row r="31" spans="1:7">
      <c r="A31" s="2" t="s">
        <v>117</v>
      </c>
      <c r="B31" s="2" t="s">
        <v>62</v>
      </c>
      <c r="C31" s="3">
        <v>0.1641</v>
      </c>
      <c r="D31" s="3">
        <v>8.900000000000001E-2</v>
      </c>
      <c r="E31" s="3">
        <v>7.2711764705882365E-2</v>
      </c>
      <c r="F31" s="3">
        <v>-1.5023166519136683E-2</v>
      </c>
      <c r="G31" s="3">
        <v>0.16044669593090141</v>
      </c>
    </row>
    <row r="32" spans="1:7">
      <c r="A32" s="2" t="s">
        <v>117</v>
      </c>
      <c r="B32" s="2" t="s">
        <v>65</v>
      </c>
      <c r="C32" s="3">
        <v>0.29430000000000001</v>
      </c>
      <c r="D32" s="3">
        <v>0.1212</v>
      </c>
      <c r="E32" s="3">
        <v>7.2711764705882365E-2</v>
      </c>
      <c r="F32" s="3">
        <v>-1.5023166519136683E-2</v>
      </c>
      <c r="G32" s="3">
        <v>0.16044669593090141</v>
      </c>
    </row>
    <row r="33" spans="1:7">
      <c r="A33" s="2" t="s">
        <v>117</v>
      </c>
      <c r="B33" s="2" t="s">
        <v>68</v>
      </c>
      <c r="C33" s="3">
        <v>0.18819999999999998</v>
      </c>
      <c r="D33" s="3">
        <v>5.8200000000000002E-2</v>
      </c>
      <c r="E33" s="3">
        <v>7.2711764705882365E-2</v>
      </c>
      <c r="F33" s="3">
        <v>-1.5023166519136683E-2</v>
      </c>
      <c r="G33" s="3">
        <v>0.16044669593090141</v>
      </c>
    </row>
    <row r="34" spans="1:7">
      <c r="A34" s="2" t="s">
        <v>117</v>
      </c>
      <c r="B34" s="2" t="s">
        <v>71</v>
      </c>
      <c r="C34" s="3">
        <v>0.1353</v>
      </c>
      <c r="D34" s="3">
        <v>8.660000000000001E-2</v>
      </c>
      <c r="E34" s="3">
        <v>7.2711764705882365E-2</v>
      </c>
      <c r="F34" s="3">
        <v>-1.5023166519136683E-2</v>
      </c>
      <c r="G34" s="3">
        <v>0.16044669593090141</v>
      </c>
    </row>
    <row r="35" spans="1:7">
      <c r="A35" s="2" t="s">
        <v>117</v>
      </c>
      <c r="B35" s="2" t="s">
        <v>73</v>
      </c>
      <c r="C35" s="3">
        <v>0.12585000000000002</v>
      </c>
      <c r="D35" s="3">
        <v>9.9900000000000017E-2</v>
      </c>
      <c r="E35" s="3">
        <v>7.2711764705882365E-2</v>
      </c>
      <c r="F35" s="3">
        <v>-1.5023166519136683E-2</v>
      </c>
      <c r="G35" s="3">
        <v>0.16044669593090141</v>
      </c>
    </row>
    <row r="36" spans="1:7">
      <c r="A36" s="2" t="s">
        <v>117</v>
      </c>
      <c r="B36" s="2" t="s">
        <v>76</v>
      </c>
      <c r="C36" s="3">
        <v>0.1444</v>
      </c>
      <c r="D36" s="3">
        <v>5.6400000000000006E-2</v>
      </c>
      <c r="E36" s="3">
        <v>7.2711764705882365E-2</v>
      </c>
      <c r="F36" s="3">
        <v>-1.5023166519136683E-2</v>
      </c>
      <c r="G36" s="3">
        <v>0.16044669593090141</v>
      </c>
    </row>
    <row r="37" spans="1:7">
      <c r="A37" s="2" t="s">
        <v>117</v>
      </c>
      <c r="B37" s="2" t="s">
        <v>79</v>
      </c>
      <c r="C37" s="3">
        <v>0.20985000000000001</v>
      </c>
      <c r="D37" s="3">
        <v>9.1900000000000037E-2</v>
      </c>
      <c r="E37" s="3">
        <v>7.2711764705882365E-2</v>
      </c>
      <c r="F37" s="3">
        <v>-1.5023166519136683E-2</v>
      </c>
      <c r="G37" s="3">
        <v>0.16044669593090141</v>
      </c>
    </row>
    <row r="38" spans="1:7">
      <c r="A38" s="2" t="s">
        <v>117</v>
      </c>
      <c r="B38" s="2" t="s">
        <v>82</v>
      </c>
      <c r="C38" s="3">
        <v>0.11435000000000001</v>
      </c>
      <c r="D38" s="3">
        <v>4.8500000000000001E-2</v>
      </c>
      <c r="E38" s="3">
        <v>7.2711764705882365E-2</v>
      </c>
      <c r="F38" s="3">
        <v>-1.5023166519136683E-2</v>
      </c>
      <c r="G38" s="3">
        <v>0.16044669593090141</v>
      </c>
    </row>
    <row r="39" spans="1:7">
      <c r="A39" s="2" t="s">
        <v>94</v>
      </c>
      <c r="B39" s="2" t="s">
        <v>35</v>
      </c>
      <c r="C39" s="3">
        <v>0.88395000000000001</v>
      </c>
      <c r="D39" s="3">
        <v>-9.8899999999999988E-2</v>
      </c>
      <c r="E39" s="3">
        <v>-4.272941176470587E-2</v>
      </c>
      <c r="F39" s="3">
        <v>-0.12805493857888756</v>
      </c>
      <c r="G39" s="3">
        <v>4.2596115049475809E-2</v>
      </c>
    </row>
    <row r="40" spans="1:7">
      <c r="A40" s="2" t="s">
        <v>94</v>
      </c>
      <c r="B40" s="2" t="s">
        <v>38</v>
      </c>
      <c r="C40" s="3">
        <v>0.93480000000000008</v>
      </c>
      <c r="D40" s="3">
        <v>-2.0600000000000063E-2</v>
      </c>
      <c r="E40" s="3">
        <v>-4.272941176470587E-2</v>
      </c>
      <c r="F40" s="3">
        <v>-0.12805493857888756</v>
      </c>
      <c r="G40" s="3">
        <v>4.2596115049475809E-2</v>
      </c>
    </row>
    <row r="41" spans="1:7">
      <c r="A41" s="2" t="s">
        <v>94</v>
      </c>
      <c r="B41" s="2" t="s">
        <v>41</v>
      </c>
      <c r="C41" s="3">
        <v>0.86139999999999994</v>
      </c>
      <c r="D41" s="3">
        <v>-0.12679999999999991</v>
      </c>
      <c r="E41" s="3">
        <v>-4.272941176470587E-2</v>
      </c>
      <c r="F41" s="3">
        <v>-0.12805493857888756</v>
      </c>
      <c r="G41" s="3">
        <v>4.2596115049475809E-2</v>
      </c>
    </row>
    <row r="42" spans="1:7">
      <c r="A42" s="2" t="s">
        <v>94</v>
      </c>
      <c r="B42" s="2" t="s">
        <v>44</v>
      </c>
      <c r="C42" s="3">
        <v>0.66839999999999999</v>
      </c>
      <c r="D42" s="3">
        <v>-0.1157999999999999</v>
      </c>
      <c r="E42" s="3">
        <v>-4.272941176470587E-2</v>
      </c>
      <c r="F42" s="3">
        <v>-0.12805493857888756</v>
      </c>
      <c r="G42" s="3">
        <v>4.2596115049475809E-2</v>
      </c>
    </row>
    <row r="43" spans="1:7">
      <c r="A43" s="2" t="s">
        <v>94</v>
      </c>
      <c r="B43" s="2" t="s">
        <v>47</v>
      </c>
      <c r="C43" s="3">
        <v>0.92799999999999994</v>
      </c>
      <c r="D43" s="3">
        <v>-4.7000000000000042E-2</v>
      </c>
      <c r="E43" s="3">
        <v>-4.272941176470587E-2</v>
      </c>
      <c r="F43" s="3">
        <v>-0.12805493857888756</v>
      </c>
      <c r="G43" s="3">
        <v>4.2596115049475809E-2</v>
      </c>
    </row>
    <row r="44" spans="1:7">
      <c r="A44" s="2" t="s">
        <v>94</v>
      </c>
      <c r="B44" s="2" t="s">
        <v>50</v>
      </c>
      <c r="C44" s="3">
        <v>0.87854999999999994</v>
      </c>
      <c r="D44" s="3">
        <v>-3.8700000000000068E-2</v>
      </c>
      <c r="E44" s="3">
        <v>-4.272941176470587E-2</v>
      </c>
      <c r="F44" s="3">
        <v>-0.12805493857888756</v>
      </c>
      <c r="G44" s="3">
        <v>4.2596115049475809E-2</v>
      </c>
    </row>
    <row r="45" spans="1:7">
      <c r="A45" s="2" t="s">
        <v>94</v>
      </c>
      <c r="B45" s="2" t="s">
        <v>53</v>
      </c>
      <c r="C45" s="3">
        <v>0.99570000000000003</v>
      </c>
      <c r="D45" s="3">
        <v>-1.1999999999999789E-3</v>
      </c>
      <c r="E45" s="3">
        <v>-4.272941176470587E-2</v>
      </c>
      <c r="F45" s="3">
        <v>-0.12805493857888756</v>
      </c>
      <c r="G45" s="3">
        <v>4.2596115049475809E-2</v>
      </c>
    </row>
    <row r="46" spans="1:7">
      <c r="A46" s="2" t="s">
        <v>94</v>
      </c>
      <c r="B46" s="2" t="s">
        <v>56</v>
      </c>
      <c r="C46" s="3">
        <v>0.98449999999999993</v>
      </c>
      <c r="D46" s="3">
        <v>-1.3000000000000012E-2</v>
      </c>
      <c r="E46" s="3">
        <v>-4.272941176470587E-2</v>
      </c>
      <c r="F46" s="3">
        <v>-0.12805493857888756</v>
      </c>
      <c r="G46" s="3">
        <v>4.2596115049475809E-2</v>
      </c>
    </row>
    <row r="47" spans="1:7">
      <c r="A47" s="2" t="s">
        <v>94</v>
      </c>
      <c r="B47" s="2" t="s">
        <v>59</v>
      </c>
      <c r="C47" s="3">
        <v>0.7712</v>
      </c>
      <c r="D47" s="3">
        <v>-9.4600000000000017E-2</v>
      </c>
      <c r="E47" s="3">
        <v>-4.272941176470587E-2</v>
      </c>
      <c r="F47" s="3">
        <v>-0.12805493857888756</v>
      </c>
      <c r="G47" s="3">
        <v>4.2596115049475809E-2</v>
      </c>
    </row>
    <row r="48" spans="1:7">
      <c r="A48" s="2" t="s">
        <v>94</v>
      </c>
      <c r="B48" s="2" t="s">
        <v>62</v>
      </c>
      <c r="C48" s="3">
        <v>0.99875000000000003</v>
      </c>
      <c r="D48" s="3">
        <v>-1.0999999999999899E-3</v>
      </c>
      <c r="E48" s="3">
        <v>-4.272941176470587E-2</v>
      </c>
      <c r="F48" s="3">
        <v>-0.12805493857888756</v>
      </c>
      <c r="G48" s="3">
        <v>4.2596115049475809E-2</v>
      </c>
    </row>
    <row r="49" spans="1:7">
      <c r="A49" s="2" t="s">
        <v>94</v>
      </c>
      <c r="B49" s="2" t="s">
        <v>65</v>
      </c>
      <c r="C49" s="3">
        <v>0.97075</v>
      </c>
      <c r="D49" s="3">
        <v>-2.3099999999999898E-2</v>
      </c>
      <c r="E49" s="3">
        <v>-4.272941176470587E-2</v>
      </c>
      <c r="F49" s="3">
        <v>-0.12805493857888756</v>
      </c>
      <c r="G49" s="3">
        <v>4.2596115049475809E-2</v>
      </c>
    </row>
    <row r="50" spans="1:7">
      <c r="A50" s="2" t="s">
        <v>94</v>
      </c>
      <c r="B50" s="2" t="s">
        <v>68</v>
      </c>
      <c r="C50" s="3">
        <v>0.98160000000000003</v>
      </c>
      <c r="D50" s="3">
        <v>-1.5000000000000013E-2</v>
      </c>
      <c r="E50" s="3">
        <v>-4.272941176470587E-2</v>
      </c>
      <c r="F50" s="3">
        <v>-0.12805493857888756</v>
      </c>
      <c r="G50" s="3">
        <v>4.2596115049475809E-2</v>
      </c>
    </row>
    <row r="51" spans="1:7">
      <c r="A51" s="2" t="s">
        <v>94</v>
      </c>
      <c r="B51" s="2" t="s">
        <v>71</v>
      </c>
      <c r="C51" s="3">
        <v>0.99914999999999998</v>
      </c>
      <c r="D51" s="3">
        <v>-9.000000000000119E-4</v>
      </c>
      <c r="E51" s="3">
        <v>-4.272941176470587E-2</v>
      </c>
      <c r="F51" s="3">
        <v>-0.12805493857888756</v>
      </c>
      <c r="G51" s="3">
        <v>4.2596115049475809E-2</v>
      </c>
    </row>
    <row r="52" spans="1:7">
      <c r="A52" s="2" t="s">
        <v>94</v>
      </c>
      <c r="B52" s="2" t="s">
        <v>73</v>
      </c>
      <c r="C52" s="3">
        <v>0.99704999999999999</v>
      </c>
      <c r="D52" s="3">
        <v>-3.7000000000000366E-3</v>
      </c>
      <c r="E52" s="3">
        <v>-4.272941176470587E-2</v>
      </c>
      <c r="F52" s="3">
        <v>-0.12805493857888756</v>
      </c>
      <c r="G52" s="3">
        <v>4.2596115049475809E-2</v>
      </c>
    </row>
    <row r="53" spans="1:7">
      <c r="A53" s="2" t="s">
        <v>94</v>
      </c>
      <c r="B53" s="2" t="s">
        <v>76</v>
      </c>
      <c r="C53" s="3">
        <v>0.93864999999999998</v>
      </c>
      <c r="D53" s="3">
        <v>-7.3299999999999921E-2</v>
      </c>
      <c r="E53" s="3">
        <v>-4.272941176470587E-2</v>
      </c>
      <c r="F53" s="3">
        <v>-0.12805493857888756</v>
      </c>
      <c r="G53" s="3">
        <v>4.2596115049475809E-2</v>
      </c>
    </row>
    <row r="54" spans="1:7">
      <c r="A54" s="2" t="s">
        <v>94</v>
      </c>
      <c r="B54" s="2" t="s">
        <v>79</v>
      </c>
      <c r="C54" s="3">
        <v>0.92874999999999996</v>
      </c>
      <c r="D54" s="3">
        <v>-5.1899999999999946E-2</v>
      </c>
      <c r="E54" s="3">
        <v>-4.272941176470587E-2</v>
      </c>
      <c r="F54" s="3">
        <v>-0.12805493857888756</v>
      </c>
      <c r="G54" s="3">
        <v>4.2596115049475809E-2</v>
      </c>
    </row>
    <row r="55" spans="1:7">
      <c r="A55" s="2" t="s">
        <v>94</v>
      </c>
      <c r="B55" s="2" t="s">
        <v>82</v>
      </c>
      <c r="C55" s="3">
        <v>0.99849999999999994</v>
      </c>
      <c r="D55" s="3">
        <v>-8.0000000000002292E-4</v>
      </c>
      <c r="E55" s="3">
        <v>-4.272941176470587E-2</v>
      </c>
      <c r="F55" s="3">
        <v>-0.12805493857888756</v>
      </c>
      <c r="G55" s="3">
        <v>4.2596115049475809E-2</v>
      </c>
    </row>
  </sheetData>
  <mergeCells count="1">
    <mergeCell ref="A1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2"/>
  <sheetViews>
    <sheetView workbookViewId="0">
      <selection activeCell="P23" sqref="P23"/>
    </sheetView>
  </sheetViews>
  <sheetFormatPr baseColWidth="10" defaultColWidth="8.796875" defaultRowHeight="13.8"/>
  <cols>
    <col min="1" max="7" width="14" customWidth="1"/>
  </cols>
  <sheetData>
    <row r="1" spans="1:14" ht="19.95" customHeight="1">
      <c r="A1" s="7" t="s">
        <v>162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9.9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>
      <c r="A4" s="1" t="s">
        <v>163</v>
      </c>
      <c r="B4" s="1" t="s">
        <v>23</v>
      </c>
      <c r="C4" s="1" t="s">
        <v>24</v>
      </c>
      <c r="D4" s="1" t="s">
        <v>27</v>
      </c>
      <c r="E4" s="1" t="s">
        <v>28</v>
      </c>
      <c r="F4" s="1" t="s">
        <v>31</v>
      </c>
      <c r="G4" s="1" t="s">
        <v>32</v>
      </c>
    </row>
    <row r="5" spans="1:14">
      <c r="A5" t="s">
        <v>164</v>
      </c>
      <c r="B5" s="6">
        <v>0.28610000000000002</v>
      </c>
      <c r="C5" s="6">
        <v>0.18149999999999999</v>
      </c>
      <c r="D5" s="6">
        <v>0.1996</v>
      </c>
      <c r="E5" s="6">
        <v>0.11609999999999999</v>
      </c>
      <c r="F5" s="6">
        <v>0.83450000000000002</v>
      </c>
      <c r="G5" s="6">
        <v>0.93340000000000001</v>
      </c>
    </row>
    <row r="6" spans="1:14">
      <c r="A6" t="s">
        <v>165</v>
      </c>
      <c r="B6" s="6">
        <v>0.75980000000000003</v>
      </c>
      <c r="C6" s="6">
        <v>0.63949999999999996</v>
      </c>
      <c r="D6" s="6">
        <v>0.52800000000000002</v>
      </c>
      <c r="E6" s="6">
        <v>0.43190000000000001</v>
      </c>
      <c r="F6" s="6">
        <v>0.92449999999999999</v>
      </c>
      <c r="G6" s="6">
        <v>0.94510000000000005</v>
      </c>
    </row>
    <row r="7" spans="1:14">
      <c r="A7" t="s">
        <v>166</v>
      </c>
      <c r="B7" s="6">
        <v>0.22950000000000001</v>
      </c>
      <c r="C7" s="6">
        <v>0.14000000000000001</v>
      </c>
      <c r="D7" s="6">
        <v>0.18229999999999999</v>
      </c>
      <c r="E7" s="6">
        <v>0.1019</v>
      </c>
      <c r="F7" s="6">
        <v>0.79800000000000004</v>
      </c>
      <c r="G7" s="6">
        <v>0.92479999999999996</v>
      </c>
    </row>
    <row r="8" spans="1:14">
      <c r="A8" t="s">
        <v>167</v>
      </c>
      <c r="B8" s="6">
        <v>0.3851</v>
      </c>
      <c r="C8" s="6">
        <v>0.32279999999999998</v>
      </c>
      <c r="D8" s="6">
        <v>0.25469999999999998</v>
      </c>
      <c r="E8" s="6">
        <v>0.2072</v>
      </c>
      <c r="F8" s="6">
        <v>0.61050000000000004</v>
      </c>
      <c r="G8" s="6">
        <v>0.72629999999999995</v>
      </c>
    </row>
    <row r="9" spans="1:14">
      <c r="A9" t="s">
        <v>168</v>
      </c>
      <c r="B9" s="6">
        <v>0.78200000000000003</v>
      </c>
      <c r="C9" s="6">
        <v>0.503</v>
      </c>
      <c r="D9" s="6">
        <v>0.61119999999999997</v>
      </c>
      <c r="E9" s="6">
        <v>0.42049999999999998</v>
      </c>
      <c r="F9" s="6">
        <v>0.90449999999999997</v>
      </c>
      <c r="G9" s="6">
        <v>0.95150000000000001</v>
      </c>
    </row>
    <row r="10" spans="1:14">
      <c r="A10" t="s">
        <v>169</v>
      </c>
      <c r="B10" s="6">
        <v>0.14910000000000001</v>
      </c>
      <c r="C10" s="6">
        <v>0.13719999999999999</v>
      </c>
      <c r="D10" s="6">
        <v>0.1111</v>
      </c>
      <c r="E10" s="6">
        <v>0.1057</v>
      </c>
      <c r="F10" s="6">
        <v>0.85919999999999996</v>
      </c>
      <c r="G10" s="6">
        <v>0.89790000000000003</v>
      </c>
    </row>
    <row r="11" spans="1:14">
      <c r="A11" t="s">
        <v>170</v>
      </c>
      <c r="B11" s="6">
        <v>0.219</v>
      </c>
      <c r="C11" s="6">
        <v>0.19339999999999999</v>
      </c>
      <c r="D11" s="6">
        <v>0.12859999999999999</v>
      </c>
      <c r="E11" s="6">
        <v>0.12280000000000001</v>
      </c>
      <c r="F11" s="6">
        <v>0.99509999999999998</v>
      </c>
      <c r="G11" s="6">
        <v>0.99629999999999996</v>
      </c>
    </row>
    <row r="12" spans="1:14">
      <c r="A12" t="s">
        <v>171</v>
      </c>
      <c r="B12" s="6">
        <v>0.128</v>
      </c>
      <c r="C12" s="6">
        <v>8.6999999999999994E-2</v>
      </c>
      <c r="D12" s="6">
        <v>9.0999999999999998E-2</v>
      </c>
      <c r="E12" s="6">
        <v>6.6000000000000003E-2</v>
      </c>
      <c r="F12" s="6">
        <v>0.97799999999999998</v>
      </c>
      <c r="G12" s="6">
        <v>0.99099999999999999</v>
      </c>
    </row>
    <row r="13" spans="1:14">
      <c r="A13" t="s">
        <v>172</v>
      </c>
      <c r="B13" s="6">
        <v>0.38950000000000001</v>
      </c>
      <c r="C13" s="6">
        <v>0.33279999999999998</v>
      </c>
      <c r="D13" s="6">
        <v>0.28660000000000002</v>
      </c>
      <c r="E13" s="6">
        <v>0.2366</v>
      </c>
      <c r="F13" s="6">
        <v>0.72389999999999999</v>
      </c>
      <c r="G13" s="6">
        <v>0.81850000000000001</v>
      </c>
    </row>
    <row r="14" spans="1:14">
      <c r="A14" t="s">
        <v>173</v>
      </c>
      <c r="B14" s="6">
        <v>0.2077</v>
      </c>
      <c r="C14" s="6">
        <v>0.1968</v>
      </c>
      <c r="D14" s="6">
        <v>0.20860000000000001</v>
      </c>
      <c r="E14" s="6">
        <v>0.1196</v>
      </c>
      <c r="F14" s="6">
        <v>0.99819999999999998</v>
      </c>
      <c r="G14" s="6">
        <v>0.99929999999999997</v>
      </c>
    </row>
    <row r="15" spans="1:14">
      <c r="A15" t="s">
        <v>174</v>
      </c>
      <c r="B15" s="6">
        <v>0.64759999999999995</v>
      </c>
      <c r="C15" s="6">
        <v>0.4259</v>
      </c>
      <c r="D15" s="6">
        <v>0.35489999999999999</v>
      </c>
      <c r="E15" s="6">
        <v>0.23369999999999999</v>
      </c>
      <c r="F15" s="6">
        <v>0.95920000000000005</v>
      </c>
      <c r="G15" s="6">
        <v>0.98229999999999995</v>
      </c>
    </row>
    <row r="16" spans="1:14">
      <c r="A16" t="s">
        <v>175</v>
      </c>
      <c r="B16" s="6">
        <v>0.29099999999999998</v>
      </c>
      <c r="C16" s="6">
        <v>0.17829999999999999</v>
      </c>
      <c r="D16" s="6">
        <v>0.21729999999999999</v>
      </c>
      <c r="E16" s="6">
        <v>0.15909999999999999</v>
      </c>
      <c r="F16" s="6">
        <v>0.97409999999999997</v>
      </c>
      <c r="G16" s="6">
        <v>0.98909999999999998</v>
      </c>
    </row>
    <row r="17" spans="1:7">
      <c r="A17" t="s">
        <v>176</v>
      </c>
      <c r="B17" s="6">
        <v>0.23769999999999999</v>
      </c>
      <c r="C17" s="6">
        <v>0.1288</v>
      </c>
      <c r="D17" s="6">
        <v>0.17860000000000001</v>
      </c>
      <c r="E17" s="6">
        <v>9.1999999999999998E-2</v>
      </c>
      <c r="F17" s="6">
        <v>0.99870000000000003</v>
      </c>
      <c r="G17" s="6">
        <v>0.99960000000000004</v>
      </c>
    </row>
    <row r="18" spans="1:7">
      <c r="A18" t="s">
        <v>177</v>
      </c>
      <c r="B18" s="6">
        <v>0.26069999999999999</v>
      </c>
      <c r="C18" s="6">
        <v>0.12470000000000001</v>
      </c>
      <c r="D18" s="6">
        <v>0.17580000000000001</v>
      </c>
      <c r="E18" s="6">
        <v>7.5899999999999995E-2</v>
      </c>
      <c r="F18" s="6">
        <v>0.99519999999999997</v>
      </c>
      <c r="G18" s="6">
        <v>0.99890000000000001</v>
      </c>
    </row>
    <row r="19" spans="1:7">
      <c r="A19" t="s">
        <v>178</v>
      </c>
      <c r="B19" s="6">
        <v>0.248</v>
      </c>
      <c r="C19" s="6">
        <v>0.19259999999999999</v>
      </c>
      <c r="D19" s="6">
        <v>0.1726</v>
      </c>
      <c r="E19" s="6">
        <v>0.1162</v>
      </c>
      <c r="F19" s="6">
        <v>0.90200000000000002</v>
      </c>
      <c r="G19" s="6">
        <v>0.97529999999999994</v>
      </c>
    </row>
    <row r="20" spans="1:7">
      <c r="A20" t="s">
        <v>179</v>
      </c>
      <c r="B20" s="6">
        <v>0.36730000000000002</v>
      </c>
      <c r="C20" s="6">
        <v>0.25080000000000002</v>
      </c>
      <c r="D20" s="6">
        <v>0.25580000000000003</v>
      </c>
      <c r="E20" s="6">
        <v>0.16389999999999999</v>
      </c>
      <c r="F20" s="6">
        <v>0.90280000000000005</v>
      </c>
      <c r="G20" s="6">
        <v>0.95469999999999999</v>
      </c>
    </row>
    <row r="21" spans="1:7">
      <c r="A21" t="s">
        <v>180</v>
      </c>
      <c r="B21" s="6">
        <v>0.21329999999999999</v>
      </c>
      <c r="C21" s="6">
        <v>0.1608</v>
      </c>
      <c r="D21" s="6">
        <v>0.1386</v>
      </c>
      <c r="E21" s="6">
        <v>9.01E-2</v>
      </c>
      <c r="F21" s="6">
        <v>0.99809999999999999</v>
      </c>
      <c r="G21" s="6">
        <v>0.99890000000000001</v>
      </c>
    </row>
    <row r="25" spans="1:7">
      <c r="A25" s="1" t="s">
        <v>163</v>
      </c>
      <c r="B25" s="1" t="s">
        <v>27</v>
      </c>
      <c r="C25" s="1" t="s">
        <v>28</v>
      </c>
      <c r="E25" s="1" t="s">
        <v>163</v>
      </c>
      <c r="F25" s="1" t="s">
        <v>31</v>
      </c>
      <c r="G25" s="1" t="s">
        <v>32</v>
      </c>
    </row>
    <row r="26" spans="1:7">
      <c r="A26" t="s">
        <v>164</v>
      </c>
      <c r="B26">
        <v>0.1996</v>
      </c>
      <c r="C26">
        <v>0.11609999999999999</v>
      </c>
      <c r="E26" t="s">
        <v>164</v>
      </c>
      <c r="F26">
        <v>0.83450000000000002</v>
      </c>
      <c r="G26">
        <v>0.93340000000000001</v>
      </c>
    </row>
    <row r="27" spans="1:7">
      <c r="A27" t="s">
        <v>165</v>
      </c>
      <c r="B27">
        <v>0.52800000000000002</v>
      </c>
      <c r="C27">
        <v>0.43190000000000001</v>
      </c>
      <c r="E27" t="s">
        <v>165</v>
      </c>
      <c r="F27">
        <v>0.92449999999999999</v>
      </c>
      <c r="G27">
        <v>0.94510000000000005</v>
      </c>
    </row>
    <row r="28" spans="1:7">
      <c r="A28" t="s">
        <v>166</v>
      </c>
      <c r="B28">
        <v>0.18229999999999999</v>
      </c>
      <c r="C28">
        <v>0.1019</v>
      </c>
      <c r="E28" t="s">
        <v>166</v>
      </c>
      <c r="F28">
        <v>0.79800000000000004</v>
      </c>
      <c r="G28">
        <v>0.92479999999999996</v>
      </c>
    </row>
    <row r="29" spans="1:7">
      <c r="A29" t="s">
        <v>167</v>
      </c>
      <c r="B29">
        <v>0.25469999999999998</v>
      </c>
      <c r="C29">
        <v>0.2072</v>
      </c>
      <c r="E29" t="s">
        <v>167</v>
      </c>
      <c r="F29">
        <v>0.61050000000000004</v>
      </c>
      <c r="G29">
        <v>0.72629999999999995</v>
      </c>
    </row>
    <row r="30" spans="1:7">
      <c r="A30" t="s">
        <v>168</v>
      </c>
      <c r="B30">
        <v>0.61119999999999997</v>
      </c>
      <c r="C30">
        <v>0.42049999999999998</v>
      </c>
      <c r="E30" t="s">
        <v>168</v>
      </c>
      <c r="F30">
        <v>0.90449999999999997</v>
      </c>
      <c r="G30">
        <v>0.95150000000000001</v>
      </c>
    </row>
    <row r="31" spans="1:7">
      <c r="A31" t="s">
        <v>169</v>
      </c>
      <c r="B31">
        <v>0.1111</v>
      </c>
      <c r="C31">
        <v>0.1057</v>
      </c>
      <c r="E31" t="s">
        <v>169</v>
      </c>
      <c r="F31">
        <v>0.85919999999999996</v>
      </c>
      <c r="G31">
        <v>0.89790000000000003</v>
      </c>
    </row>
    <row r="32" spans="1:7">
      <c r="A32" t="s">
        <v>170</v>
      </c>
      <c r="B32">
        <v>0.12859999999999999</v>
      </c>
      <c r="C32">
        <v>0.12280000000000001</v>
      </c>
      <c r="E32" t="s">
        <v>170</v>
      </c>
      <c r="F32">
        <v>0.99509999999999998</v>
      </c>
      <c r="G32">
        <v>0.99629999999999996</v>
      </c>
    </row>
    <row r="33" spans="1:7">
      <c r="A33" t="s">
        <v>171</v>
      </c>
      <c r="B33">
        <v>9.0999999999999998E-2</v>
      </c>
      <c r="C33">
        <v>6.6000000000000003E-2</v>
      </c>
      <c r="E33" t="s">
        <v>171</v>
      </c>
      <c r="F33">
        <v>0.97799999999999998</v>
      </c>
      <c r="G33">
        <v>0.99099999999999999</v>
      </c>
    </row>
    <row r="34" spans="1:7">
      <c r="A34" t="s">
        <v>172</v>
      </c>
      <c r="B34">
        <v>0.28660000000000002</v>
      </c>
      <c r="C34">
        <v>0.2366</v>
      </c>
      <c r="E34" t="s">
        <v>172</v>
      </c>
      <c r="F34">
        <v>0.72389999999999999</v>
      </c>
      <c r="G34">
        <v>0.81850000000000001</v>
      </c>
    </row>
    <row r="35" spans="1:7">
      <c r="A35" t="s">
        <v>173</v>
      </c>
      <c r="B35">
        <v>0.20860000000000001</v>
      </c>
      <c r="C35">
        <v>0.1196</v>
      </c>
      <c r="E35" t="s">
        <v>173</v>
      </c>
      <c r="F35">
        <v>0.99819999999999998</v>
      </c>
      <c r="G35">
        <v>0.99929999999999997</v>
      </c>
    </row>
    <row r="36" spans="1:7">
      <c r="A36" t="s">
        <v>174</v>
      </c>
      <c r="B36">
        <v>0.35489999999999999</v>
      </c>
      <c r="C36">
        <v>0.23369999999999999</v>
      </c>
      <c r="E36" t="s">
        <v>174</v>
      </c>
      <c r="F36">
        <v>0.95920000000000005</v>
      </c>
      <c r="G36">
        <v>0.98229999999999995</v>
      </c>
    </row>
    <row r="37" spans="1:7">
      <c r="A37" t="s">
        <v>175</v>
      </c>
      <c r="B37">
        <v>0.21729999999999999</v>
      </c>
      <c r="C37">
        <v>0.15909999999999999</v>
      </c>
      <c r="E37" t="s">
        <v>175</v>
      </c>
      <c r="F37">
        <v>0.97409999999999997</v>
      </c>
      <c r="G37">
        <v>0.98909999999999998</v>
      </c>
    </row>
    <row r="38" spans="1:7">
      <c r="A38" t="s">
        <v>176</v>
      </c>
      <c r="B38">
        <v>0.17860000000000001</v>
      </c>
      <c r="C38">
        <v>9.1999999999999998E-2</v>
      </c>
      <c r="E38" t="s">
        <v>176</v>
      </c>
      <c r="F38">
        <v>0.99870000000000003</v>
      </c>
      <c r="G38">
        <v>0.99960000000000004</v>
      </c>
    </row>
    <row r="39" spans="1:7">
      <c r="A39" t="s">
        <v>177</v>
      </c>
      <c r="B39">
        <v>0.17580000000000001</v>
      </c>
      <c r="C39">
        <v>7.5899999999999995E-2</v>
      </c>
      <c r="E39" t="s">
        <v>177</v>
      </c>
      <c r="F39">
        <v>0.99519999999999997</v>
      </c>
      <c r="G39">
        <v>0.99890000000000001</v>
      </c>
    </row>
    <row r="40" spans="1:7">
      <c r="A40" t="s">
        <v>178</v>
      </c>
      <c r="B40">
        <v>0.1726</v>
      </c>
      <c r="C40">
        <v>0.1162</v>
      </c>
      <c r="E40" t="s">
        <v>178</v>
      </c>
      <c r="F40">
        <v>0.90200000000000002</v>
      </c>
      <c r="G40">
        <v>0.97529999999999994</v>
      </c>
    </row>
    <row r="41" spans="1:7">
      <c r="A41" t="s">
        <v>179</v>
      </c>
      <c r="B41">
        <v>0.25580000000000003</v>
      </c>
      <c r="C41">
        <v>0.16389999999999999</v>
      </c>
      <c r="E41" t="s">
        <v>179</v>
      </c>
      <c r="F41">
        <v>0.90280000000000005</v>
      </c>
      <c r="G41">
        <v>0.95469999999999999</v>
      </c>
    </row>
    <row r="42" spans="1:7">
      <c r="A42" t="s">
        <v>180</v>
      </c>
      <c r="B42">
        <v>0.1386</v>
      </c>
      <c r="C42">
        <v>9.01E-2</v>
      </c>
      <c r="E42" t="s">
        <v>180</v>
      </c>
      <c r="F42">
        <v>0.99809999999999999</v>
      </c>
      <c r="G42">
        <v>0.99890000000000001</v>
      </c>
    </row>
  </sheetData>
  <mergeCells count="1">
    <mergeCell ref="A1:N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4"/>
  <sheetViews>
    <sheetView topLeftCell="A15" workbookViewId="0">
      <selection activeCell="L22" sqref="L22"/>
    </sheetView>
  </sheetViews>
  <sheetFormatPr baseColWidth="10" defaultColWidth="8.796875" defaultRowHeight="13.8"/>
  <cols>
    <col min="1" max="1" width="24" customWidth="1"/>
    <col min="2" max="10" width="16" customWidth="1"/>
  </cols>
  <sheetData>
    <row r="1" spans="1:10" ht="19.95" customHeight="1">
      <c r="A1" s="7" t="s">
        <v>181</v>
      </c>
      <c r="B1" s="7"/>
      <c r="C1" s="7"/>
      <c r="D1" s="7"/>
      <c r="E1" s="7"/>
      <c r="F1" s="7"/>
      <c r="G1" s="7"/>
      <c r="H1" s="7"/>
      <c r="I1" s="7"/>
      <c r="J1" s="7"/>
    </row>
    <row r="2" spans="1:10" ht="19.9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4" spans="1:10">
      <c r="A4" s="8" t="s">
        <v>194</v>
      </c>
      <c r="B4" s="8"/>
      <c r="C4" s="8"/>
      <c r="D4" s="8"/>
      <c r="E4" s="8"/>
      <c r="F4" s="8"/>
      <c r="G4" s="8"/>
      <c r="H4" s="8"/>
      <c r="I4" s="8"/>
      <c r="J4" s="8"/>
    </row>
    <row r="5" spans="1:10">
      <c r="A5" s="18" t="s">
        <v>182</v>
      </c>
      <c r="B5" s="18"/>
      <c r="C5" s="18"/>
      <c r="D5" s="18"/>
      <c r="E5" s="18"/>
      <c r="F5" s="18"/>
      <c r="G5" s="18"/>
      <c r="H5" s="18"/>
      <c r="I5" s="18"/>
      <c r="J5" s="18"/>
    </row>
    <row r="6" spans="1:10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0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10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10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10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10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10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8" spans="1:10">
      <c r="A18" s="8" t="s">
        <v>183</v>
      </c>
      <c r="B18" s="8"/>
      <c r="C18" s="8"/>
      <c r="D18" s="8"/>
      <c r="E18" s="8"/>
      <c r="F18" s="8"/>
      <c r="G18" s="8"/>
      <c r="H18" s="8"/>
      <c r="I18" s="8"/>
      <c r="J18" s="8"/>
    </row>
    <row r="20" spans="1:10" ht="82.8" customHeight="1">
      <c r="A20" s="13" t="s">
        <v>184</v>
      </c>
      <c r="B20" s="19" t="s">
        <v>185</v>
      </c>
      <c r="C20" s="19"/>
      <c r="D20" s="19"/>
      <c r="E20" s="19"/>
      <c r="F20" s="19"/>
      <c r="G20" s="19"/>
      <c r="H20" s="19"/>
      <c r="I20" s="19"/>
      <c r="J20" s="19"/>
    </row>
    <row r="21" spans="1:10" ht="82.8" customHeight="1">
      <c r="A21" s="13" t="s">
        <v>94</v>
      </c>
      <c r="B21" s="19" t="s">
        <v>186</v>
      </c>
      <c r="C21" s="19"/>
      <c r="D21" s="19"/>
      <c r="E21" s="19"/>
      <c r="F21" s="19"/>
      <c r="G21" s="19"/>
      <c r="H21" s="19"/>
      <c r="I21" s="19"/>
      <c r="J21" s="19"/>
    </row>
    <row r="22" spans="1:10" ht="82.8" customHeight="1">
      <c r="A22" s="13" t="s">
        <v>187</v>
      </c>
      <c r="B22" s="19" t="s">
        <v>188</v>
      </c>
      <c r="C22" s="19"/>
      <c r="D22" s="19"/>
      <c r="E22" s="19"/>
      <c r="F22" s="19"/>
      <c r="G22" s="19"/>
      <c r="H22" s="19"/>
      <c r="I22" s="19"/>
      <c r="J22" s="19"/>
    </row>
    <row r="23" spans="1:10" ht="82.8" customHeight="1">
      <c r="A23" s="13" t="s">
        <v>189</v>
      </c>
      <c r="B23" s="19" t="s">
        <v>190</v>
      </c>
      <c r="C23" s="19"/>
      <c r="D23" s="19"/>
      <c r="E23" s="19"/>
      <c r="F23" s="19"/>
      <c r="G23" s="19"/>
      <c r="H23" s="19"/>
      <c r="I23" s="19"/>
      <c r="J23" s="19"/>
    </row>
    <row r="24" spans="1:10" ht="69" customHeight="1">
      <c r="A24" s="13" t="s">
        <v>191</v>
      </c>
      <c r="B24" s="19" t="s">
        <v>192</v>
      </c>
      <c r="C24" s="19"/>
      <c r="D24" s="19"/>
      <c r="E24" s="19"/>
      <c r="F24" s="19"/>
      <c r="G24" s="19"/>
      <c r="H24" s="19"/>
      <c r="I24" s="19"/>
      <c r="J24" s="20"/>
    </row>
  </sheetData>
  <mergeCells count="9">
    <mergeCell ref="B21:J21"/>
    <mergeCell ref="B22:J22"/>
    <mergeCell ref="B23:J23"/>
    <mergeCell ref="B24:I24"/>
    <mergeCell ref="A1:J2"/>
    <mergeCell ref="A4:J4"/>
    <mergeCell ref="A5:J15"/>
    <mergeCell ref="A18:J18"/>
    <mergeCell ref="B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Portada</vt:lpstr>
      <vt:lpstr>Datos base</vt:lpstr>
      <vt:lpstr>Resumen global</vt:lpstr>
      <vt:lpstr>Descriptivos</vt:lpstr>
      <vt:lpstr>Normalidad</vt:lpstr>
      <vt:lpstr>Inferencia</vt:lpstr>
      <vt:lpstr>Bootstrap</vt:lpstr>
      <vt:lpstr>Ranking</vt:lpstr>
      <vt:lpstr>Correlaciones</vt:lpstr>
      <vt:lpstr>Bland-Altman</vt:lpstr>
      <vt:lpstr>Figuras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Segundo Cohen Manrique</cp:lastModifiedBy>
  <dcterms:modified xsi:type="dcterms:W3CDTF">2026-07-21T01:39:00Z</dcterms:modified>
</cp:coreProperties>
</file>
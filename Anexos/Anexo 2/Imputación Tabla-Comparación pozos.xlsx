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5\Phd\IA con pozos\Mapas GEE Pozos Acuífero Morroa\Comportamiento Pozos 2010-2030\"/>
    </mc:Choice>
  </mc:AlternateContent>
  <xr:revisionPtr revIDLastSave="0" documentId="13_ncr:1_{C71A768F-D105-4CB0-83FF-20DD2A1C447A}" xr6:coauthVersionLast="47" xr6:coauthVersionMax="47" xr10:uidLastSave="{00000000-0000-0000-0000-000000000000}"/>
  <bookViews>
    <workbookView xWindow="-108" yWindow="-108" windowWidth="23256" windowHeight="12456" xr2:uid="{16D16D28-3596-4108-AC66-921673A5E044}"/>
  </bookViews>
  <sheets>
    <sheet name="Tabla Gral Imputación" sheetId="1" r:id="rId1"/>
    <sheet name="Tabla x Poz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13" i="1"/>
  <c r="B22" i="1"/>
  <c r="C21" i="1"/>
  <c r="B21" i="1"/>
  <c r="D21" i="1"/>
  <c r="C19" i="1"/>
  <c r="B19" i="1"/>
  <c r="D106" i="2"/>
  <c r="D105" i="2"/>
  <c r="D104" i="2"/>
  <c r="D103" i="2"/>
  <c r="D102" i="2"/>
  <c r="D101" i="2"/>
  <c r="D100" i="2"/>
  <c r="D99" i="2"/>
  <c r="I93" i="2"/>
  <c r="I94" i="2"/>
  <c r="I92" i="2"/>
  <c r="I91" i="2"/>
  <c r="I90" i="2"/>
  <c r="I89" i="2"/>
  <c r="I88" i="2"/>
  <c r="I87" i="2"/>
  <c r="D94" i="2"/>
  <c r="D93" i="2"/>
  <c r="D92" i="2"/>
  <c r="D91" i="2"/>
  <c r="D90" i="2"/>
  <c r="D89" i="2"/>
  <c r="D88" i="2"/>
  <c r="D87" i="2"/>
  <c r="I82" i="2"/>
  <c r="I81" i="2"/>
  <c r="I80" i="2"/>
  <c r="I79" i="2"/>
  <c r="I78" i="2"/>
  <c r="I77" i="2"/>
  <c r="I76" i="2"/>
  <c r="I75" i="2"/>
  <c r="D82" i="2"/>
  <c r="D81" i="2"/>
  <c r="D80" i="2"/>
  <c r="D79" i="2"/>
  <c r="D78" i="2"/>
  <c r="D77" i="2"/>
  <c r="D76" i="2"/>
  <c r="D75" i="2"/>
  <c r="I70" i="2"/>
  <c r="I69" i="2"/>
  <c r="I68" i="2"/>
  <c r="I67" i="2"/>
  <c r="I66" i="2"/>
  <c r="I65" i="2"/>
  <c r="I64" i="2"/>
  <c r="I63" i="2"/>
  <c r="D63" i="2"/>
  <c r="D70" i="2"/>
  <c r="D69" i="2"/>
  <c r="D68" i="2"/>
  <c r="D67" i="2"/>
  <c r="D66" i="2"/>
  <c r="D65" i="2"/>
  <c r="D64" i="2"/>
  <c r="I58" i="2"/>
  <c r="I57" i="2"/>
  <c r="I56" i="2"/>
  <c r="I55" i="2"/>
  <c r="I54" i="2"/>
  <c r="I53" i="2"/>
  <c r="I52" i="2"/>
  <c r="I51" i="2"/>
  <c r="D58" i="2"/>
  <c r="D57" i="2"/>
  <c r="D56" i="2"/>
  <c r="D55" i="2"/>
  <c r="D54" i="2"/>
  <c r="D53" i="2"/>
  <c r="D52" i="2"/>
  <c r="D51" i="2"/>
  <c r="I46" i="2"/>
  <c r="I45" i="2"/>
  <c r="I44" i="2"/>
  <c r="I43" i="2"/>
  <c r="I42" i="2"/>
  <c r="I41" i="2"/>
  <c r="I40" i="2"/>
  <c r="I39" i="2"/>
  <c r="D46" i="2"/>
  <c r="D45" i="2"/>
  <c r="D44" i="2"/>
  <c r="D43" i="2"/>
  <c r="D42" i="2"/>
  <c r="D41" i="2"/>
  <c r="D40" i="2"/>
  <c r="D39" i="2"/>
  <c r="I34" i="2"/>
  <c r="I33" i="2"/>
  <c r="I32" i="2"/>
  <c r="I31" i="2"/>
  <c r="I30" i="2"/>
  <c r="I29" i="2"/>
  <c r="I28" i="2"/>
  <c r="I27" i="2"/>
  <c r="D34" i="2"/>
  <c r="D33" i="2"/>
  <c r="D32" i="2"/>
  <c r="D31" i="2"/>
  <c r="D30" i="2"/>
  <c r="D29" i="2"/>
  <c r="D28" i="2"/>
  <c r="D27" i="2"/>
  <c r="I16" i="2"/>
  <c r="I17" i="2"/>
  <c r="I18" i="2"/>
  <c r="I19" i="2"/>
  <c r="I20" i="2"/>
  <c r="I21" i="2"/>
  <c r="I22" i="2"/>
  <c r="I15" i="2"/>
  <c r="D22" i="2" l="1"/>
  <c r="D21" i="2"/>
  <c r="D20" i="2"/>
  <c r="D19" i="2"/>
  <c r="D18" i="2"/>
  <c r="D17" i="2"/>
  <c r="D16" i="2"/>
  <c r="D15" i="2"/>
  <c r="I10" i="2"/>
  <c r="I9" i="2"/>
  <c r="I8" i="2"/>
  <c r="I7" i="2"/>
  <c r="I6" i="2"/>
  <c r="I5" i="2"/>
  <c r="I4" i="2"/>
  <c r="I3" i="2"/>
  <c r="D4" i="2"/>
  <c r="D5" i="2"/>
  <c r="D6" i="2"/>
  <c r="D7" i="2"/>
  <c r="D8" i="2"/>
  <c r="D9" i="2"/>
  <c r="D10" i="2"/>
  <c r="D3" i="2"/>
  <c r="D17" i="1" l="1"/>
  <c r="D18" i="1"/>
  <c r="D11" i="1"/>
  <c r="D12" i="1"/>
  <c r="D14" i="1"/>
  <c r="D15" i="1"/>
  <c r="D16" i="1"/>
  <c r="D3" i="1"/>
  <c r="D4" i="1"/>
  <c r="D5" i="1"/>
  <c r="D6" i="1"/>
  <c r="D7" i="1"/>
  <c r="D8" i="1"/>
  <c r="D9" i="1"/>
  <c r="D10" i="1"/>
  <c r="D2" i="1"/>
  <c r="D19" i="1" l="1"/>
</calcChain>
</file>

<file path=xl/sharedStrings.xml><?xml version="1.0" encoding="utf-8"?>
<sst xmlns="http://schemas.openxmlformats.org/spreadsheetml/2006/main" count="325" uniqueCount="59">
  <si>
    <t>Pozo</t>
  </si>
  <si>
    <t># Datos Totales (NT)</t>
  </si>
  <si>
    <t># Datos Imputados (Ni)</t>
  </si>
  <si>
    <r>
      <t>Índice I=N</t>
    </r>
    <r>
      <rPr>
        <b/>
        <vertAlign val="subscript"/>
        <sz val="12"/>
        <color rgb="FF000000"/>
        <rFont val="Aptos"/>
        <family val="2"/>
      </rPr>
      <t>i</t>
    </r>
    <r>
      <rPr>
        <b/>
        <sz val="12"/>
        <color rgb="FF000000"/>
        <rFont val="Aptos"/>
        <family val="2"/>
      </rPr>
      <t>/N</t>
    </r>
    <r>
      <rPr>
        <b/>
        <vertAlign val="subscript"/>
        <sz val="12"/>
        <color rgb="FF000000"/>
        <rFont val="Aptos"/>
        <family val="2"/>
      </rPr>
      <t>T</t>
    </r>
  </si>
  <si>
    <t>Método de Imputación empleado</t>
  </si>
  <si>
    <t>Sampués - # 52-II-C-PZ-01</t>
  </si>
  <si>
    <t>Spline cúbico</t>
  </si>
  <si>
    <t>Finca el socorro (Ovejas) - # 44-II-D-PO-02</t>
  </si>
  <si>
    <t>LSTM</t>
  </si>
  <si>
    <t>Ovejas - # 44-II-D-PO-14</t>
  </si>
  <si>
    <t>Los Palmitos - # 44-IV-B-PZ-01 Piñal</t>
  </si>
  <si>
    <t>ILTSS</t>
  </si>
  <si>
    <t>Morroa (Bremen) - # 44-IV-C-PZ-01 A</t>
  </si>
  <si>
    <t>Bremen - # 44-IV-C-PZ-01 B</t>
  </si>
  <si>
    <t>Las Tinas (Morroa) - # 44-IV-C-PZ-02 A</t>
  </si>
  <si>
    <t>Las Tinas (Morroa) - # 44-IV-C-PZ-02 B</t>
  </si>
  <si>
    <t>Arroyo salida a Betulia (Corozal) - # 44-IV-D-PZ-01 A</t>
  </si>
  <si>
    <t>Arroyo salida a Betulia (Corozal) - # 44-IV-D-PZ-01 B</t>
  </si>
  <si>
    <t>Sabanas de cali (El Tesoro) - # 44-IV-D-PZ-02</t>
  </si>
  <si>
    <t>Finca el tesoro - # 44-IV-D-PZ-04</t>
  </si>
  <si>
    <t>Basurero Viejo, Pileta (Corozal) - # 52-II-B-PZ-01 A</t>
  </si>
  <si>
    <t>Corozal - # 44-IV-D-PO-14</t>
  </si>
  <si>
    <t>Corozal - # 44-IV-D-PZ-20</t>
  </si>
  <si>
    <t>Corozal - # 44-IV-D-PZ-22</t>
  </si>
  <si>
    <t>Cantagallo - # 52-II-A-PZ-01 Corozal</t>
  </si>
  <si>
    <t>Total Promediado</t>
  </si>
  <si>
    <t>Promedio DT/Di por pozo</t>
  </si>
  <si>
    <t xml:space="preserve"> </t>
  </si>
  <si>
    <t>Suma Total</t>
  </si>
  <si>
    <t>% Total Imputados</t>
  </si>
  <si>
    <t>Sampues - # 52-II-C-PZ-01</t>
  </si>
  <si>
    <t>Finca El Socorro (Ovejas) – #44-II-D-PO-02</t>
  </si>
  <si>
    <t>Métrica</t>
  </si>
  <si>
    <t>Medidos</t>
  </si>
  <si>
    <t>Con Imputación</t>
  </si>
  <si>
    <t>Diferencia Absoluta</t>
  </si>
  <si>
    <t>n</t>
  </si>
  <si>
    <t>Media</t>
  </si>
  <si>
    <t>Mediana (m)</t>
  </si>
  <si>
    <t>Desv Estándar (m)</t>
  </si>
  <si>
    <t>Mínimo</t>
  </si>
  <si>
    <t>Máximo</t>
  </si>
  <si>
    <t>Rago</t>
  </si>
  <si>
    <t>Gradiente prom. (m/año)</t>
  </si>
  <si>
    <t>ρ₁ (autocorrelación lag-1)</t>
  </si>
  <si>
    <t>&gt;0.95</t>
  </si>
  <si>
    <t>No cambia</t>
  </si>
  <si>
    <t>&gt;0.90</t>
  </si>
  <si>
    <t>Morroa (Bremen) - # 44-IV-C-PZ-01 B</t>
  </si>
  <si>
    <t>Aumenta 1%</t>
  </si>
  <si>
    <t>&gt; 0.95</t>
  </si>
  <si>
    <t>&gt; 0,90</t>
  </si>
  <si>
    <t>&gt; 0.9</t>
  </si>
  <si>
    <t>&gt; 0,98</t>
  </si>
  <si>
    <t>&gt; 0,9</t>
  </si>
  <si>
    <t>&gt; 0,97</t>
  </si>
  <si>
    <t>&gt; 0,95</t>
  </si>
  <si>
    <t>&gt; 0,93</t>
  </si>
  <si>
    <t>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</si>
</sst>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vertAlign val="subscript"/>
      <sz val="12"/>
      <color rgb="FF000000"/>
      <name val="Aptos"/>
      <family val="2"/>
    </font>
    <font>
      <b/>
      <sz val="12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1"/>
      <color theme="4"/>
      <name val="Aptos Narrow"/>
      <family val="2"/>
      <scheme val="minor"/>
    </font>
    <font>
      <b/>
      <sz val="12"/>
      <color theme="3"/>
      <name val="Aptos"/>
      <family val="2"/>
    </font>
    <font>
      <b/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right"/>
    </xf>
    <xf numFmtId="10" fontId="6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1" fontId="6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right"/>
    </xf>
    <xf numFmtId="164" fontId="0" fillId="0" borderId="0" xfId="0" applyNumberFormat="1" applyAlignment="1">
      <alignment horizontal="center" vertical="center"/>
    </xf>
    <xf numFmtId="0" fontId="13" fillId="0" borderId="1" xfId="0" applyFont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right"/>
    </xf>
    <xf numFmtId="165" fontId="14" fillId="0" borderId="1" xfId="1" applyNumberFormat="1" applyFont="1" applyBorder="1" applyAlignment="1">
      <alignment horizontal="center" vertical="center"/>
    </xf>
    <xf numFmtId="10" fontId="12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0</xdr:row>
      <xdr:rowOff>228600</xdr:rowOff>
    </xdr:from>
    <xdr:to>
      <xdr:col>12</xdr:col>
      <xdr:colOff>53340</xdr:colOff>
      <xdr:row>18</xdr:row>
      <xdr:rowOff>83820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152AE4E-7189-D8E8-C12C-E92132565571}"/>
            </a:ext>
          </a:extLst>
        </xdr:cNvPr>
        <xdr:cNvSpPr txBox="1"/>
      </xdr:nvSpPr>
      <xdr:spPr>
        <a:xfrm>
          <a:off x="9486900" y="228600"/>
          <a:ext cx="4358640" cy="361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>
              <a:solidFill>
                <a:srgbClr val="FF0000"/>
              </a:solidFill>
            </a:rPr>
            <a:t>Ficha Técnica</a:t>
          </a:r>
          <a:r>
            <a:rPr lang="es-CO" b="1" baseline="0">
              <a:solidFill>
                <a:srgbClr val="FF0000"/>
              </a:solidFill>
            </a:rPr>
            <a:t> Imputación de datos: </a:t>
          </a:r>
        </a:p>
        <a:p>
          <a:endParaRPr lang="es-CO" b="1"/>
        </a:p>
        <a:p>
          <a:r>
            <a:rPr lang="es-CO" b="1"/>
            <a:t>Consolidado global (los 17 pozos)</a:t>
          </a:r>
        </a:p>
        <a:p>
          <a:r>
            <a:rPr lang="es-CO" b="1"/>
            <a:t>Pozos:</a:t>
          </a:r>
          <a:r>
            <a:rPr lang="es-CO"/>
            <a:t> 17</a:t>
          </a:r>
        </a:p>
        <a:p>
          <a:r>
            <a:rPr lang="es-CO" b="1"/>
            <a:t>Observaciones totales (con imputación):</a:t>
          </a:r>
          <a:r>
            <a:rPr lang="es-CO"/>
            <a:t> 1631</a:t>
          </a:r>
        </a:p>
        <a:p>
          <a:r>
            <a:rPr lang="es-CO" b="1"/>
            <a:t>Imputados totales:</a:t>
          </a:r>
          <a:r>
            <a:rPr lang="es-CO"/>
            <a:t> 130 (</a:t>
          </a:r>
          <a:r>
            <a:rPr lang="es-CO" b="1"/>
            <a:t>7,971 %</a:t>
          </a:r>
          <a:r>
            <a:rPr lang="es-CO"/>
            <a:t> del total)</a:t>
          </a:r>
        </a:p>
        <a:p>
          <a:r>
            <a:rPr lang="es-CO" b="1"/>
            <a:t>Impacto típico de la imputación (mediana de diferencias absolutas entre “medidos” vs “con imputación”):</a:t>
          </a:r>
          <a:endParaRPr lang="es-CO"/>
        </a:p>
        <a:p>
          <a:r>
            <a:rPr lang="es-CO" b="1"/>
            <a:t>Media:</a:t>
          </a:r>
          <a:r>
            <a:rPr lang="es-CO"/>
            <a:t> 0,436 m (máx: 1,224 m)</a:t>
          </a:r>
        </a:p>
        <a:p>
          <a:r>
            <a:rPr lang="es-CO" b="1"/>
            <a:t>Mediana:</a:t>
          </a:r>
          <a:r>
            <a:rPr lang="es-CO"/>
            <a:t> 0,29 m (máx: 2,71 m)</a:t>
          </a:r>
        </a:p>
        <a:p>
          <a:r>
            <a:rPr lang="es-CO" b="1"/>
            <a:t>Desv. estándar:</a:t>
          </a:r>
          <a:r>
            <a:rPr lang="es-CO"/>
            <a:t> 0,181 m (máx: 0,604 m)</a:t>
          </a:r>
        </a:p>
        <a:p>
          <a:r>
            <a:rPr lang="es-CO" b="1"/>
            <a:t>Gradiente (m/año):</a:t>
          </a:r>
          <a:r>
            <a:rPr lang="es-CO"/>
            <a:t> 0,009 (máx: 0,071)</a:t>
          </a:r>
        </a:p>
        <a:p>
          <a:r>
            <a:rPr lang="el-GR" b="1"/>
            <a:t>ρ₁:</a:t>
          </a:r>
          <a:r>
            <a:rPr lang="el-GR"/>
            <a:t> 0,013 (</a:t>
          </a:r>
          <a:r>
            <a:rPr lang="es-CO"/>
            <a:t>máx: 0,121)</a:t>
          </a:r>
        </a:p>
        <a:p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8C9D-8F47-43BA-A5DB-9D4ABD172E6C}">
  <dimension ref="A1:F22"/>
  <sheetViews>
    <sheetView tabSelected="1" workbookViewId="0">
      <selection activeCell="I22" sqref="I22"/>
    </sheetView>
  </sheetViews>
  <sheetFormatPr defaultColWidth="11.42578125" defaultRowHeight="14.45"/>
  <cols>
    <col min="1" max="1" width="53.28515625" customWidth="1"/>
    <col min="2" max="2" width="18.28515625" style="5" customWidth="1"/>
    <col min="3" max="3" width="16.5703125" style="5" customWidth="1"/>
    <col min="4" max="4" width="16.42578125" style="5" customWidth="1"/>
    <col min="5" max="5" width="27.140625" style="5" customWidth="1"/>
    <col min="6" max="6" width="0.28515625" style="5" customWidth="1"/>
  </cols>
  <sheetData>
    <row r="1" spans="1:6" ht="31.15">
      <c r="A1" s="1" t="s">
        <v>0</v>
      </c>
      <c r="B1" s="1" t="s">
        <v>1</v>
      </c>
      <c r="C1" s="19" t="s">
        <v>2</v>
      </c>
      <c r="D1" s="1" t="s">
        <v>3</v>
      </c>
      <c r="E1" s="1" t="s">
        <v>4</v>
      </c>
      <c r="F1" s="4"/>
    </row>
    <row r="2" spans="1:6" ht="15.6">
      <c r="A2" s="2" t="s">
        <v>5</v>
      </c>
      <c r="B2" s="3">
        <v>71</v>
      </c>
      <c r="C2" s="20">
        <v>10</v>
      </c>
      <c r="D2" s="6">
        <f>C2/B2</f>
        <v>0.14084507042253522</v>
      </c>
      <c r="E2" s="3" t="s">
        <v>6</v>
      </c>
      <c r="F2" s="3"/>
    </row>
    <row r="3" spans="1:6" ht="15.6">
      <c r="A3" s="2" t="s">
        <v>7</v>
      </c>
      <c r="B3" s="3">
        <v>54</v>
      </c>
      <c r="C3" s="20">
        <v>11</v>
      </c>
      <c r="D3" s="6">
        <f t="shared" ref="D3:D18" si="0">C3/B3</f>
        <v>0.20370370370370369</v>
      </c>
      <c r="E3" s="3" t="s">
        <v>8</v>
      </c>
      <c r="F3" s="3"/>
    </row>
    <row r="4" spans="1:6" ht="15.6">
      <c r="A4" s="2" t="s">
        <v>9</v>
      </c>
      <c r="B4" s="3">
        <v>48</v>
      </c>
      <c r="C4" s="20">
        <v>9</v>
      </c>
      <c r="D4" s="6">
        <f t="shared" si="0"/>
        <v>0.1875</v>
      </c>
      <c r="E4" s="3" t="s">
        <v>8</v>
      </c>
      <c r="F4" s="3"/>
    </row>
    <row r="5" spans="1:6" ht="15.6">
      <c r="A5" s="2" t="s">
        <v>10</v>
      </c>
      <c r="B5" s="3">
        <v>72</v>
      </c>
      <c r="C5" s="20">
        <v>6</v>
      </c>
      <c r="D5" s="6">
        <f t="shared" si="0"/>
        <v>8.3333333333333329E-2</v>
      </c>
      <c r="E5" s="3" t="s">
        <v>11</v>
      </c>
      <c r="F5" s="3"/>
    </row>
    <row r="6" spans="1:6" ht="15.6">
      <c r="A6" s="2" t="s">
        <v>12</v>
      </c>
      <c r="B6" s="3">
        <v>127</v>
      </c>
      <c r="C6" s="20">
        <v>6</v>
      </c>
      <c r="D6" s="6">
        <f t="shared" si="0"/>
        <v>4.7244094488188976E-2</v>
      </c>
      <c r="E6" s="3" t="s">
        <v>11</v>
      </c>
      <c r="F6" s="3"/>
    </row>
    <row r="7" spans="1:6" ht="15.6">
      <c r="A7" s="2" t="s">
        <v>13</v>
      </c>
      <c r="B7" s="3">
        <v>127</v>
      </c>
      <c r="C7" s="20">
        <v>6</v>
      </c>
      <c r="D7" s="6">
        <f t="shared" si="0"/>
        <v>4.7244094488188976E-2</v>
      </c>
      <c r="E7" s="3" t="s">
        <v>11</v>
      </c>
      <c r="F7" s="3"/>
    </row>
    <row r="8" spans="1:6" ht="15.6">
      <c r="A8" s="2" t="s">
        <v>14</v>
      </c>
      <c r="B8" s="3">
        <v>107</v>
      </c>
      <c r="C8" s="20">
        <v>9</v>
      </c>
      <c r="D8" s="6">
        <f t="shared" si="0"/>
        <v>8.4112149532710276E-2</v>
      </c>
      <c r="E8" s="3" t="s">
        <v>11</v>
      </c>
      <c r="F8" s="3"/>
    </row>
    <row r="9" spans="1:6" ht="15.6">
      <c r="A9" s="2" t="s">
        <v>15</v>
      </c>
      <c r="B9" s="3">
        <v>112</v>
      </c>
      <c r="C9" s="20">
        <v>12</v>
      </c>
      <c r="D9" s="6">
        <f t="shared" si="0"/>
        <v>0.10714285714285714</v>
      </c>
      <c r="E9" s="3" t="s">
        <v>11</v>
      </c>
      <c r="F9" s="3"/>
    </row>
    <row r="10" spans="1:6" ht="15.6">
      <c r="A10" s="2" t="s">
        <v>16</v>
      </c>
      <c r="B10" s="3">
        <v>200</v>
      </c>
      <c r="C10" s="20">
        <v>6</v>
      </c>
      <c r="D10" s="6">
        <f t="shared" si="0"/>
        <v>0.03</v>
      </c>
      <c r="E10" s="3" t="s">
        <v>11</v>
      </c>
      <c r="F10" s="3"/>
    </row>
    <row r="11" spans="1:6" ht="15.6">
      <c r="A11" s="2" t="s">
        <v>17</v>
      </c>
      <c r="B11" s="3">
        <v>114</v>
      </c>
      <c r="C11" s="20">
        <v>6</v>
      </c>
      <c r="D11" s="6">
        <f t="shared" si="0"/>
        <v>5.2631578947368418E-2</v>
      </c>
      <c r="E11" s="3" t="s">
        <v>11</v>
      </c>
      <c r="F11" s="7"/>
    </row>
    <row r="12" spans="1:6" ht="15.6">
      <c r="A12" s="2" t="s">
        <v>18</v>
      </c>
      <c r="B12" s="3">
        <v>107</v>
      </c>
      <c r="C12" s="20">
        <v>5</v>
      </c>
      <c r="D12" s="6">
        <f t="shared" si="0"/>
        <v>4.6728971962616821E-2</v>
      </c>
      <c r="E12" s="3" t="s">
        <v>11</v>
      </c>
      <c r="F12" s="7"/>
    </row>
    <row r="13" spans="1:6" ht="15.6">
      <c r="A13" s="2" t="s">
        <v>19</v>
      </c>
      <c r="B13" s="3">
        <v>154</v>
      </c>
      <c r="C13" s="20">
        <v>5</v>
      </c>
      <c r="D13" s="6">
        <f>C13/B13</f>
        <v>3.2467532467532464E-2</v>
      </c>
      <c r="E13" s="3" t="s">
        <v>11</v>
      </c>
      <c r="F13" s="7"/>
    </row>
    <row r="14" spans="1:6" ht="15.6">
      <c r="A14" s="2" t="s">
        <v>20</v>
      </c>
      <c r="B14" s="3">
        <v>84</v>
      </c>
      <c r="C14" s="20">
        <v>9</v>
      </c>
      <c r="D14" s="6">
        <f t="shared" si="0"/>
        <v>0.10714285714285714</v>
      </c>
      <c r="E14" s="3" t="s">
        <v>11</v>
      </c>
      <c r="F14" s="7"/>
    </row>
    <row r="15" spans="1:6" ht="15.6">
      <c r="A15" s="2" t="s">
        <v>21</v>
      </c>
      <c r="B15" s="3">
        <v>85</v>
      </c>
      <c r="C15" s="20">
        <v>7</v>
      </c>
      <c r="D15" s="6">
        <f t="shared" si="0"/>
        <v>8.2352941176470587E-2</v>
      </c>
      <c r="E15" s="3" t="s">
        <v>11</v>
      </c>
      <c r="F15" s="7"/>
    </row>
    <row r="16" spans="1:6" ht="15.6">
      <c r="A16" s="2" t="s">
        <v>22</v>
      </c>
      <c r="B16" s="3">
        <v>23</v>
      </c>
      <c r="C16" s="20">
        <v>4</v>
      </c>
      <c r="D16" s="6">
        <f t="shared" si="0"/>
        <v>0.17391304347826086</v>
      </c>
      <c r="E16" s="3" t="s">
        <v>6</v>
      </c>
      <c r="F16" s="7"/>
    </row>
    <row r="17" spans="1:6" ht="15.6">
      <c r="A17" s="2" t="s">
        <v>23</v>
      </c>
      <c r="B17" s="3">
        <v>71</v>
      </c>
      <c r="C17" s="20">
        <v>11</v>
      </c>
      <c r="D17" s="6">
        <f t="shared" si="0"/>
        <v>0.15492957746478872</v>
      </c>
      <c r="E17" s="3" t="s">
        <v>6</v>
      </c>
      <c r="F17" s="7"/>
    </row>
    <row r="18" spans="1:6" ht="15.6">
      <c r="A18" s="2" t="s">
        <v>24</v>
      </c>
      <c r="B18" s="3">
        <v>75</v>
      </c>
      <c r="C18" s="20">
        <v>8</v>
      </c>
      <c r="D18" s="6">
        <f t="shared" si="0"/>
        <v>0.10666666666666667</v>
      </c>
      <c r="E18" s="3" t="s">
        <v>11</v>
      </c>
      <c r="F18" s="7"/>
    </row>
    <row r="19" spans="1:6">
      <c r="A19" s="8" t="s">
        <v>25</v>
      </c>
      <c r="B19" s="21">
        <f>INT(AVERAGE(B2:B18))</f>
        <v>95</v>
      </c>
      <c r="C19" s="22">
        <f>INT(AVERAGE(C2:C18))</f>
        <v>7</v>
      </c>
      <c r="D19" s="9">
        <f>AVERAGE(D2:D18)</f>
        <v>9.9291674848122319E-2</v>
      </c>
    </row>
    <row r="20" spans="1:6">
      <c r="A20" s="23" t="s">
        <v>26</v>
      </c>
      <c r="B20" s="29" t="s">
        <v>27</v>
      </c>
      <c r="C20" s="29"/>
    </row>
    <row r="21" spans="1:6" ht="15.6">
      <c r="A21" s="25" t="s">
        <v>28</v>
      </c>
      <c r="B21" s="26">
        <f>SUM(B2:B18)</f>
        <v>1631</v>
      </c>
      <c r="C21" s="26">
        <f>SUM(C2:C18)</f>
        <v>130</v>
      </c>
      <c r="D21" s="24">
        <f>MIN(D2:D18)</f>
        <v>0.03</v>
      </c>
    </row>
    <row r="22" spans="1:6" ht="15" thickBot="1">
      <c r="A22" s="27" t="s">
        <v>29</v>
      </c>
      <c r="B22" s="28">
        <f>C21/B21</f>
        <v>7.9705702023298589E-2</v>
      </c>
      <c r="D22" s="24">
        <f>MAX(D2:D18)</f>
        <v>0.20370370370370369</v>
      </c>
    </row>
  </sheetData>
  <mergeCells count="1">
    <mergeCell ref="B20:C20"/>
  </mergeCells>
  <pageMargins left="0.7" right="0.7" top="0.75" bottom="0.75" header="0.3" footer="0.3"/>
  <pageSetup paperSize="9" orientation="portrait" r:id="rId1"/>
  <ignoredErrors>
    <ignoredError sqref="B2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3CF4-C925-4763-8F7D-9E95B9EF0E1A}">
  <dimension ref="A1:I107"/>
  <sheetViews>
    <sheetView workbookViewId="0">
      <selection activeCell="A11" sqref="A11"/>
    </sheetView>
  </sheetViews>
  <sheetFormatPr defaultColWidth="11.42578125" defaultRowHeight="14.45"/>
  <cols>
    <col min="1" max="1" width="23.7109375" style="5" customWidth="1"/>
    <col min="2" max="2" width="11.5703125" style="5"/>
    <col min="3" max="3" width="14" style="5" customWidth="1"/>
    <col min="4" max="4" width="18.5703125" style="5" customWidth="1"/>
    <col min="5" max="5" width="1.42578125" style="5" customWidth="1"/>
    <col min="6" max="6" width="21.85546875" style="5" bestFit="1" customWidth="1"/>
    <col min="7" max="7" width="11.5703125" style="5"/>
    <col min="8" max="8" width="14.42578125" style="5" bestFit="1" customWidth="1"/>
    <col min="9" max="9" width="17.7109375" bestFit="1" customWidth="1"/>
  </cols>
  <sheetData>
    <row r="1" spans="1:9" s="13" customFormat="1">
      <c r="A1" s="30" t="s">
        <v>30</v>
      </c>
      <c r="B1" s="30"/>
      <c r="C1" s="30"/>
      <c r="D1" s="30"/>
      <c r="E1" s="12"/>
      <c r="F1" s="30" t="s">
        <v>31</v>
      </c>
      <c r="G1" s="30"/>
      <c r="H1" s="30"/>
      <c r="I1" s="30"/>
    </row>
    <row r="2" spans="1:9" s="11" customFormat="1">
      <c r="A2" s="14" t="s">
        <v>32</v>
      </c>
      <c r="B2" s="14" t="s">
        <v>33</v>
      </c>
      <c r="C2" s="14" t="s">
        <v>34</v>
      </c>
      <c r="D2" s="14" t="s">
        <v>35</v>
      </c>
      <c r="E2" s="10"/>
      <c r="F2" s="14" t="s">
        <v>32</v>
      </c>
      <c r="G2" s="14" t="s">
        <v>33</v>
      </c>
      <c r="H2" s="14" t="s">
        <v>34</v>
      </c>
      <c r="I2" s="14" t="s">
        <v>35</v>
      </c>
    </row>
    <row r="3" spans="1:9">
      <c r="A3" s="15" t="s">
        <v>36</v>
      </c>
      <c r="B3" s="7">
        <v>61</v>
      </c>
      <c r="C3" s="7">
        <v>71</v>
      </c>
      <c r="D3" s="7">
        <f>C3-B3</f>
        <v>10</v>
      </c>
      <c r="F3" s="15" t="s">
        <v>36</v>
      </c>
      <c r="G3" s="7">
        <v>44</v>
      </c>
      <c r="H3" s="7">
        <v>55</v>
      </c>
      <c r="I3" s="7">
        <f>H3-G3</f>
        <v>11</v>
      </c>
    </row>
    <row r="4" spans="1:9">
      <c r="A4" s="15" t="s">
        <v>37</v>
      </c>
      <c r="B4" s="7">
        <v>38.999000000000002</v>
      </c>
      <c r="C4" s="7">
        <v>39.92</v>
      </c>
      <c r="D4" s="7">
        <f t="shared" ref="D4:D10" si="0">C4-B4</f>
        <v>0.92099999999999937</v>
      </c>
      <c r="F4" s="15" t="s">
        <v>37</v>
      </c>
      <c r="G4" s="7">
        <v>10.25</v>
      </c>
      <c r="H4" s="7">
        <v>10.33</v>
      </c>
      <c r="I4" s="7">
        <f t="shared" ref="I4:I10" si="1">H4-G4</f>
        <v>8.0000000000000071E-2</v>
      </c>
    </row>
    <row r="5" spans="1:9">
      <c r="A5" s="15" t="s">
        <v>38</v>
      </c>
      <c r="B5" s="7">
        <v>36.979999999999997</v>
      </c>
      <c r="C5" s="7">
        <v>39.69</v>
      </c>
      <c r="D5" s="7">
        <f t="shared" si="0"/>
        <v>2.7100000000000009</v>
      </c>
      <c r="F5" s="15" t="s">
        <v>38</v>
      </c>
      <c r="G5" s="7">
        <v>10.16</v>
      </c>
      <c r="H5" s="7">
        <v>10.199999999999999</v>
      </c>
      <c r="I5" s="7">
        <f t="shared" si="1"/>
        <v>3.9999999999999147E-2</v>
      </c>
    </row>
    <row r="6" spans="1:9">
      <c r="A6" s="15" t="s">
        <v>39</v>
      </c>
      <c r="B6" s="7">
        <v>4.6989000000000001</v>
      </c>
      <c r="C6" s="7">
        <v>4.9800000000000004</v>
      </c>
      <c r="D6" s="7">
        <f t="shared" si="0"/>
        <v>0.28110000000000035</v>
      </c>
      <c r="F6" s="15" t="s">
        <v>39</v>
      </c>
      <c r="G6" s="7">
        <v>0.86</v>
      </c>
      <c r="H6" s="7">
        <v>0.91</v>
      </c>
      <c r="I6" s="7">
        <f t="shared" si="1"/>
        <v>5.0000000000000044E-2</v>
      </c>
    </row>
    <row r="7" spans="1:9">
      <c r="A7" s="15" t="s">
        <v>40</v>
      </c>
      <c r="B7" s="16">
        <v>33.85</v>
      </c>
      <c r="C7" s="7">
        <v>33.85</v>
      </c>
      <c r="D7" s="7">
        <f t="shared" si="0"/>
        <v>0</v>
      </c>
      <c r="F7" s="15" t="s">
        <v>40</v>
      </c>
      <c r="G7" s="16">
        <v>9.42</v>
      </c>
      <c r="H7" s="7">
        <v>9.42</v>
      </c>
      <c r="I7" s="7">
        <f t="shared" si="1"/>
        <v>0</v>
      </c>
    </row>
    <row r="8" spans="1:9">
      <c r="A8" s="15" t="s">
        <v>41</v>
      </c>
      <c r="B8" s="16">
        <v>49.13</v>
      </c>
      <c r="C8" s="7">
        <v>49.13</v>
      </c>
      <c r="D8" s="7">
        <f t="shared" si="0"/>
        <v>0</v>
      </c>
      <c r="F8" s="15" t="s">
        <v>41</v>
      </c>
      <c r="G8" s="16">
        <v>12.55</v>
      </c>
      <c r="H8" s="7">
        <v>12.55</v>
      </c>
      <c r="I8" s="7">
        <f t="shared" si="1"/>
        <v>0</v>
      </c>
    </row>
    <row r="9" spans="1:9">
      <c r="A9" s="15" t="s">
        <v>42</v>
      </c>
      <c r="B9" s="7">
        <v>15.28</v>
      </c>
      <c r="C9" s="7">
        <v>15.28</v>
      </c>
      <c r="D9" s="7">
        <f t="shared" si="0"/>
        <v>0</v>
      </c>
      <c r="F9" s="15" t="s">
        <v>42</v>
      </c>
      <c r="G9" s="7">
        <v>3.13</v>
      </c>
      <c r="H9" s="7">
        <v>3.13</v>
      </c>
      <c r="I9" s="7">
        <f t="shared" si="1"/>
        <v>0</v>
      </c>
    </row>
    <row r="10" spans="1:9">
      <c r="A10" s="15" t="s">
        <v>43</v>
      </c>
      <c r="B10" s="7">
        <v>0.98</v>
      </c>
      <c r="C10" s="7">
        <v>0.98</v>
      </c>
      <c r="D10" s="7">
        <f t="shared" si="0"/>
        <v>0</v>
      </c>
      <c r="F10" s="15" t="s">
        <v>43</v>
      </c>
      <c r="G10" s="7">
        <v>0.15</v>
      </c>
      <c r="H10" s="7">
        <v>0.15</v>
      </c>
      <c r="I10" s="7">
        <f t="shared" si="1"/>
        <v>0</v>
      </c>
    </row>
    <row r="11" spans="1:9">
      <c r="A11" s="15" t="s">
        <v>44</v>
      </c>
      <c r="B11" s="7" t="s">
        <v>45</v>
      </c>
      <c r="C11" s="7" t="s">
        <v>45</v>
      </c>
      <c r="D11" s="7" t="s">
        <v>46</v>
      </c>
      <c r="F11" s="15" t="s">
        <v>44</v>
      </c>
      <c r="G11" s="7" t="s">
        <v>47</v>
      </c>
      <c r="H11" s="7" t="s">
        <v>47</v>
      </c>
      <c r="I11" s="7" t="s">
        <v>46</v>
      </c>
    </row>
    <row r="13" spans="1:9">
      <c r="A13" s="30" t="s">
        <v>9</v>
      </c>
      <c r="B13" s="30"/>
      <c r="C13" s="30"/>
      <c r="D13" s="30"/>
      <c r="F13" s="30" t="s">
        <v>10</v>
      </c>
      <c r="G13" s="30"/>
      <c r="H13" s="30"/>
      <c r="I13" s="30"/>
    </row>
    <row r="14" spans="1:9">
      <c r="A14" s="14" t="s">
        <v>32</v>
      </c>
      <c r="B14" s="14" t="s">
        <v>33</v>
      </c>
      <c r="C14" s="14" t="s">
        <v>34</v>
      </c>
      <c r="D14" s="14" t="s">
        <v>35</v>
      </c>
      <c r="F14" s="14" t="s">
        <v>32</v>
      </c>
      <c r="G14" s="14" t="s">
        <v>33</v>
      </c>
      <c r="H14" s="14" t="s">
        <v>34</v>
      </c>
      <c r="I14" s="14" t="s">
        <v>35</v>
      </c>
    </row>
    <row r="15" spans="1:9">
      <c r="A15" s="15" t="s">
        <v>36</v>
      </c>
      <c r="B15" s="7">
        <v>39</v>
      </c>
      <c r="C15" s="7">
        <v>48</v>
      </c>
      <c r="D15" s="7">
        <f>C15-B15</f>
        <v>9</v>
      </c>
      <c r="F15" s="15" t="s">
        <v>36</v>
      </c>
      <c r="G15" s="7">
        <v>66</v>
      </c>
      <c r="H15" s="7">
        <v>72</v>
      </c>
      <c r="I15" s="7">
        <f>H15-G15</f>
        <v>6</v>
      </c>
    </row>
    <row r="16" spans="1:9">
      <c r="A16" s="15" t="s">
        <v>37</v>
      </c>
      <c r="B16" s="7">
        <v>38.999000000000002</v>
      </c>
      <c r="C16" s="7">
        <v>39.92</v>
      </c>
      <c r="D16" s="7">
        <f t="shared" ref="D16:D22" si="2">C16-B16</f>
        <v>0.92099999999999937</v>
      </c>
      <c r="F16" s="15" t="s">
        <v>37</v>
      </c>
      <c r="G16" s="7">
        <v>74.099999999999994</v>
      </c>
      <c r="H16" s="7">
        <v>74.453999999999994</v>
      </c>
      <c r="I16" s="7">
        <f t="shared" ref="I16:I22" si="3">H16-G16</f>
        <v>0.3539999999999992</v>
      </c>
    </row>
    <row r="17" spans="1:9">
      <c r="A17" s="15" t="s">
        <v>38</v>
      </c>
      <c r="B17" s="7">
        <v>36.979999999999997</v>
      </c>
      <c r="C17" s="7">
        <v>39.69</v>
      </c>
      <c r="D17" s="7">
        <f t="shared" si="2"/>
        <v>2.7100000000000009</v>
      </c>
      <c r="F17" s="15" t="s">
        <v>38</v>
      </c>
      <c r="G17" s="7">
        <v>72.56</v>
      </c>
      <c r="H17" s="7">
        <v>72.825000000000003</v>
      </c>
      <c r="I17" s="7">
        <f t="shared" si="3"/>
        <v>0.26500000000000057</v>
      </c>
    </row>
    <row r="18" spans="1:9">
      <c r="A18" s="15" t="s">
        <v>39</v>
      </c>
      <c r="B18" s="7">
        <v>4.6989000000000001</v>
      </c>
      <c r="C18" s="7">
        <v>4.9800000000000004</v>
      </c>
      <c r="D18" s="7">
        <f t="shared" si="2"/>
        <v>0.28110000000000035</v>
      </c>
      <c r="F18" s="15" t="s">
        <v>39</v>
      </c>
      <c r="G18" s="7">
        <v>3.8248000000000002</v>
      </c>
      <c r="H18" s="7">
        <v>4.0061</v>
      </c>
      <c r="I18" s="7">
        <f t="shared" si="3"/>
        <v>0.18129999999999979</v>
      </c>
    </row>
    <row r="19" spans="1:9">
      <c r="A19" s="15" t="s">
        <v>40</v>
      </c>
      <c r="B19" s="16">
        <v>5.3448000000000002</v>
      </c>
      <c r="C19" s="7">
        <v>5.3448000000000002</v>
      </c>
      <c r="D19" s="7">
        <f t="shared" si="2"/>
        <v>0</v>
      </c>
      <c r="F19" s="15" t="s">
        <v>40</v>
      </c>
      <c r="G19" s="7">
        <v>71.52</v>
      </c>
      <c r="H19" s="7">
        <v>71.52</v>
      </c>
      <c r="I19" s="7">
        <f t="shared" si="3"/>
        <v>0</v>
      </c>
    </row>
    <row r="20" spans="1:9">
      <c r="A20" s="15" t="s">
        <v>41</v>
      </c>
      <c r="B20" s="16">
        <v>13.47</v>
      </c>
      <c r="C20" s="7">
        <v>13.47</v>
      </c>
      <c r="D20" s="7">
        <f t="shared" si="2"/>
        <v>0</v>
      </c>
      <c r="F20" s="15" t="s">
        <v>41</v>
      </c>
      <c r="G20" s="7">
        <v>83.83</v>
      </c>
      <c r="H20" s="7">
        <v>83.83</v>
      </c>
      <c r="I20" s="7">
        <f t="shared" si="3"/>
        <v>0</v>
      </c>
    </row>
    <row r="21" spans="1:9">
      <c r="A21" s="15" t="s">
        <v>42</v>
      </c>
      <c r="B21" s="7">
        <v>8.1300000000000008</v>
      </c>
      <c r="C21" s="7">
        <v>8.1300000000000008</v>
      </c>
      <c r="D21" s="7">
        <f t="shared" si="2"/>
        <v>0</v>
      </c>
      <c r="F21" s="15" t="s">
        <v>42</v>
      </c>
      <c r="G21" s="7">
        <v>12.31</v>
      </c>
      <c r="H21" s="7">
        <v>12.31</v>
      </c>
      <c r="I21" s="7">
        <f t="shared" si="3"/>
        <v>0</v>
      </c>
    </row>
    <row r="22" spans="1:9">
      <c r="A22" s="15" t="s">
        <v>43</v>
      </c>
      <c r="B22" s="7">
        <v>-4.2000000000000003E-2</v>
      </c>
      <c r="C22" s="7">
        <v>-4.2000000000000003E-2</v>
      </c>
      <c r="D22" s="7">
        <f t="shared" si="2"/>
        <v>0</v>
      </c>
      <c r="F22" s="15" t="s">
        <v>43</v>
      </c>
      <c r="G22" s="7">
        <v>0.14399999999999999</v>
      </c>
      <c r="H22" s="7">
        <v>0.14399999999999999</v>
      </c>
      <c r="I22" s="7">
        <f t="shared" si="3"/>
        <v>0</v>
      </c>
    </row>
    <row r="23" spans="1:9">
      <c r="A23" s="15" t="s">
        <v>44</v>
      </c>
      <c r="B23" s="7" t="s">
        <v>45</v>
      </c>
      <c r="C23" s="7" t="s">
        <v>45</v>
      </c>
      <c r="D23" s="7" t="s">
        <v>46</v>
      </c>
      <c r="F23" s="15" t="s">
        <v>44</v>
      </c>
      <c r="G23" s="17">
        <v>0.99399999999999999</v>
      </c>
      <c r="H23" s="17">
        <v>0.99399999999999999</v>
      </c>
      <c r="I23" s="7" t="s">
        <v>46</v>
      </c>
    </row>
    <row r="25" spans="1:9">
      <c r="A25" s="30" t="s">
        <v>12</v>
      </c>
      <c r="B25" s="30"/>
      <c r="C25" s="30"/>
      <c r="D25" s="30"/>
      <c r="F25" s="30" t="s">
        <v>48</v>
      </c>
      <c r="G25" s="30"/>
      <c r="H25" s="30"/>
      <c r="I25" s="30"/>
    </row>
    <row r="26" spans="1:9">
      <c r="A26" s="14" t="s">
        <v>32</v>
      </c>
      <c r="B26" s="14" t="s">
        <v>33</v>
      </c>
      <c r="C26" s="14" t="s">
        <v>34</v>
      </c>
      <c r="D26" s="14" t="s">
        <v>35</v>
      </c>
      <c r="F26" s="14" t="s">
        <v>32</v>
      </c>
      <c r="G26" s="14" t="s">
        <v>33</v>
      </c>
      <c r="H26" s="14" t="s">
        <v>34</v>
      </c>
      <c r="I26" s="14" t="s">
        <v>35</v>
      </c>
    </row>
    <row r="27" spans="1:9">
      <c r="A27" s="15" t="s">
        <v>36</v>
      </c>
      <c r="B27" s="7">
        <v>122</v>
      </c>
      <c r="C27" s="7">
        <v>128</v>
      </c>
      <c r="D27" s="7">
        <f>C27-B27</f>
        <v>6</v>
      </c>
      <c r="F27" s="15" t="s">
        <v>36</v>
      </c>
      <c r="G27" s="7">
        <v>121</v>
      </c>
      <c r="H27" s="7">
        <v>127</v>
      </c>
      <c r="I27" s="7">
        <f>H27-G27</f>
        <v>6</v>
      </c>
    </row>
    <row r="28" spans="1:9">
      <c r="A28" s="15" t="s">
        <v>37</v>
      </c>
      <c r="B28" s="7">
        <v>5.03</v>
      </c>
      <c r="C28" s="7">
        <v>5.05</v>
      </c>
      <c r="D28" s="7">
        <f t="shared" ref="D28:D34" si="4">C28-B28</f>
        <v>1.9999999999999574E-2</v>
      </c>
      <c r="F28" s="15" t="s">
        <v>37</v>
      </c>
      <c r="G28" s="7">
        <v>5.36</v>
      </c>
      <c r="H28" s="7">
        <v>5.39</v>
      </c>
      <c r="I28" s="7">
        <f t="shared" ref="I28:I34" si="5">H28-G28</f>
        <v>2.9999999999999361E-2</v>
      </c>
    </row>
    <row r="29" spans="1:9">
      <c r="A29" s="15" t="s">
        <v>38</v>
      </c>
      <c r="B29" s="7">
        <v>4.84</v>
      </c>
      <c r="C29" s="7">
        <v>4.88</v>
      </c>
      <c r="D29" s="7">
        <f t="shared" si="4"/>
        <v>4.0000000000000036E-2</v>
      </c>
      <c r="F29" s="15" t="s">
        <v>38</v>
      </c>
      <c r="G29" s="7">
        <v>5.32</v>
      </c>
      <c r="H29" s="7">
        <v>5.35</v>
      </c>
      <c r="I29" s="7">
        <f t="shared" si="5"/>
        <v>2.9999999999999361E-2</v>
      </c>
    </row>
    <row r="30" spans="1:9">
      <c r="A30" s="15" t="s">
        <v>39</v>
      </c>
      <c r="B30" s="7">
        <v>0.48</v>
      </c>
      <c r="C30" s="7">
        <v>0.41</v>
      </c>
      <c r="D30" s="7">
        <f t="shared" si="4"/>
        <v>-7.0000000000000007E-2</v>
      </c>
      <c r="F30" s="15" t="s">
        <v>39</v>
      </c>
      <c r="G30" s="7">
        <v>0.56000000000000005</v>
      </c>
      <c r="H30" s="7">
        <v>0.57999999999999996</v>
      </c>
      <c r="I30" s="7">
        <f t="shared" si="5"/>
        <v>1.9999999999999907E-2</v>
      </c>
    </row>
    <row r="31" spans="1:9">
      <c r="A31" s="15" t="s">
        <v>40</v>
      </c>
      <c r="B31" s="16">
        <v>4.1399999999999997</v>
      </c>
      <c r="C31" s="7">
        <v>4.1399999999999997</v>
      </c>
      <c r="D31" s="7">
        <f t="shared" si="4"/>
        <v>0</v>
      </c>
      <c r="F31" s="15" t="s">
        <v>40</v>
      </c>
      <c r="G31" s="16">
        <v>4.41</v>
      </c>
      <c r="H31" s="7">
        <v>4.41</v>
      </c>
      <c r="I31" s="7">
        <f t="shared" si="5"/>
        <v>0</v>
      </c>
    </row>
    <row r="32" spans="1:9">
      <c r="A32" s="15" t="s">
        <v>41</v>
      </c>
      <c r="B32" s="16">
        <v>6.4</v>
      </c>
      <c r="C32" s="7">
        <v>6.4</v>
      </c>
      <c r="D32" s="7">
        <f t="shared" si="4"/>
        <v>0</v>
      </c>
      <c r="F32" s="15" t="s">
        <v>41</v>
      </c>
      <c r="G32" s="16">
        <v>6.96</v>
      </c>
      <c r="H32" s="7">
        <v>6.96</v>
      </c>
      <c r="I32" s="7">
        <f t="shared" si="5"/>
        <v>0</v>
      </c>
    </row>
    <row r="33" spans="1:9">
      <c r="A33" s="15" t="s">
        <v>42</v>
      </c>
      <c r="B33" s="7">
        <v>2.2599999999999998</v>
      </c>
      <c r="C33" s="7">
        <v>2.2599999999999998</v>
      </c>
      <c r="D33" s="7">
        <f t="shared" si="4"/>
        <v>0</v>
      </c>
      <c r="F33" s="15" t="s">
        <v>42</v>
      </c>
      <c r="G33" s="7">
        <v>2.5499999999999998</v>
      </c>
      <c r="H33" s="7">
        <v>2.5499999999999998</v>
      </c>
      <c r="I33" s="7">
        <f t="shared" si="5"/>
        <v>0</v>
      </c>
    </row>
    <row r="34" spans="1:9">
      <c r="A34" s="15" t="s">
        <v>43</v>
      </c>
      <c r="B34" s="7">
        <v>3.5999999999999997E-2</v>
      </c>
      <c r="C34" s="7">
        <v>3.5000000000000003E-2</v>
      </c>
      <c r="D34" s="7">
        <f t="shared" si="4"/>
        <v>-9.9999999999999395E-4</v>
      </c>
      <c r="F34" s="15" t="s">
        <v>43</v>
      </c>
      <c r="G34" s="7">
        <v>8.5000000000000006E-2</v>
      </c>
      <c r="H34" s="7">
        <v>8.5999999999999993E-2</v>
      </c>
      <c r="I34" s="7">
        <f t="shared" si="5"/>
        <v>9.9999999999998701E-4</v>
      </c>
    </row>
    <row r="35" spans="1:9">
      <c r="A35" s="15" t="s">
        <v>44</v>
      </c>
      <c r="B35" s="18">
        <v>0.91</v>
      </c>
      <c r="C35" s="18">
        <v>0.92</v>
      </c>
      <c r="D35" s="7" t="s">
        <v>49</v>
      </c>
      <c r="F35" s="15" t="s">
        <v>44</v>
      </c>
      <c r="G35" s="18">
        <v>0.87</v>
      </c>
      <c r="H35" s="18">
        <v>0.88</v>
      </c>
      <c r="I35" s="7" t="s">
        <v>49</v>
      </c>
    </row>
    <row r="37" spans="1:9">
      <c r="A37" s="30" t="s">
        <v>14</v>
      </c>
      <c r="B37" s="30"/>
      <c r="C37" s="30"/>
      <c r="D37" s="30"/>
      <c r="F37" s="30" t="s">
        <v>15</v>
      </c>
      <c r="G37" s="30"/>
      <c r="H37" s="30"/>
      <c r="I37" s="30"/>
    </row>
    <row r="38" spans="1:9">
      <c r="A38" s="14" t="s">
        <v>32</v>
      </c>
      <c r="B38" s="14" t="s">
        <v>33</v>
      </c>
      <c r="C38" s="14" t="s">
        <v>34</v>
      </c>
      <c r="D38" s="14" t="s">
        <v>35</v>
      </c>
      <c r="F38" s="14" t="s">
        <v>32</v>
      </c>
      <c r="G38" s="14" t="s">
        <v>33</v>
      </c>
      <c r="H38" s="14" t="s">
        <v>34</v>
      </c>
      <c r="I38" s="14" t="s">
        <v>35</v>
      </c>
    </row>
    <row r="39" spans="1:9">
      <c r="A39" s="15" t="s">
        <v>36</v>
      </c>
      <c r="B39" s="7">
        <v>105</v>
      </c>
      <c r="C39" s="7">
        <v>114</v>
      </c>
      <c r="D39" s="7">
        <f>C39-B39</f>
        <v>9</v>
      </c>
      <c r="F39" s="15" t="s">
        <v>36</v>
      </c>
      <c r="G39" s="7">
        <v>100</v>
      </c>
      <c r="H39" s="7">
        <v>112</v>
      </c>
      <c r="I39" s="7">
        <f>H39-G39</f>
        <v>12</v>
      </c>
    </row>
    <row r="40" spans="1:9">
      <c r="A40" s="15" t="s">
        <v>37</v>
      </c>
      <c r="B40" s="7">
        <v>37.630000000000003</v>
      </c>
      <c r="C40" s="7">
        <v>37.880000000000003</v>
      </c>
      <c r="D40" s="7">
        <f t="shared" ref="D40:D46" si="6">C40-B40</f>
        <v>0.25</v>
      </c>
      <c r="F40" s="15" t="s">
        <v>37</v>
      </c>
      <c r="G40" s="7">
        <v>3.05</v>
      </c>
      <c r="H40" s="7">
        <v>3.08</v>
      </c>
      <c r="I40" s="7">
        <f t="shared" ref="I40:I46" si="7">H40-G40</f>
        <v>3.0000000000000249E-2</v>
      </c>
    </row>
    <row r="41" spans="1:9">
      <c r="A41" s="15" t="s">
        <v>38</v>
      </c>
      <c r="B41" s="7">
        <v>37.11</v>
      </c>
      <c r="C41" s="7">
        <v>37.549999999999997</v>
      </c>
      <c r="D41" s="7">
        <f t="shared" si="6"/>
        <v>0.43999999999999773</v>
      </c>
      <c r="F41" s="15" t="s">
        <v>38</v>
      </c>
      <c r="G41" s="7">
        <v>3.07</v>
      </c>
      <c r="H41" s="7">
        <v>3.1</v>
      </c>
      <c r="I41" s="7">
        <f t="shared" si="7"/>
        <v>3.0000000000000249E-2</v>
      </c>
    </row>
    <row r="42" spans="1:9">
      <c r="A42" s="15" t="s">
        <v>39</v>
      </c>
      <c r="B42" s="7">
        <v>6.33</v>
      </c>
      <c r="C42" s="7">
        <v>6.28</v>
      </c>
      <c r="D42" s="7">
        <f t="shared" si="6"/>
        <v>-4.9999999999999822E-2</v>
      </c>
      <c r="F42" s="15" t="s">
        <v>39</v>
      </c>
      <c r="G42" s="7">
        <v>0.48</v>
      </c>
      <c r="H42" s="7">
        <v>0.46</v>
      </c>
      <c r="I42" s="7">
        <f t="shared" si="7"/>
        <v>-1.9999999999999962E-2</v>
      </c>
    </row>
    <row r="43" spans="1:9">
      <c r="A43" s="15" t="s">
        <v>40</v>
      </c>
      <c r="B43" s="16">
        <v>26.93</v>
      </c>
      <c r="C43" s="7">
        <v>26.93</v>
      </c>
      <c r="D43" s="7">
        <f t="shared" si="6"/>
        <v>0</v>
      </c>
      <c r="F43" s="15" t="s">
        <v>40</v>
      </c>
      <c r="G43" s="16">
        <v>1.9</v>
      </c>
      <c r="H43" s="7">
        <v>1.9</v>
      </c>
      <c r="I43" s="7">
        <f t="shared" si="7"/>
        <v>0</v>
      </c>
    </row>
    <row r="44" spans="1:9">
      <c r="A44" s="15" t="s">
        <v>41</v>
      </c>
      <c r="B44" s="16">
        <v>53.37</v>
      </c>
      <c r="C44" s="7">
        <v>53.37</v>
      </c>
      <c r="D44" s="7">
        <f t="shared" si="6"/>
        <v>0</v>
      </c>
      <c r="F44" s="15" t="s">
        <v>41</v>
      </c>
      <c r="G44" s="16">
        <v>4.5599999999999996</v>
      </c>
      <c r="H44" s="7">
        <v>4.5599999999999996</v>
      </c>
      <c r="I44" s="7">
        <f t="shared" si="7"/>
        <v>0</v>
      </c>
    </row>
    <row r="45" spans="1:9">
      <c r="A45" s="15" t="s">
        <v>42</v>
      </c>
      <c r="B45" s="7">
        <v>26.44</v>
      </c>
      <c r="C45" s="7">
        <v>26.44</v>
      </c>
      <c r="D45" s="7">
        <f t="shared" si="6"/>
        <v>0</v>
      </c>
      <c r="F45" s="15" t="s">
        <v>42</v>
      </c>
      <c r="G45" s="7">
        <v>2.66</v>
      </c>
      <c r="H45" s="7">
        <v>2.66</v>
      </c>
      <c r="I45" s="7">
        <f t="shared" si="7"/>
        <v>0</v>
      </c>
    </row>
    <row r="46" spans="1:9">
      <c r="A46" s="15" t="s">
        <v>43</v>
      </c>
      <c r="B46" s="7">
        <v>1.05</v>
      </c>
      <c r="C46" s="7">
        <v>1.05</v>
      </c>
      <c r="D46" s="7">
        <f t="shared" si="6"/>
        <v>0</v>
      </c>
      <c r="F46" s="15" t="s">
        <v>43</v>
      </c>
      <c r="G46" s="7">
        <v>0.06</v>
      </c>
      <c r="H46" s="7">
        <v>0.06</v>
      </c>
      <c r="I46" s="7">
        <f t="shared" si="7"/>
        <v>0</v>
      </c>
    </row>
    <row r="47" spans="1:9">
      <c r="A47" s="15" t="s">
        <v>44</v>
      </c>
      <c r="B47" s="18" t="s">
        <v>50</v>
      </c>
      <c r="C47" s="18" t="s">
        <v>50</v>
      </c>
      <c r="D47" s="7" t="s">
        <v>46</v>
      </c>
      <c r="F47" s="15" t="s">
        <v>44</v>
      </c>
      <c r="G47" s="7" t="s">
        <v>51</v>
      </c>
      <c r="H47" s="18" t="s">
        <v>52</v>
      </c>
      <c r="I47" s="7" t="s">
        <v>46</v>
      </c>
    </row>
    <row r="49" spans="1:9">
      <c r="A49" s="30" t="s">
        <v>16</v>
      </c>
      <c r="B49" s="30"/>
      <c r="C49" s="30"/>
      <c r="D49" s="30"/>
      <c r="F49" s="30" t="s">
        <v>17</v>
      </c>
      <c r="G49" s="30"/>
      <c r="H49" s="30"/>
      <c r="I49" s="30"/>
    </row>
    <row r="50" spans="1:9">
      <c r="A50" s="14" t="s">
        <v>32</v>
      </c>
      <c r="B50" s="14" t="s">
        <v>33</v>
      </c>
      <c r="C50" s="14" t="s">
        <v>34</v>
      </c>
      <c r="D50" s="14" t="s">
        <v>35</v>
      </c>
      <c r="F50" s="14" t="s">
        <v>32</v>
      </c>
      <c r="G50" s="14" t="s">
        <v>33</v>
      </c>
      <c r="H50" s="14" t="s">
        <v>34</v>
      </c>
      <c r="I50" s="14" t="s">
        <v>35</v>
      </c>
    </row>
    <row r="51" spans="1:9">
      <c r="A51" s="15" t="s">
        <v>36</v>
      </c>
      <c r="B51" s="7">
        <v>194</v>
      </c>
      <c r="C51" s="7">
        <v>200</v>
      </c>
      <c r="D51" s="7">
        <f>C51-B51</f>
        <v>6</v>
      </c>
      <c r="F51" s="15" t="s">
        <v>36</v>
      </c>
      <c r="G51" s="7">
        <v>106</v>
      </c>
      <c r="H51" s="7">
        <v>112</v>
      </c>
      <c r="I51" s="7">
        <f>H51-G51</f>
        <v>6</v>
      </c>
    </row>
    <row r="52" spans="1:9">
      <c r="A52" s="15" t="s">
        <v>37</v>
      </c>
      <c r="B52" s="7">
        <v>40.729999999999997</v>
      </c>
      <c r="C52" s="7">
        <v>41.01</v>
      </c>
      <c r="D52" s="7">
        <f t="shared" ref="D52:D58" si="8">C52-B52</f>
        <v>0.28000000000000114</v>
      </c>
      <c r="F52" s="15" t="s">
        <v>37</v>
      </c>
      <c r="G52" s="7">
        <v>7.15</v>
      </c>
      <c r="H52" s="7">
        <v>7.18</v>
      </c>
      <c r="I52" s="7">
        <f t="shared" ref="I52:I58" si="9">H52-G52</f>
        <v>2.9999999999999361E-2</v>
      </c>
    </row>
    <row r="53" spans="1:9">
      <c r="A53" s="15" t="s">
        <v>38</v>
      </c>
      <c r="B53" s="7">
        <v>41.52</v>
      </c>
      <c r="C53" s="7">
        <v>41.87</v>
      </c>
      <c r="D53" s="7">
        <f t="shared" si="8"/>
        <v>0.34999999999999432</v>
      </c>
      <c r="F53" s="15" t="s">
        <v>38</v>
      </c>
      <c r="G53" s="7">
        <v>7.03</v>
      </c>
      <c r="H53" s="7">
        <v>7.06</v>
      </c>
      <c r="I53" s="7">
        <f t="shared" si="9"/>
        <v>2.9999999999999361E-2</v>
      </c>
    </row>
    <row r="54" spans="1:9">
      <c r="A54" s="15" t="s">
        <v>39</v>
      </c>
      <c r="B54" s="7">
        <v>9.1199999999999992</v>
      </c>
      <c r="C54" s="7">
        <v>9.36</v>
      </c>
      <c r="D54" s="7">
        <f t="shared" si="8"/>
        <v>0.24000000000000021</v>
      </c>
      <c r="F54" s="15" t="s">
        <v>39</v>
      </c>
      <c r="G54" s="7">
        <v>0.54</v>
      </c>
      <c r="H54" s="7">
        <v>0.56999999999999995</v>
      </c>
      <c r="I54" s="7">
        <f t="shared" si="9"/>
        <v>2.9999999999999916E-2</v>
      </c>
    </row>
    <row r="55" spans="1:9">
      <c r="A55" s="15" t="s">
        <v>40</v>
      </c>
      <c r="B55" s="16">
        <v>27.19</v>
      </c>
      <c r="C55" s="7">
        <v>27.19</v>
      </c>
      <c r="D55" s="7">
        <f t="shared" si="8"/>
        <v>0</v>
      </c>
      <c r="F55" s="15" t="s">
        <v>40</v>
      </c>
      <c r="G55" s="16">
        <v>5.18</v>
      </c>
      <c r="H55" s="7">
        <v>5.18</v>
      </c>
      <c r="I55" s="7">
        <f t="shared" si="9"/>
        <v>0</v>
      </c>
    </row>
    <row r="56" spans="1:9">
      <c r="A56" s="15" t="s">
        <v>41</v>
      </c>
      <c r="B56" s="16">
        <v>59.97</v>
      </c>
      <c r="C56" s="7">
        <v>59.97</v>
      </c>
      <c r="D56" s="7">
        <f t="shared" si="8"/>
        <v>0</v>
      </c>
      <c r="F56" s="15" t="s">
        <v>41</v>
      </c>
      <c r="G56" s="16">
        <v>9.14</v>
      </c>
      <c r="H56" s="7">
        <v>9.14</v>
      </c>
      <c r="I56" s="7">
        <f t="shared" si="9"/>
        <v>0</v>
      </c>
    </row>
    <row r="57" spans="1:9">
      <c r="A57" s="15" t="s">
        <v>42</v>
      </c>
      <c r="B57" s="7">
        <v>32.78</v>
      </c>
      <c r="C57" s="7">
        <v>32.78</v>
      </c>
      <c r="D57" s="7">
        <f t="shared" si="8"/>
        <v>0</v>
      </c>
      <c r="F57" s="15" t="s">
        <v>42</v>
      </c>
      <c r="G57" s="7">
        <v>3.96</v>
      </c>
      <c r="H57" s="7">
        <v>3.96</v>
      </c>
      <c r="I57" s="7">
        <f t="shared" si="9"/>
        <v>0</v>
      </c>
    </row>
    <row r="58" spans="1:9">
      <c r="A58" s="15" t="s">
        <v>43</v>
      </c>
      <c r="B58" s="7">
        <v>1.55</v>
      </c>
      <c r="C58" s="7">
        <v>1.55</v>
      </c>
      <c r="D58" s="7">
        <f t="shared" si="8"/>
        <v>0</v>
      </c>
      <c r="F58" s="15" t="s">
        <v>43</v>
      </c>
      <c r="G58" s="7">
        <v>0.13</v>
      </c>
      <c r="H58" s="7">
        <v>0.13</v>
      </c>
      <c r="I58" s="7">
        <f t="shared" si="9"/>
        <v>0</v>
      </c>
    </row>
    <row r="59" spans="1:9">
      <c r="A59" s="15" t="s">
        <v>44</v>
      </c>
      <c r="B59" s="7" t="s">
        <v>53</v>
      </c>
      <c r="C59" s="7" t="s">
        <v>53</v>
      </c>
      <c r="D59" s="7" t="s">
        <v>46</v>
      </c>
      <c r="F59" s="15" t="s">
        <v>44</v>
      </c>
      <c r="G59" s="7" t="s">
        <v>54</v>
      </c>
      <c r="H59" s="7" t="s">
        <v>54</v>
      </c>
      <c r="I59" s="7" t="s">
        <v>46</v>
      </c>
    </row>
    <row r="61" spans="1:9">
      <c r="A61" s="30" t="s">
        <v>18</v>
      </c>
      <c r="B61" s="30"/>
      <c r="C61" s="30"/>
      <c r="D61" s="30"/>
      <c r="F61" s="30" t="s">
        <v>19</v>
      </c>
      <c r="G61" s="30"/>
      <c r="H61" s="30"/>
      <c r="I61" s="30"/>
    </row>
    <row r="62" spans="1:9">
      <c r="A62" s="14" t="s">
        <v>32</v>
      </c>
      <c r="B62" s="14" t="s">
        <v>33</v>
      </c>
      <c r="C62" s="14" t="s">
        <v>34</v>
      </c>
      <c r="D62" s="14" t="s">
        <v>35</v>
      </c>
      <c r="F62" s="14" t="s">
        <v>32</v>
      </c>
      <c r="G62" s="14" t="s">
        <v>33</v>
      </c>
      <c r="H62" s="14" t="s">
        <v>34</v>
      </c>
      <c r="I62" s="14" t="s">
        <v>35</v>
      </c>
    </row>
    <row r="63" spans="1:9">
      <c r="A63" s="15" t="s">
        <v>36</v>
      </c>
      <c r="B63" s="7">
        <v>102</v>
      </c>
      <c r="C63" s="7">
        <v>107</v>
      </c>
      <c r="D63" s="7">
        <f>C63-B63</f>
        <v>5</v>
      </c>
      <c r="F63" s="15" t="s">
        <v>36</v>
      </c>
      <c r="G63" s="7">
        <v>149</v>
      </c>
      <c r="H63" s="7">
        <v>154</v>
      </c>
      <c r="I63" s="7">
        <f>H63-G63</f>
        <v>5</v>
      </c>
    </row>
    <row r="64" spans="1:9">
      <c r="A64" s="15" t="s">
        <v>37</v>
      </c>
      <c r="B64" s="7">
        <v>98.54</v>
      </c>
      <c r="C64" s="7">
        <v>98.91</v>
      </c>
      <c r="D64" s="7">
        <f t="shared" ref="D64:D70" si="10">C64-B64</f>
        <v>0.36999999999999034</v>
      </c>
      <c r="F64" s="15" t="s">
        <v>37</v>
      </c>
      <c r="G64" s="7">
        <v>60.89</v>
      </c>
      <c r="H64" s="7">
        <v>60.96</v>
      </c>
      <c r="I64" s="7">
        <f t="shared" ref="I64:I70" si="11">H64-G64</f>
        <v>7.0000000000000284E-2</v>
      </c>
    </row>
    <row r="65" spans="1:9">
      <c r="A65" s="15" t="s">
        <v>38</v>
      </c>
      <c r="B65" s="7">
        <v>96.95</v>
      </c>
      <c r="C65" s="7">
        <v>97.4</v>
      </c>
      <c r="D65" s="7">
        <f t="shared" si="10"/>
        <v>0.45000000000000284</v>
      </c>
      <c r="F65" s="15" t="s">
        <v>38</v>
      </c>
      <c r="G65" s="7">
        <v>60.12</v>
      </c>
      <c r="H65" s="7">
        <v>60.38</v>
      </c>
      <c r="I65" s="7">
        <f t="shared" si="11"/>
        <v>0.26000000000000512</v>
      </c>
    </row>
    <row r="66" spans="1:9">
      <c r="A66" s="15" t="s">
        <v>39</v>
      </c>
      <c r="B66" s="7">
        <v>6.93</v>
      </c>
      <c r="C66" s="7">
        <v>7.11</v>
      </c>
      <c r="D66" s="7">
        <f t="shared" si="10"/>
        <v>0.1800000000000006</v>
      </c>
      <c r="F66" s="15" t="s">
        <v>39</v>
      </c>
      <c r="G66" s="7">
        <v>3.54</v>
      </c>
      <c r="H66" s="7">
        <v>3.51</v>
      </c>
      <c r="I66" s="7">
        <f t="shared" si="11"/>
        <v>-3.0000000000000249E-2</v>
      </c>
    </row>
    <row r="67" spans="1:9">
      <c r="A67" s="15" t="s">
        <v>40</v>
      </c>
      <c r="B67" s="16">
        <v>89.7</v>
      </c>
      <c r="C67" s="7">
        <v>89.7</v>
      </c>
      <c r="D67" s="7">
        <f t="shared" si="10"/>
        <v>0</v>
      </c>
      <c r="F67" s="15" t="s">
        <v>40</v>
      </c>
      <c r="G67" s="16">
        <v>49.7</v>
      </c>
      <c r="H67" s="7">
        <v>49.7</v>
      </c>
      <c r="I67" s="7">
        <f t="shared" si="11"/>
        <v>0</v>
      </c>
    </row>
    <row r="68" spans="1:9">
      <c r="A68" s="15" t="s">
        <v>41</v>
      </c>
      <c r="B68" s="16">
        <v>115.37</v>
      </c>
      <c r="C68" s="7">
        <v>115.37</v>
      </c>
      <c r="D68" s="7">
        <f t="shared" si="10"/>
        <v>0</v>
      </c>
      <c r="F68" s="15" t="s">
        <v>41</v>
      </c>
      <c r="G68" s="16">
        <v>70.150000000000006</v>
      </c>
      <c r="H68" s="7">
        <v>70.16</v>
      </c>
      <c r="I68" s="7">
        <f t="shared" si="11"/>
        <v>9.9999999999909051E-3</v>
      </c>
    </row>
    <row r="69" spans="1:9">
      <c r="A69" s="15" t="s">
        <v>42</v>
      </c>
      <c r="B69" s="7">
        <v>25.67</v>
      </c>
      <c r="C69" s="7">
        <v>25.67</v>
      </c>
      <c r="D69" s="7">
        <f t="shared" si="10"/>
        <v>0</v>
      </c>
      <c r="F69" s="15" t="s">
        <v>42</v>
      </c>
      <c r="G69" s="7">
        <v>20.45</v>
      </c>
      <c r="H69" s="7">
        <v>20.45</v>
      </c>
      <c r="I69" s="7">
        <f t="shared" si="11"/>
        <v>0</v>
      </c>
    </row>
    <row r="70" spans="1:9">
      <c r="A70" s="15" t="s">
        <v>43</v>
      </c>
      <c r="B70" s="7">
        <v>1.85</v>
      </c>
      <c r="C70" s="7">
        <v>1.85</v>
      </c>
      <c r="D70" s="7">
        <f t="shared" si="10"/>
        <v>0</v>
      </c>
      <c r="F70" s="15" t="s">
        <v>43</v>
      </c>
      <c r="G70" s="7">
        <v>0.71</v>
      </c>
      <c r="H70" s="7">
        <v>0.71</v>
      </c>
      <c r="I70" s="7">
        <f t="shared" si="11"/>
        <v>0</v>
      </c>
    </row>
    <row r="71" spans="1:9">
      <c r="A71" s="15" t="s">
        <v>44</v>
      </c>
      <c r="B71" s="7" t="s">
        <v>55</v>
      </c>
      <c r="C71" s="7" t="s">
        <v>55</v>
      </c>
      <c r="D71" s="7" t="s">
        <v>46</v>
      </c>
      <c r="F71" s="15" t="s">
        <v>44</v>
      </c>
      <c r="G71" s="7" t="s">
        <v>56</v>
      </c>
      <c r="H71" s="7" t="s">
        <v>56</v>
      </c>
      <c r="I71" s="7" t="s">
        <v>46</v>
      </c>
    </row>
    <row r="73" spans="1:9">
      <c r="A73" s="30" t="s">
        <v>20</v>
      </c>
      <c r="B73" s="30"/>
      <c r="C73" s="30"/>
      <c r="D73" s="30"/>
      <c r="F73" s="30" t="s">
        <v>21</v>
      </c>
      <c r="G73" s="30"/>
      <c r="H73" s="30"/>
      <c r="I73" s="30"/>
    </row>
    <row r="74" spans="1:9">
      <c r="A74" s="14" t="s">
        <v>32</v>
      </c>
      <c r="B74" s="14" t="s">
        <v>33</v>
      </c>
      <c r="C74" s="14" t="s">
        <v>34</v>
      </c>
      <c r="D74" s="14" t="s">
        <v>35</v>
      </c>
      <c r="F74" s="14" t="s">
        <v>32</v>
      </c>
      <c r="G74" s="14" t="s">
        <v>33</v>
      </c>
      <c r="H74" s="14" t="s">
        <v>34</v>
      </c>
      <c r="I74" s="14" t="s">
        <v>35</v>
      </c>
    </row>
    <row r="75" spans="1:9">
      <c r="A75" s="15" t="s">
        <v>36</v>
      </c>
      <c r="B75" s="7">
        <v>75</v>
      </c>
      <c r="C75" s="7">
        <v>84</v>
      </c>
      <c r="D75" s="7">
        <f>C75-B75</f>
        <v>9</v>
      </c>
      <c r="F75" s="15" t="s">
        <v>36</v>
      </c>
      <c r="G75" s="7">
        <v>78</v>
      </c>
      <c r="H75" s="7">
        <v>85</v>
      </c>
      <c r="I75" s="7">
        <f>H75-G75</f>
        <v>7</v>
      </c>
    </row>
    <row r="76" spans="1:9">
      <c r="A76" s="15" t="s">
        <v>37</v>
      </c>
      <c r="B76" s="7">
        <v>38.93</v>
      </c>
      <c r="C76" s="7">
        <v>39.01</v>
      </c>
      <c r="D76" s="7">
        <f t="shared" ref="D76:D82" si="12">C76-B76</f>
        <v>7.9999999999998295E-2</v>
      </c>
      <c r="F76" s="15" t="s">
        <v>37</v>
      </c>
      <c r="G76" s="7">
        <v>69.739999999999995</v>
      </c>
      <c r="H76" s="7">
        <v>69.88</v>
      </c>
      <c r="I76" s="7">
        <f t="shared" ref="I76:I82" si="13">H76-G76</f>
        <v>0.14000000000000057</v>
      </c>
    </row>
    <row r="77" spans="1:9">
      <c r="A77" s="15" t="s">
        <v>38</v>
      </c>
      <c r="B77" s="7">
        <v>37.950000000000003</v>
      </c>
      <c r="C77" s="7">
        <v>38</v>
      </c>
      <c r="D77" s="7">
        <f t="shared" si="12"/>
        <v>4.9999999999997158E-2</v>
      </c>
      <c r="F77" s="15" t="s">
        <v>38</v>
      </c>
      <c r="G77" s="7">
        <v>68.64</v>
      </c>
      <c r="H77" s="7">
        <v>68.91</v>
      </c>
      <c r="I77" s="7">
        <f t="shared" si="13"/>
        <v>0.26999999999999602</v>
      </c>
    </row>
    <row r="78" spans="1:9">
      <c r="A78" s="15" t="s">
        <v>39</v>
      </c>
      <c r="B78" s="7">
        <v>2.48</v>
      </c>
      <c r="C78" s="7">
        <v>2.5099999999999998</v>
      </c>
      <c r="D78" s="7">
        <f t="shared" si="12"/>
        <v>2.9999999999999805E-2</v>
      </c>
      <c r="F78" s="15" t="s">
        <v>39</v>
      </c>
      <c r="G78" s="7">
        <v>6.62</v>
      </c>
      <c r="H78" s="7">
        <v>6.7</v>
      </c>
      <c r="I78" s="7">
        <f t="shared" si="13"/>
        <v>8.0000000000000071E-2</v>
      </c>
    </row>
    <row r="79" spans="1:9">
      <c r="A79" s="15" t="s">
        <v>40</v>
      </c>
      <c r="B79" s="16">
        <v>34.270000000000003</v>
      </c>
      <c r="C79" s="7">
        <v>34.270000000000003</v>
      </c>
      <c r="D79" s="7">
        <f t="shared" si="12"/>
        <v>0</v>
      </c>
      <c r="F79" s="15" t="s">
        <v>40</v>
      </c>
      <c r="G79" s="16">
        <v>62.48</v>
      </c>
      <c r="H79" s="16">
        <v>62.48</v>
      </c>
      <c r="I79" s="7">
        <f t="shared" si="13"/>
        <v>0</v>
      </c>
    </row>
    <row r="80" spans="1:9">
      <c r="A80" s="15" t="s">
        <v>41</v>
      </c>
      <c r="B80" s="16">
        <v>43.72</v>
      </c>
      <c r="C80" s="7">
        <v>43.72</v>
      </c>
      <c r="D80" s="7">
        <f t="shared" si="12"/>
        <v>0</v>
      </c>
      <c r="F80" s="15" t="s">
        <v>41</v>
      </c>
      <c r="G80" s="16">
        <v>86.08</v>
      </c>
      <c r="H80" s="16">
        <v>86.08</v>
      </c>
      <c r="I80" s="7">
        <f t="shared" si="13"/>
        <v>0</v>
      </c>
    </row>
    <row r="81" spans="1:9">
      <c r="A81" s="15" t="s">
        <v>42</v>
      </c>
      <c r="B81" s="7">
        <v>9.4499999999999993</v>
      </c>
      <c r="C81" s="7">
        <v>9.4499999999999993</v>
      </c>
      <c r="D81" s="7">
        <f t="shared" si="12"/>
        <v>0</v>
      </c>
      <c r="F81" s="15" t="s">
        <v>42</v>
      </c>
      <c r="G81" s="7">
        <v>24.6</v>
      </c>
      <c r="H81" s="7">
        <v>24.6</v>
      </c>
      <c r="I81" s="7">
        <f t="shared" si="13"/>
        <v>0</v>
      </c>
    </row>
    <row r="82" spans="1:9">
      <c r="A82" s="15" t="s">
        <v>43</v>
      </c>
      <c r="B82" s="7">
        <v>0.5</v>
      </c>
      <c r="C82" s="7">
        <v>0.5</v>
      </c>
      <c r="D82" s="7">
        <f t="shared" si="12"/>
        <v>0</v>
      </c>
      <c r="F82" s="15" t="s">
        <v>43</v>
      </c>
      <c r="G82" s="7">
        <v>1.9</v>
      </c>
      <c r="H82" s="7">
        <v>1.9</v>
      </c>
      <c r="I82" s="7">
        <f t="shared" si="13"/>
        <v>0</v>
      </c>
    </row>
    <row r="83" spans="1:9">
      <c r="A83" s="15" t="s">
        <v>44</v>
      </c>
      <c r="B83" s="7" t="s">
        <v>57</v>
      </c>
      <c r="C83" s="7" t="s">
        <v>57</v>
      </c>
      <c r="D83" s="7" t="s">
        <v>58</v>
      </c>
      <c r="F83" s="15" t="s">
        <v>44</v>
      </c>
      <c r="G83" s="7" t="s">
        <v>55</v>
      </c>
      <c r="H83" s="7" t="s">
        <v>55</v>
      </c>
      <c r="I83" s="7" t="s">
        <v>46</v>
      </c>
    </row>
    <row r="85" spans="1:9">
      <c r="A85" s="30" t="s">
        <v>22</v>
      </c>
      <c r="B85" s="30"/>
      <c r="C85" s="30"/>
      <c r="D85" s="30"/>
      <c r="F85" s="12" t="s">
        <v>23</v>
      </c>
      <c r="G85" s="12"/>
      <c r="H85" s="12"/>
      <c r="I85" s="12"/>
    </row>
    <row r="86" spans="1:9">
      <c r="A86" s="14" t="s">
        <v>32</v>
      </c>
      <c r="B86" s="14" t="s">
        <v>33</v>
      </c>
      <c r="C86" s="14" t="s">
        <v>34</v>
      </c>
      <c r="D86" s="14" t="s">
        <v>35</v>
      </c>
      <c r="F86" s="14" t="s">
        <v>32</v>
      </c>
      <c r="G86" s="14" t="s">
        <v>33</v>
      </c>
      <c r="H86" s="14" t="s">
        <v>34</v>
      </c>
      <c r="I86" s="14" t="s">
        <v>35</v>
      </c>
    </row>
    <row r="87" spans="1:9">
      <c r="A87" s="15" t="s">
        <v>36</v>
      </c>
      <c r="B87" s="7">
        <v>19</v>
      </c>
      <c r="C87" s="7">
        <v>23</v>
      </c>
      <c r="D87" s="7">
        <f>C87-B87</f>
        <v>4</v>
      </c>
      <c r="F87" s="15" t="s">
        <v>36</v>
      </c>
      <c r="G87" s="7">
        <v>60</v>
      </c>
      <c r="H87" s="7">
        <v>71</v>
      </c>
      <c r="I87" s="7">
        <f>H87-G87</f>
        <v>11</v>
      </c>
    </row>
    <row r="88" spans="1:9">
      <c r="A88" s="15" t="s">
        <v>37</v>
      </c>
      <c r="B88" s="7">
        <v>11.92</v>
      </c>
      <c r="C88" s="7">
        <v>11.88</v>
      </c>
      <c r="D88" s="7">
        <f t="shared" ref="D88:D94" si="14">C88-B88</f>
        <v>-3.9999999999999147E-2</v>
      </c>
      <c r="F88" s="15" t="s">
        <v>37</v>
      </c>
      <c r="G88" s="7">
        <v>74.599999999999994</v>
      </c>
      <c r="H88" s="7">
        <v>75.2</v>
      </c>
      <c r="I88" s="7">
        <f t="shared" ref="I88:I92" si="15">H88-G88</f>
        <v>0.60000000000000853</v>
      </c>
    </row>
    <row r="89" spans="1:9">
      <c r="A89" s="15" t="s">
        <v>38</v>
      </c>
      <c r="B89" s="7">
        <v>11.4</v>
      </c>
      <c r="C89" s="7">
        <v>11.37</v>
      </c>
      <c r="D89" s="7">
        <f t="shared" si="14"/>
        <v>-3.0000000000001137E-2</v>
      </c>
      <c r="F89" s="15" t="s">
        <v>38</v>
      </c>
      <c r="G89" s="7">
        <v>73.900000000000006</v>
      </c>
      <c r="H89" s="7">
        <v>74.8</v>
      </c>
      <c r="I89" s="7">
        <f t="shared" si="15"/>
        <v>0.89999999999999147</v>
      </c>
    </row>
    <row r="90" spans="1:9">
      <c r="A90" s="15" t="s">
        <v>39</v>
      </c>
      <c r="B90" s="7">
        <v>1.24</v>
      </c>
      <c r="C90" s="7">
        <v>1.2</v>
      </c>
      <c r="D90" s="7">
        <f t="shared" si="14"/>
        <v>-4.0000000000000036E-2</v>
      </c>
      <c r="F90" s="15" t="s">
        <v>39</v>
      </c>
      <c r="G90" s="7">
        <v>6.8</v>
      </c>
      <c r="H90" s="7">
        <v>7.1</v>
      </c>
      <c r="I90" s="7">
        <f t="shared" si="15"/>
        <v>0.29999999999999982</v>
      </c>
    </row>
    <row r="91" spans="1:9">
      <c r="A91" s="15" t="s">
        <v>40</v>
      </c>
      <c r="B91" s="16">
        <v>10.27</v>
      </c>
      <c r="C91" s="7">
        <v>10.27</v>
      </c>
      <c r="D91" s="7">
        <f t="shared" si="14"/>
        <v>0</v>
      </c>
      <c r="F91" s="15" t="s">
        <v>40</v>
      </c>
      <c r="G91" s="16">
        <v>66.239999999999995</v>
      </c>
      <c r="H91" s="16">
        <v>66.239999999999995</v>
      </c>
      <c r="I91" s="7">
        <f t="shared" si="15"/>
        <v>0</v>
      </c>
    </row>
    <row r="92" spans="1:9">
      <c r="A92" s="15" t="s">
        <v>41</v>
      </c>
      <c r="B92" s="16">
        <v>14.96</v>
      </c>
      <c r="C92" s="7">
        <v>14.96</v>
      </c>
      <c r="D92" s="7">
        <f t="shared" si="14"/>
        <v>0</v>
      </c>
      <c r="F92" s="15" t="s">
        <v>41</v>
      </c>
      <c r="G92" s="16">
        <v>89.76</v>
      </c>
      <c r="H92" s="16">
        <v>89.76</v>
      </c>
      <c r="I92" s="7">
        <f t="shared" si="15"/>
        <v>0</v>
      </c>
    </row>
    <row r="93" spans="1:9">
      <c r="A93" s="15" t="s">
        <v>42</v>
      </c>
      <c r="B93" s="7">
        <v>4.6900000000000004</v>
      </c>
      <c r="C93" s="7">
        <v>4.6900000000000004</v>
      </c>
      <c r="D93" s="7">
        <f t="shared" si="14"/>
        <v>0</v>
      </c>
      <c r="F93" s="15" t="s">
        <v>42</v>
      </c>
      <c r="G93" s="7">
        <v>23.52</v>
      </c>
      <c r="H93" s="7">
        <v>23.52</v>
      </c>
      <c r="I93" s="7">
        <f>H93-G93</f>
        <v>0</v>
      </c>
    </row>
    <row r="94" spans="1:9">
      <c r="A94" s="15" t="s">
        <v>43</v>
      </c>
      <c r="B94" s="7">
        <v>0.63</v>
      </c>
      <c r="C94" s="7">
        <v>0.62</v>
      </c>
      <c r="D94" s="7">
        <f t="shared" si="14"/>
        <v>-1.0000000000000009E-2</v>
      </c>
      <c r="F94" s="15" t="s">
        <v>43</v>
      </c>
      <c r="G94" s="7">
        <v>1.55</v>
      </c>
      <c r="H94" s="7">
        <v>1.55</v>
      </c>
      <c r="I94" s="7">
        <f>H94-G94</f>
        <v>0</v>
      </c>
    </row>
    <row r="95" spans="1:9">
      <c r="A95" s="15" t="s">
        <v>44</v>
      </c>
      <c r="B95" s="18">
        <v>0.9</v>
      </c>
      <c r="C95" s="18">
        <v>0.92</v>
      </c>
      <c r="D95" s="7" t="s">
        <v>58</v>
      </c>
      <c r="F95" s="15" t="s">
        <v>44</v>
      </c>
      <c r="G95" s="7" t="s">
        <v>55</v>
      </c>
      <c r="H95" s="7" t="s">
        <v>55</v>
      </c>
      <c r="I95" s="7" t="s">
        <v>46</v>
      </c>
    </row>
    <row r="97" spans="1:4">
      <c r="A97" s="30" t="s">
        <v>24</v>
      </c>
      <c r="B97" s="30"/>
      <c r="C97" s="30"/>
      <c r="D97" s="30"/>
    </row>
    <row r="98" spans="1:4">
      <c r="A98" s="14" t="s">
        <v>32</v>
      </c>
      <c r="B98" s="14" t="s">
        <v>33</v>
      </c>
      <c r="C98" s="14" t="s">
        <v>34</v>
      </c>
      <c r="D98" s="14" t="s">
        <v>35</v>
      </c>
    </row>
    <row r="99" spans="1:4">
      <c r="A99" s="15" t="s">
        <v>36</v>
      </c>
      <c r="B99" s="7">
        <v>67</v>
      </c>
      <c r="C99" s="7">
        <v>75</v>
      </c>
      <c r="D99" s="7">
        <f>C99-B99</f>
        <v>8</v>
      </c>
    </row>
    <row r="100" spans="1:4">
      <c r="A100" s="15" t="s">
        <v>37</v>
      </c>
      <c r="B100" s="7">
        <v>37.86</v>
      </c>
      <c r="C100" s="7">
        <v>38.020000000000003</v>
      </c>
      <c r="D100" s="7">
        <f t="shared" ref="D100:D106" si="16">C100-B100</f>
        <v>0.16000000000000369</v>
      </c>
    </row>
    <row r="101" spans="1:4">
      <c r="A101" s="15" t="s">
        <v>38</v>
      </c>
      <c r="B101" s="7">
        <v>36.270000000000003</v>
      </c>
      <c r="C101" s="7">
        <v>36.700000000000003</v>
      </c>
      <c r="D101" s="7">
        <f t="shared" si="16"/>
        <v>0.42999999999999972</v>
      </c>
    </row>
    <row r="102" spans="1:4">
      <c r="A102" s="15" t="s">
        <v>39</v>
      </c>
      <c r="B102" s="7">
        <v>3.35</v>
      </c>
      <c r="C102" s="7">
        <v>3.41</v>
      </c>
      <c r="D102" s="7">
        <f t="shared" si="16"/>
        <v>6.0000000000000053E-2</v>
      </c>
    </row>
    <row r="103" spans="1:4">
      <c r="A103" s="15" t="s">
        <v>40</v>
      </c>
      <c r="B103" s="16">
        <v>33.369999999999997</v>
      </c>
      <c r="C103" s="7">
        <v>33.369999999999997</v>
      </c>
      <c r="D103" s="7">
        <f t="shared" si="16"/>
        <v>0</v>
      </c>
    </row>
    <row r="104" spans="1:4">
      <c r="A104" s="15" t="s">
        <v>41</v>
      </c>
      <c r="B104" s="16">
        <v>45.94</v>
      </c>
      <c r="C104" s="7">
        <v>45.94</v>
      </c>
      <c r="D104" s="7">
        <f t="shared" si="16"/>
        <v>0</v>
      </c>
    </row>
    <row r="105" spans="1:4">
      <c r="A105" s="15" t="s">
        <v>42</v>
      </c>
      <c r="B105" s="7">
        <v>12.57</v>
      </c>
      <c r="C105" s="7">
        <v>12.57</v>
      </c>
      <c r="D105" s="7">
        <f t="shared" si="16"/>
        <v>0</v>
      </c>
    </row>
    <row r="106" spans="1:4">
      <c r="A106" s="15" t="s">
        <v>43</v>
      </c>
      <c r="B106" s="7">
        <v>0.79</v>
      </c>
      <c r="C106" s="7">
        <v>0.79</v>
      </c>
      <c r="D106" s="7">
        <f t="shared" si="16"/>
        <v>0</v>
      </c>
    </row>
    <row r="107" spans="1:4">
      <c r="A107" s="15" t="s">
        <v>44</v>
      </c>
      <c r="B107" s="7" t="s">
        <v>56</v>
      </c>
      <c r="C107" s="7" t="s">
        <v>56</v>
      </c>
      <c r="D107" s="7" t="s">
        <v>46</v>
      </c>
    </row>
  </sheetData>
  <mergeCells count="16">
    <mergeCell ref="A73:D73"/>
    <mergeCell ref="F73:I73"/>
    <mergeCell ref="A85:D85"/>
    <mergeCell ref="A97:D97"/>
    <mergeCell ref="A37:D37"/>
    <mergeCell ref="F37:I37"/>
    <mergeCell ref="A49:D49"/>
    <mergeCell ref="F49:I49"/>
    <mergeCell ref="A61:D61"/>
    <mergeCell ref="F61:I61"/>
    <mergeCell ref="A1:D1"/>
    <mergeCell ref="F1:I1"/>
    <mergeCell ref="A13:D13"/>
    <mergeCell ref="F13:I13"/>
    <mergeCell ref="A25:D25"/>
    <mergeCell ref="F25:I2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Segundo Cohen Manrique</dc:creator>
  <cp:keywords/>
  <dc:description/>
  <cp:lastModifiedBy>Carlos Segundo Cohen Manrique</cp:lastModifiedBy>
  <cp:revision/>
  <dcterms:created xsi:type="dcterms:W3CDTF">2026-02-04T21:35:00Z</dcterms:created>
  <dcterms:modified xsi:type="dcterms:W3CDTF">2026-07-22T22:03:38Z</dcterms:modified>
  <cp:category/>
  <cp:contentStatus/>
</cp:coreProperties>
</file>
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13_ncr:1_{54D4F2F4-9614-434B-82A6-315D5EDF3702}" xr6:coauthVersionLast="47" xr6:coauthVersionMax="47" xr10:uidLastSave="{00000000-0000-0000-0000-000000000000}"/>
  <bookViews>
    <workbookView xWindow="-108" yWindow="-108" windowWidth="23256" windowHeight="12456" xr2:uid="{1458FDE8-4D19-421B-891D-6D0D6D634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4" i="1" l="1"/>
  <c r="Z195" i="1" s="1"/>
  <c r="Z152" i="1"/>
  <c r="T89" i="1"/>
  <c r="Z84" i="1"/>
  <c r="AL56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AL26" i="1"/>
</calcChain>
</file>

<file path=xl/sharedStrings.xml><?xml version="1.0" encoding="utf-8"?>
<sst xmlns="http://schemas.openxmlformats.org/spreadsheetml/2006/main" count="70" uniqueCount="24">
  <si>
    <t>Sampues - # 52-II-C-PZ-01</t>
  </si>
  <si>
    <t>Finca el socorro (Ovejas) - # 44-II-D-PO-02</t>
  </si>
  <si>
    <t>Ovejas - # 44-II-D-PO-14</t>
  </si>
  <si>
    <t>Los Palmitos - # 44-IV-B-PZ-01 Piñal</t>
  </si>
  <si>
    <t>Morroa (Bremen) - # 44-IV-C-PZ-01 A</t>
  </si>
  <si>
    <t>Bremen - # 44-IV-C-PZ-01 B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</si>
  <si>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</si>
  <si>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</si>
  <si>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</si>
  <si>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</si>
  <si>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</si>
  <si>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</si>
  <si>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</si>
  <si>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Corozal - # 44-IV-D-PO-14</t>
  </si>
  <si>
    <t>Corozal - # 44-IV-D-PZ-20</t>
  </si>
  <si>
    <t>Corozal - # 44-IV-D-PZ-22</t>
  </si>
  <si>
    <t>Cantagallo - # 52-II-A-PZ-01 Corozal</t>
  </si>
  <si>
    <t>Fecha Medida</t>
  </si>
  <si>
    <t>Nivel Estático (m)</t>
  </si>
  <si>
    <t>Imputado</t>
  </si>
  <si>
    <t>imputado</t>
  </si>
  <si>
    <t>28/24/2010</t>
  </si>
  <si>
    <t>117/09/2024</t>
  </si>
  <si>
    <t>Imputado (on=1/off=0)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</si>
</sst>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"/>
  </numFmts>
  <fonts count="2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B050"/>
      <name val="Aptos Narrow"/>
      <family val="2"/>
    </font>
    <font>
      <sz val="10"/>
      <color theme="9"/>
      <name val="Arial"/>
      <family val="2"/>
    </font>
    <font>
      <sz val="11"/>
      <color theme="9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11"/>
      <color theme="8"/>
      <name val="Aptos Narrow"/>
      <family val="2"/>
      <scheme val="minor"/>
    </font>
    <font>
      <sz val="8"/>
      <color rgb="FFB5CEA8"/>
      <name val="Courier New"/>
      <family val="3"/>
    </font>
    <font>
      <sz val="8"/>
      <color rgb="FFD4D4D4"/>
      <name val="Courier New"/>
      <family val="3"/>
    </font>
    <font>
      <sz val="11"/>
      <name val="Aptos Narrow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66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4" fontId="9" fillId="5" borderId="10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4" fontId="11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wrapText="1"/>
    </xf>
    <xf numFmtId="164" fontId="11" fillId="6" borderId="15" xfId="0" applyNumberFormat="1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14" fontId="12" fillId="4" borderId="10" xfId="0" applyNumberFormat="1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4" fontId="1" fillId="0" borderId="10" xfId="0" applyNumberFormat="1" applyFont="1" applyBorder="1"/>
    <xf numFmtId="0" fontId="1" fillId="0" borderId="12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10" xfId="0" applyNumberFormat="1" applyFont="1" applyBorder="1"/>
    <xf numFmtId="0" fontId="6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wrapText="1"/>
    </xf>
    <xf numFmtId="2" fontId="5" fillId="5" borderId="12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11" fillId="6" borderId="13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5" fontId="5" fillId="5" borderId="12" xfId="0" applyNumberFormat="1" applyFont="1" applyFill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65" fontId="12" fillId="5" borderId="1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164" fontId="5" fillId="6" borderId="13" xfId="0" applyNumberFormat="1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wrapText="1"/>
    </xf>
    <xf numFmtId="14" fontId="5" fillId="0" borderId="19" xfId="0" applyNumberFormat="1" applyFont="1" applyBorder="1" applyAlignment="1">
      <alignment horizontal="center" wrapText="1"/>
    </xf>
    <xf numFmtId="14" fontId="12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0" fontId="11" fillId="5" borderId="14" xfId="0" applyFont="1" applyFill="1" applyBorder="1" applyAlignment="1">
      <alignment horizontal="center" vertical="center" wrapText="1"/>
    </xf>
    <xf numFmtId="164" fontId="5" fillId="6" borderId="19" xfId="0" applyNumberFormat="1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164" fontId="11" fillId="6" borderId="19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164" fontId="11" fillId="5" borderId="10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3" fillId="5" borderId="1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wrapText="1"/>
    </xf>
    <xf numFmtId="164" fontId="5" fillId="6" borderId="2" xfId="0" applyNumberFormat="1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wrapText="1"/>
    </xf>
    <xf numFmtId="14" fontId="14" fillId="0" borderId="16" xfId="0" applyNumberFormat="1" applyFont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5" fillId="0" borderId="0" xfId="0" applyFont="1"/>
    <xf numFmtId="164" fontId="11" fillId="5" borderId="1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64" fontId="11" fillId="0" borderId="20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4" fontId="1" fillId="0" borderId="1" xfId="0" applyNumberFormat="1" applyFont="1" applyBorder="1"/>
    <xf numFmtId="2" fontId="6" fillId="0" borderId="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14" fontId="6" fillId="0" borderId="1" xfId="0" applyNumberFormat="1" applyFont="1" applyBorder="1"/>
    <xf numFmtId="164" fontId="11" fillId="0" borderId="21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6" fillId="0" borderId="20" xfId="0" applyNumberFormat="1" applyFont="1" applyBorder="1"/>
    <xf numFmtId="0" fontId="1" fillId="0" borderId="1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164" fontId="13" fillId="0" borderId="1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164" fontId="5" fillId="0" borderId="10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wrapText="1"/>
    </xf>
    <xf numFmtId="164" fontId="7" fillId="0" borderId="15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9" fillId="5" borderId="10" xfId="0" applyNumberFormat="1" applyFont="1" applyFill="1" applyBorder="1" applyAlignment="1">
      <alignment horizontal="center" vertical="center" wrapText="1"/>
    </xf>
    <xf numFmtId="164" fontId="14" fillId="5" borderId="10" xfId="0" applyNumberFormat="1" applyFont="1" applyFill="1" applyBorder="1" applyAlignment="1">
      <alignment horizontal="center" vertical="center" wrapText="1"/>
    </xf>
    <xf numFmtId="14" fontId="6" fillId="5" borderId="10" xfId="0" applyNumberFormat="1" applyFont="1" applyFill="1" applyBorder="1" applyAlignment="1">
      <alignment horizontal="center" vertical="center"/>
    </xf>
    <xf numFmtId="164" fontId="19" fillId="5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4" fontId="1" fillId="5" borderId="10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 wrapText="1"/>
    </xf>
    <xf numFmtId="164" fontId="11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wrapText="1"/>
    </xf>
    <xf numFmtId="14" fontId="20" fillId="0" borderId="1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14" fontId="0" fillId="0" borderId="10" xfId="0" applyNumberFormat="1" applyBorder="1"/>
    <xf numFmtId="164" fontId="22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11" fillId="9" borderId="0" xfId="0" applyNumberFormat="1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164" fontId="24" fillId="5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43E2-5680-4CF9-877C-BC301A04F0B1}">
  <dimension ref="A1:BA201"/>
  <sheetViews>
    <sheetView tabSelected="1" workbookViewId="0">
      <selection activeCell="D7" sqref="D7"/>
    </sheetView>
  </sheetViews>
  <sheetFormatPr baseColWidth="10" defaultRowHeight="14.4" x14ac:dyDescent="0.3"/>
  <cols>
    <col min="3" max="3" width="13.6640625" customWidth="1"/>
    <col min="6" max="6" width="13.5546875" customWidth="1"/>
    <col min="27" max="27" width="22.109375" customWidth="1"/>
    <col min="30" max="30" width="24.88671875" customWidth="1"/>
    <col min="33" max="33" width="21.44140625" customWidth="1"/>
    <col min="39" max="39" width="20.88671875" customWidth="1"/>
  </cols>
  <sheetData>
    <row r="1" spans="1:53" x14ac:dyDescent="0.3">
      <c r="A1" s="204" t="s">
        <v>0</v>
      </c>
      <c r="B1" s="204"/>
      <c r="C1" s="204"/>
      <c r="D1" s="204" t="s">
        <v>1</v>
      </c>
      <c r="E1" s="204"/>
      <c r="F1" s="204"/>
      <c r="G1" s="204" t="s">
        <v>2</v>
      </c>
      <c r="H1" s="204"/>
      <c r="I1" s="204"/>
      <c r="J1" s="205" t="s">
        <v>3</v>
      </c>
      <c r="K1" s="205"/>
      <c r="L1" s="205"/>
      <c r="M1" s="204" t="s">
        <v>4</v>
      </c>
      <c r="N1" s="204"/>
      <c r="O1" s="204"/>
      <c r="P1" s="204" t="s">
        <v>5</v>
      </c>
      <c r="Q1" s="204"/>
      <c r="R1" s="204"/>
      <c r="S1" s="205" t="s">
        <v>6</v>
      </c>
      <c r="T1" s="205"/>
      <c r="U1" s="205"/>
      <c r="V1" s="204" t="s">
        <v>7</v>
      </c>
      <c r="W1" s="204"/>
      <c r="X1" s="204"/>
      <c r="Y1" s="204" t="s">
        <v>8</v>
      </c>
      <c r="Z1" s="204"/>
      <c r="AA1" s="204"/>
      <c r="AB1" s="204" t="s">
        <v>9</v>
      </c>
      <c r="AC1" s="204"/>
      <c r="AD1" s="204"/>
      <c r="AE1" s="204" t="s">
        <v>10</v>
      </c>
      <c r="AF1" s="204"/>
      <c r="AG1" s="204"/>
      <c r="AH1" s="204" t="s">
        <v>11</v>
      </c>
      <c r="AI1" s="204"/>
      <c r="AJ1" s="204"/>
      <c r="AK1" s="206" t="s">
        <v>12</v>
      </c>
      <c r="AL1" s="206"/>
      <c r="AM1" s="206"/>
      <c r="AN1" s="204" t="s">
        <v>13</v>
      </c>
      <c r="AO1" s="204"/>
      <c r="AP1" s="204"/>
      <c r="AQ1" s="204" t="s">
        <v>14</v>
      </c>
      <c r="AR1" s="204"/>
      <c r="AS1" s="204"/>
      <c r="AT1" s="204" t="s">
        <v>15</v>
      </c>
      <c r="AU1" s="204"/>
      <c r="AV1" s="204"/>
      <c r="AW1" s="204" t="s">
        <v>16</v>
      </c>
      <c r="AX1" s="204"/>
      <c r="AY1" s="204"/>
      <c r="AZ1" s="1"/>
      <c r="BA1" s="1"/>
    </row>
    <row r="2" spans="1:53" ht="28.8" x14ac:dyDescent="0.3">
      <c r="A2" s="2" t="s">
        <v>17</v>
      </c>
      <c r="B2" s="2" t="s">
        <v>18</v>
      </c>
      <c r="C2" s="3" t="s">
        <v>23</v>
      </c>
      <c r="D2" s="4" t="s">
        <v>17</v>
      </c>
      <c r="E2" s="5" t="s">
        <v>18</v>
      </c>
      <c r="F2" s="3" t="s">
        <v>19</v>
      </c>
      <c r="G2" s="6" t="s">
        <v>17</v>
      </c>
      <c r="H2" s="7" t="s">
        <v>18</v>
      </c>
      <c r="I2" s="3" t="s">
        <v>19</v>
      </c>
      <c r="J2" s="8" t="s">
        <v>17</v>
      </c>
      <c r="K2" s="9" t="s">
        <v>18</v>
      </c>
      <c r="L2" s="9" t="s">
        <v>19</v>
      </c>
      <c r="M2" s="9" t="s">
        <v>17</v>
      </c>
      <c r="N2" s="9" t="s">
        <v>18</v>
      </c>
      <c r="O2" s="9" t="s">
        <v>19</v>
      </c>
      <c r="P2" s="10" t="s">
        <v>17</v>
      </c>
      <c r="Q2" s="5" t="s">
        <v>18</v>
      </c>
      <c r="R2" s="3" t="s">
        <v>19</v>
      </c>
      <c r="S2" s="11" t="s">
        <v>17</v>
      </c>
      <c r="T2" s="12" t="s">
        <v>18</v>
      </c>
      <c r="U2" s="3" t="s">
        <v>19</v>
      </c>
      <c r="V2" s="13" t="s">
        <v>17</v>
      </c>
      <c r="W2" s="14" t="s">
        <v>18</v>
      </c>
      <c r="X2" s="14" t="s">
        <v>19</v>
      </c>
      <c r="Y2" s="15" t="s">
        <v>17</v>
      </c>
      <c r="Z2" s="16" t="s">
        <v>18</v>
      </c>
      <c r="AA2" s="16" t="s">
        <v>19</v>
      </c>
      <c r="AB2" s="17" t="s">
        <v>17</v>
      </c>
      <c r="AC2" s="9" t="s">
        <v>18</v>
      </c>
      <c r="AD2" s="9" t="s">
        <v>20</v>
      </c>
      <c r="AE2" s="3" t="s">
        <v>17</v>
      </c>
      <c r="AF2" s="3" t="s">
        <v>18</v>
      </c>
      <c r="AG2" s="18" t="s">
        <v>19</v>
      </c>
      <c r="AH2" s="9" t="s">
        <v>17</v>
      </c>
      <c r="AI2" s="9" t="s">
        <v>18</v>
      </c>
      <c r="AJ2" s="19" t="s">
        <v>19</v>
      </c>
      <c r="AK2" s="17" t="s">
        <v>17</v>
      </c>
      <c r="AL2" s="20" t="s">
        <v>18</v>
      </c>
      <c r="AM2" s="9" t="s">
        <v>19</v>
      </c>
      <c r="AN2" s="9" t="s">
        <v>17</v>
      </c>
      <c r="AO2" s="9" t="s">
        <v>18</v>
      </c>
      <c r="AP2" s="9" t="s">
        <v>19</v>
      </c>
      <c r="AQ2" s="17" t="s">
        <v>17</v>
      </c>
      <c r="AR2" s="20" t="s">
        <v>18</v>
      </c>
      <c r="AS2" s="9" t="s">
        <v>19</v>
      </c>
      <c r="AT2" s="17" t="s">
        <v>17</v>
      </c>
      <c r="AU2" s="20" t="s">
        <v>18</v>
      </c>
      <c r="AV2" s="9" t="s">
        <v>19</v>
      </c>
      <c r="AW2" s="17" t="s">
        <v>17</v>
      </c>
      <c r="AX2" s="20" t="s">
        <v>18</v>
      </c>
      <c r="AY2" s="9" t="s">
        <v>19</v>
      </c>
    </row>
    <row r="3" spans="1:53" x14ac:dyDescent="0.3">
      <c r="A3" s="21">
        <v>40224</v>
      </c>
      <c r="B3" s="22">
        <v>34.450000000000003</v>
      </c>
      <c r="C3" s="23">
        <v>0</v>
      </c>
      <c r="D3" s="24">
        <v>40254</v>
      </c>
      <c r="E3" s="25">
        <v>10.27436</v>
      </c>
      <c r="F3" s="26">
        <v>0</v>
      </c>
      <c r="G3" s="27" t="s">
        <v>21</v>
      </c>
      <c r="H3" s="28">
        <v>8.11</v>
      </c>
      <c r="I3" s="26">
        <v>0</v>
      </c>
      <c r="J3" s="29">
        <v>40224</v>
      </c>
      <c r="K3" s="30">
        <v>72.08</v>
      </c>
      <c r="L3" s="26">
        <v>0</v>
      </c>
      <c r="M3" s="31">
        <v>37635</v>
      </c>
      <c r="N3" s="32">
        <v>5</v>
      </c>
      <c r="O3" s="26">
        <v>0</v>
      </c>
      <c r="P3" s="33">
        <v>37635</v>
      </c>
      <c r="Q3" s="34">
        <v>4.45</v>
      </c>
      <c r="R3" s="26">
        <v>0</v>
      </c>
      <c r="S3" s="35">
        <v>37635</v>
      </c>
      <c r="T3" s="36">
        <v>28.58</v>
      </c>
      <c r="U3" s="26">
        <v>0</v>
      </c>
      <c r="V3" s="37">
        <v>37635</v>
      </c>
      <c r="W3" s="38">
        <v>3.13</v>
      </c>
      <c r="X3" s="39">
        <v>0</v>
      </c>
      <c r="Y3" s="40">
        <v>37657</v>
      </c>
      <c r="Z3" s="41">
        <v>30.9</v>
      </c>
      <c r="AA3" s="26">
        <v>0</v>
      </c>
      <c r="AB3" s="42">
        <v>37657</v>
      </c>
      <c r="AC3" s="43">
        <v>6.57</v>
      </c>
      <c r="AD3" s="26">
        <v>0</v>
      </c>
      <c r="AE3" s="44">
        <v>40190</v>
      </c>
      <c r="AF3" s="45">
        <v>89.7</v>
      </c>
      <c r="AG3" s="26">
        <v>0</v>
      </c>
      <c r="AH3" s="44">
        <v>40190</v>
      </c>
      <c r="AI3" s="45">
        <v>59.55</v>
      </c>
      <c r="AJ3" s="46">
        <v>0</v>
      </c>
      <c r="AK3" s="47">
        <v>40214</v>
      </c>
      <c r="AL3" s="22">
        <v>36.1</v>
      </c>
      <c r="AM3" s="48">
        <v>0</v>
      </c>
      <c r="AN3" s="49">
        <v>40214</v>
      </c>
      <c r="AO3" s="50">
        <v>61.48</v>
      </c>
      <c r="AP3" s="26">
        <v>0</v>
      </c>
      <c r="AQ3" s="51">
        <v>40190</v>
      </c>
      <c r="AR3" s="22">
        <v>11.7</v>
      </c>
      <c r="AS3" s="26">
        <v>0</v>
      </c>
      <c r="AT3" s="52">
        <v>40190</v>
      </c>
      <c r="AU3" s="53">
        <v>66.239999999999995</v>
      </c>
      <c r="AV3" s="26">
        <v>0</v>
      </c>
      <c r="AW3" s="51">
        <v>40214</v>
      </c>
      <c r="AX3" s="22">
        <v>34.17</v>
      </c>
      <c r="AY3" s="48">
        <v>0</v>
      </c>
    </row>
    <row r="4" spans="1:53" x14ac:dyDescent="0.3">
      <c r="A4" s="21">
        <v>40235</v>
      </c>
      <c r="B4" s="22">
        <v>34.979999999999997</v>
      </c>
      <c r="C4" s="23">
        <v>0</v>
      </c>
      <c r="D4" s="54">
        <v>40377</v>
      </c>
      <c r="E4" s="55">
        <v>10.220000000000001</v>
      </c>
      <c r="F4" s="26">
        <v>1</v>
      </c>
      <c r="G4" s="27">
        <v>40433</v>
      </c>
      <c r="H4" s="28">
        <v>8.34</v>
      </c>
      <c r="I4" s="26">
        <v>0</v>
      </c>
      <c r="J4" s="29">
        <v>40235</v>
      </c>
      <c r="K4" s="30">
        <v>72.5</v>
      </c>
      <c r="L4" s="26">
        <v>0</v>
      </c>
      <c r="M4" s="31">
        <v>37720</v>
      </c>
      <c r="N4" s="32">
        <v>5.03</v>
      </c>
      <c r="O4" s="26">
        <v>0</v>
      </c>
      <c r="P4" s="33">
        <v>37720</v>
      </c>
      <c r="Q4" s="34">
        <v>4.55</v>
      </c>
      <c r="R4" s="26">
        <v>0</v>
      </c>
      <c r="S4" s="35">
        <v>37720</v>
      </c>
      <c r="T4" s="36">
        <v>28.2</v>
      </c>
      <c r="U4" s="26">
        <v>0</v>
      </c>
      <c r="V4" s="37">
        <v>37720</v>
      </c>
      <c r="W4" s="38">
        <v>3.71</v>
      </c>
      <c r="X4" s="39">
        <v>0</v>
      </c>
      <c r="Y4" s="40">
        <v>37720</v>
      </c>
      <c r="Z4" s="41">
        <v>29.04</v>
      </c>
      <c r="AA4" s="26">
        <v>0</v>
      </c>
      <c r="AB4" s="42">
        <v>37720</v>
      </c>
      <c r="AC4" s="56">
        <v>6.84</v>
      </c>
      <c r="AD4" s="26">
        <v>0</v>
      </c>
      <c r="AE4" s="44">
        <v>40242</v>
      </c>
      <c r="AF4" s="45">
        <v>91.01</v>
      </c>
      <c r="AG4" s="26">
        <v>0</v>
      </c>
      <c r="AH4" s="44">
        <v>40238</v>
      </c>
      <c r="AI4" s="45">
        <v>60.06</v>
      </c>
      <c r="AJ4" s="46">
        <v>0</v>
      </c>
      <c r="AK4" s="47">
        <v>40235</v>
      </c>
      <c r="AL4" s="22">
        <v>36.299999999999997</v>
      </c>
      <c r="AM4" s="48">
        <v>0</v>
      </c>
      <c r="AN4" s="49">
        <v>40235</v>
      </c>
      <c r="AO4" s="50">
        <v>62.56</v>
      </c>
      <c r="AP4" s="26">
        <v>0</v>
      </c>
      <c r="AQ4" s="57">
        <v>40238</v>
      </c>
      <c r="AR4" s="58">
        <v>13</v>
      </c>
      <c r="AS4" s="26">
        <v>0</v>
      </c>
      <c r="AT4" s="52">
        <v>40235</v>
      </c>
      <c r="AU4" s="53">
        <v>66.900000000000006</v>
      </c>
      <c r="AV4" s="26">
        <v>0</v>
      </c>
      <c r="AW4" s="51">
        <v>40224</v>
      </c>
      <c r="AX4" s="22">
        <v>33.81</v>
      </c>
      <c r="AY4" s="48">
        <v>0</v>
      </c>
    </row>
    <row r="5" spans="1:53" x14ac:dyDescent="0.3">
      <c r="A5" s="21">
        <v>40287</v>
      </c>
      <c r="B5" s="22">
        <v>33.85</v>
      </c>
      <c r="C5" s="23">
        <v>0</v>
      </c>
      <c r="D5" s="24">
        <v>40531</v>
      </c>
      <c r="E5" s="25">
        <v>10.23</v>
      </c>
      <c r="F5" s="26">
        <v>0</v>
      </c>
      <c r="G5" s="59">
        <v>40636</v>
      </c>
      <c r="H5" s="60">
        <v>8.5</v>
      </c>
      <c r="I5" s="26">
        <v>1</v>
      </c>
      <c r="J5" s="29">
        <v>40242</v>
      </c>
      <c r="K5" s="30">
        <v>72.5</v>
      </c>
      <c r="L5" s="26">
        <v>0</v>
      </c>
      <c r="M5" s="31">
        <v>37726</v>
      </c>
      <c r="N5" s="32">
        <v>4.9800000000000004</v>
      </c>
      <c r="O5" s="26">
        <v>0</v>
      </c>
      <c r="P5" s="33">
        <v>37726</v>
      </c>
      <c r="Q5" s="34">
        <v>4.6100000000000003</v>
      </c>
      <c r="R5" s="26">
        <v>0</v>
      </c>
      <c r="S5" s="35">
        <v>37726</v>
      </c>
      <c r="T5" s="36">
        <v>28.3</v>
      </c>
      <c r="U5" s="26">
        <v>0</v>
      </c>
      <c r="V5" s="37">
        <v>37726</v>
      </c>
      <c r="W5" s="38">
        <v>3.23</v>
      </c>
      <c r="X5" s="39">
        <v>0</v>
      </c>
      <c r="Y5" s="40">
        <v>37726</v>
      </c>
      <c r="Z5" s="41">
        <v>30.75</v>
      </c>
      <c r="AA5" s="26">
        <v>0</v>
      </c>
      <c r="AB5" s="42">
        <v>37726</v>
      </c>
      <c r="AC5" s="56">
        <v>7.11</v>
      </c>
      <c r="AD5" s="26">
        <v>0</v>
      </c>
      <c r="AE5" s="44">
        <v>40244</v>
      </c>
      <c r="AF5" s="45">
        <v>91.02</v>
      </c>
      <c r="AG5" s="26">
        <v>0</v>
      </c>
      <c r="AH5" s="44">
        <v>40242</v>
      </c>
      <c r="AI5" s="45">
        <v>61.16</v>
      </c>
      <c r="AJ5" s="46">
        <v>0</v>
      </c>
      <c r="AK5" s="47">
        <v>40287</v>
      </c>
      <c r="AL5" s="22">
        <v>36.549999999999997</v>
      </c>
      <c r="AM5" s="48">
        <v>0</v>
      </c>
      <c r="AN5" s="49">
        <v>40287</v>
      </c>
      <c r="AO5" s="50">
        <v>62.5</v>
      </c>
      <c r="AP5" s="26">
        <v>0</v>
      </c>
      <c r="AQ5" s="61">
        <v>40490</v>
      </c>
      <c r="AR5" s="62">
        <v>11.57</v>
      </c>
      <c r="AS5" s="26">
        <v>1</v>
      </c>
      <c r="AT5" s="52">
        <v>40287</v>
      </c>
      <c r="AU5" s="53">
        <v>66.98</v>
      </c>
      <c r="AV5" s="26">
        <v>0</v>
      </c>
      <c r="AW5" s="51">
        <v>40235</v>
      </c>
      <c r="AX5" s="22">
        <v>34.200000000000003</v>
      </c>
      <c r="AY5" s="48">
        <v>0</v>
      </c>
    </row>
    <row r="6" spans="1:53" x14ac:dyDescent="0.3">
      <c r="A6" s="21">
        <v>40305</v>
      </c>
      <c r="B6" s="22">
        <v>34.869999999999997</v>
      </c>
      <c r="C6" s="23">
        <v>0</v>
      </c>
      <c r="D6" s="54">
        <v>40607</v>
      </c>
      <c r="E6" s="55">
        <v>10.231999999999999</v>
      </c>
      <c r="F6" s="26">
        <v>1</v>
      </c>
      <c r="G6" s="27">
        <v>40848</v>
      </c>
      <c r="H6" s="28">
        <v>8.7899999999999991</v>
      </c>
      <c r="I6" s="26">
        <v>0</v>
      </c>
      <c r="J6" s="29">
        <v>40287</v>
      </c>
      <c r="K6" s="30">
        <v>71.98</v>
      </c>
      <c r="L6" s="26">
        <v>0</v>
      </c>
      <c r="M6" s="31">
        <v>37732</v>
      </c>
      <c r="N6" s="32">
        <v>5.0999999999999996</v>
      </c>
      <c r="O6" s="26">
        <v>0</v>
      </c>
      <c r="P6" s="33">
        <v>37732</v>
      </c>
      <c r="Q6" s="34">
        <v>4.41</v>
      </c>
      <c r="R6" s="26">
        <v>0</v>
      </c>
      <c r="S6" s="35">
        <v>37732</v>
      </c>
      <c r="T6" s="36">
        <v>28.09</v>
      </c>
      <c r="U6" s="26">
        <v>0</v>
      </c>
      <c r="V6" s="37">
        <v>37732</v>
      </c>
      <c r="W6" s="38">
        <v>3.66</v>
      </c>
      <c r="X6" s="39">
        <v>0</v>
      </c>
      <c r="Y6" s="40">
        <v>37732</v>
      </c>
      <c r="Z6" s="41">
        <v>29.47</v>
      </c>
      <c r="AA6" s="26">
        <v>0</v>
      </c>
      <c r="AB6" s="42">
        <v>37732</v>
      </c>
      <c r="AC6" s="56">
        <v>6.85</v>
      </c>
      <c r="AD6" s="26">
        <v>0</v>
      </c>
      <c r="AE6" s="44">
        <v>40245</v>
      </c>
      <c r="AF6" s="45">
        <v>91.02</v>
      </c>
      <c r="AG6" s="26">
        <v>0</v>
      </c>
      <c r="AH6" s="44">
        <v>40243</v>
      </c>
      <c r="AI6" s="45">
        <v>61.14</v>
      </c>
      <c r="AJ6" s="46">
        <v>0</v>
      </c>
      <c r="AK6" s="47">
        <v>40305</v>
      </c>
      <c r="AL6" s="22">
        <v>36.36</v>
      </c>
      <c r="AM6" s="48">
        <v>0</v>
      </c>
      <c r="AN6" s="49">
        <v>40305</v>
      </c>
      <c r="AO6" s="50">
        <v>62.34</v>
      </c>
      <c r="AP6" s="26">
        <v>0</v>
      </c>
      <c r="AQ6" s="63">
        <v>40777</v>
      </c>
      <c r="AR6" s="64">
        <v>10.43</v>
      </c>
      <c r="AS6" s="26">
        <v>0</v>
      </c>
      <c r="AT6" s="52">
        <v>40305</v>
      </c>
      <c r="AU6" s="53">
        <v>66.81</v>
      </c>
      <c r="AV6" s="26">
        <v>0</v>
      </c>
      <c r="AW6" s="51">
        <v>40242</v>
      </c>
      <c r="AX6" s="22">
        <v>34.799999999999997</v>
      </c>
      <c r="AY6" s="48">
        <v>0</v>
      </c>
    </row>
    <row r="7" spans="1:53" x14ac:dyDescent="0.3">
      <c r="A7" s="21">
        <v>40331</v>
      </c>
      <c r="B7" s="22">
        <v>34.07</v>
      </c>
      <c r="C7" s="23">
        <v>0</v>
      </c>
      <c r="D7" s="24">
        <v>40766</v>
      </c>
      <c r="E7" s="25">
        <v>10.199999999999999</v>
      </c>
      <c r="F7" s="26">
        <v>0</v>
      </c>
      <c r="G7" s="59">
        <v>40953</v>
      </c>
      <c r="H7" s="60">
        <v>8.6300000000000008</v>
      </c>
      <c r="I7" s="26">
        <v>1</v>
      </c>
      <c r="J7" s="29">
        <v>40331</v>
      </c>
      <c r="K7" s="30">
        <v>71.78</v>
      </c>
      <c r="L7" s="26">
        <v>0</v>
      </c>
      <c r="M7" s="31">
        <v>37734</v>
      </c>
      <c r="N7" s="32">
        <v>5.0599999999999996</v>
      </c>
      <c r="O7" s="26">
        <v>0</v>
      </c>
      <c r="P7" s="33">
        <v>37734</v>
      </c>
      <c r="Q7" s="34">
        <v>4.5999999999999996</v>
      </c>
      <c r="R7" s="26">
        <v>0</v>
      </c>
      <c r="S7" s="35">
        <v>37734</v>
      </c>
      <c r="T7" s="36">
        <v>28.42</v>
      </c>
      <c r="U7" s="26">
        <v>0</v>
      </c>
      <c r="V7" s="37">
        <v>37734</v>
      </c>
      <c r="W7" s="38">
        <v>3.66</v>
      </c>
      <c r="X7" s="39">
        <v>0</v>
      </c>
      <c r="Y7" s="40">
        <v>37734</v>
      </c>
      <c r="Z7" s="41">
        <v>29.78</v>
      </c>
      <c r="AA7" s="26">
        <v>0</v>
      </c>
      <c r="AB7" s="42">
        <v>37734</v>
      </c>
      <c r="AC7" s="56">
        <v>7.08</v>
      </c>
      <c r="AD7" s="26">
        <v>0</v>
      </c>
      <c r="AE7" s="44">
        <v>40253</v>
      </c>
      <c r="AF7" s="45">
        <v>91.06</v>
      </c>
      <c r="AG7" s="26">
        <v>0</v>
      </c>
      <c r="AH7" s="44">
        <v>40244</v>
      </c>
      <c r="AI7" s="45">
        <v>61.16</v>
      </c>
      <c r="AJ7" s="46">
        <v>0</v>
      </c>
      <c r="AK7" s="47">
        <v>40331</v>
      </c>
      <c r="AL7" s="22">
        <v>36.450000000000003</v>
      </c>
      <c r="AM7" s="48">
        <v>0</v>
      </c>
      <c r="AN7" s="49">
        <v>40331</v>
      </c>
      <c r="AO7" s="50">
        <v>62.6</v>
      </c>
      <c r="AP7" s="26">
        <v>0</v>
      </c>
      <c r="AQ7" s="65">
        <v>40890</v>
      </c>
      <c r="AR7" s="66">
        <v>10.27</v>
      </c>
      <c r="AS7" s="26">
        <v>0</v>
      </c>
      <c r="AT7" s="52">
        <v>40331</v>
      </c>
      <c r="AU7" s="53">
        <v>66.87</v>
      </c>
      <c r="AV7" s="26">
        <v>0</v>
      </c>
      <c r="AW7" s="51">
        <v>40287</v>
      </c>
      <c r="AX7" s="22">
        <v>33.79</v>
      </c>
      <c r="AY7" s="48">
        <v>0</v>
      </c>
    </row>
    <row r="8" spans="1:53" x14ac:dyDescent="0.3">
      <c r="A8" s="21">
        <v>40417</v>
      </c>
      <c r="B8" s="22">
        <v>34.549999999999997</v>
      </c>
      <c r="C8" s="23">
        <v>0</v>
      </c>
      <c r="D8" s="24">
        <v>40985</v>
      </c>
      <c r="E8" s="25">
        <v>10.19</v>
      </c>
      <c r="F8" s="26">
        <v>0</v>
      </c>
      <c r="G8" s="27">
        <v>41032</v>
      </c>
      <c r="H8" s="67">
        <v>8.67</v>
      </c>
      <c r="I8" s="26">
        <v>0</v>
      </c>
      <c r="J8" s="29">
        <v>40312</v>
      </c>
      <c r="K8" s="30">
        <v>71.760000000000005</v>
      </c>
      <c r="L8" s="26">
        <v>0</v>
      </c>
      <c r="M8" s="31">
        <v>37735</v>
      </c>
      <c r="N8" s="32">
        <v>5.04</v>
      </c>
      <c r="O8" s="26">
        <v>0</v>
      </c>
      <c r="P8" s="33">
        <v>37735</v>
      </c>
      <c r="Q8" s="34">
        <v>4.63</v>
      </c>
      <c r="R8" s="26">
        <v>0</v>
      </c>
      <c r="S8" s="35">
        <v>37735</v>
      </c>
      <c r="T8" s="36">
        <v>28.51</v>
      </c>
      <c r="U8" s="26">
        <v>0</v>
      </c>
      <c r="V8" s="37">
        <v>37735</v>
      </c>
      <c r="W8" s="38">
        <v>3.69</v>
      </c>
      <c r="X8" s="39">
        <v>0</v>
      </c>
      <c r="Y8" s="40">
        <v>37735</v>
      </c>
      <c r="Z8" s="41">
        <v>28.9</v>
      </c>
      <c r="AA8" s="26">
        <v>0</v>
      </c>
      <c r="AB8" s="42">
        <v>37735</v>
      </c>
      <c r="AC8" s="56">
        <v>7.15</v>
      </c>
      <c r="AD8" s="26">
        <v>0</v>
      </c>
      <c r="AE8" s="44">
        <v>40269</v>
      </c>
      <c r="AF8" s="45">
        <v>91.14</v>
      </c>
      <c r="AG8" s="26">
        <v>0</v>
      </c>
      <c r="AH8" s="44">
        <v>40245</v>
      </c>
      <c r="AI8" s="45">
        <v>61.16</v>
      </c>
      <c r="AJ8" s="46">
        <v>0</v>
      </c>
      <c r="AK8" s="47">
        <v>40394</v>
      </c>
      <c r="AL8" s="22">
        <v>36</v>
      </c>
      <c r="AM8" s="48">
        <v>0</v>
      </c>
      <c r="AN8" s="49">
        <v>40393</v>
      </c>
      <c r="AO8" s="50">
        <v>63.08</v>
      </c>
      <c r="AP8" s="26">
        <v>0</v>
      </c>
      <c r="AQ8" s="61">
        <v>40922</v>
      </c>
      <c r="AR8" s="62">
        <v>10.77</v>
      </c>
      <c r="AS8" s="26">
        <v>1</v>
      </c>
      <c r="AT8" s="52">
        <v>40393</v>
      </c>
      <c r="AU8" s="53">
        <v>67.12</v>
      </c>
      <c r="AV8" s="26">
        <v>0</v>
      </c>
      <c r="AW8" s="51">
        <v>40351</v>
      </c>
      <c r="AX8" s="22">
        <v>33.75</v>
      </c>
      <c r="AY8" s="48">
        <v>0</v>
      </c>
    </row>
    <row r="9" spans="1:53" x14ac:dyDescent="0.3">
      <c r="A9" s="21">
        <v>40575</v>
      </c>
      <c r="B9" s="22">
        <v>34.65</v>
      </c>
      <c r="C9" s="23">
        <v>0</v>
      </c>
      <c r="D9" s="24">
        <v>41113</v>
      </c>
      <c r="E9" s="25">
        <v>10.11</v>
      </c>
      <c r="F9" s="26">
        <v>0</v>
      </c>
      <c r="G9" s="27">
        <v>41506</v>
      </c>
      <c r="H9" s="67">
        <v>11.48</v>
      </c>
      <c r="I9" s="26">
        <v>0</v>
      </c>
      <c r="J9" s="29">
        <v>40393</v>
      </c>
      <c r="K9" s="30">
        <v>71.900000000000006</v>
      </c>
      <c r="L9" s="26">
        <v>0</v>
      </c>
      <c r="M9" s="31">
        <v>37746</v>
      </c>
      <c r="N9" s="32">
        <v>4.45</v>
      </c>
      <c r="O9" s="26">
        <v>0</v>
      </c>
      <c r="P9" s="33">
        <v>37746</v>
      </c>
      <c r="Q9" s="34">
        <v>4.8600000000000003</v>
      </c>
      <c r="R9" s="26">
        <v>0</v>
      </c>
      <c r="S9" s="35">
        <v>37746</v>
      </c>
      <c r="T9" s="36">
        <v>28.35</v>
      </c>
      <c r="U9" s="26">
        <v>0</v>
      </c>
      <c r="V9" s="37">
        <v>37746</v>
      </c>
      <c r="W9" s="38">
        <v>3.32</v>
      </c>
      <c r="X9" s="39">
        <v>0</v>
      </c>
      <c r="Y9" s="40">
        <v>37746</v>
      </c>
      <c r="Z9" s="41">
        <v>30.38</v>
      </c>
      <c r="AA9" s="26">
        <v>0</v>
      </c>
      <c r="AB9" s="42">
        <v>37746</v>
      </c>
      <c r="AC9" s="56">
        <v>7.12</v>
      </c>
      <c r="AD9" s="26">
        <v>0</v>
      </c>
      <c r="AE9" s="44">
        <v>40278</v>
      </c>
      <c r="AF9" s="45">
        <v>91.19</v>
      </c>
      <c r="AG9" s="26">
        <v>0</v>
      </c>
      <c r="AH9" s="44">
        <v>40246</v>
      </c>
      <c r="AI9" s="45">
        <v>61.16</v>
      </c>
      <c r="AJ9" s="46">
        <v>0</v>
      </c>
      <c r="AK9" s="47">
        <v>40417</v>
      </c>
      <c r="AL9" s="22">
        <v>36.119999999999997</v>
      </c>
      <c r="AM9" s="48">
        <v>0</v>
      </c>
      <c r="AN9" s="49">
        <v>40403</v>
      </c>
      <c r="AO9" s="50">
        <v>63.1</v>
      </c>
      <c r="AP9" s="26">
        <v>0</v>
      </c>
      <c r="AQ9" s="68">
        <v>41025</v>
      </c>
      <c r="AR9" s="69">
        <v>11</v>
      </c>
      <c r="AS9" s="26">
        <v>0</v>
      </c>
      <c r="AT9" s="52">
        <v>40575</v>
      </c>
      <c r="AU9" s="53">
        <v>67.239999999999995</v>
      </c>
      <c r="AV9" s="26">
        <v>0</v>
      </c>
      <c r="AW9" s="51">
        <v>40305</v>
      </c>
      <c r="AX9" s="22">
        <v>34.29</v>
      </c>
      <c r="AY9" s="48">
        <v>0</v>
      </c>
    </row>
    <row r="10" spans="1:53" x14ac:dyDescent="0.3">
      <c r="A10" s="21">
        <v>40679</v>
      </c>
      <c r="B10" s="22">
        <v>34.57</v>
      </c>
      <c r="C10" s="23">
        <v>0</v>
      </c>
      <c r="D10" s="54">
        <v>41225</v>
      </c>
      <c r="E10" s="55">
        <v>10.130000000000001</v>
      </c>
      <c r="F10" s="26">
        <v>1</v>
      </c>
      <c r="G10" s="27">
        <v>41556</v>
      </c>
      <c r="H10" s="67">
        <v>12.83</v>
      </c>
      <c r="I10" s="26">
        <v>0</v>
      </c>
      <c r="J10" s="29">
        <v>40417</v>
      </c>
      <c r="K10" s="30">
        <v>71.900000000000006</v>
      </c>
      <c r="L10" s="26">
        <v>0</v>
      </c>
      <c r="M10" s="31">
        <v>37749</v>
      </c>
      <c r="N10" s="32">
        <v>5.0199999999999996</v>
      </c>
      <c r="O10" s="26">
        <v>0</v>
      </c>
      <c r="P10" s="33">
        <v>37749</v>
      </c>
      <c r="Q10" s="34">
        <v>4.99</v>
      </c>
      <c r="R10" s="26">
        <v>0</v>
      </c>
      <c r="S10" s="35">
        <v>37748</v>
      </c>
      <c r="T10" s="36">
        <v>28.02</v>
      </c>
      <c r="U10" s="26">
        <v>0</v>
      </c>
      <c r="V10" s="37">
        <v>37748</v>
      </c>
      <c r="W10" s="38">
        <v>3.47</v>
      </c>
      <c r="X10" s="39">
        <v>0</v>
      </c>
      <c r="Y10" s="40">
        <v>37748</v>
      </c>
      <c r="Z10" s="41">
        <v>30.35</v>
      </c>
      <c r="AA10" s="26">
        <v>0</v>
      </c>
      <c r="AB10" s="42">
        <v>37748</v>
      </c>
      <c r="AC10" s="56">
        <v>6.92</v>
      </c>
      <c r="AD10" s="26">
        <v>0</v>
      </c>
      <c r="AE10" s="44">
        <v>40283</v>
      </c>
      <c r="AF10" s="45">
        <v>91.22</v>
      </c>
      <c r="AG10" s="26">
        <v>0</v>
      </c>
      <c r="AH10" s="44">
        <v>40247</v>
      </c>
      <c r="AI10" s="45">
        <v>61.15</v>
      </c>
      <c r="AJ10" s="46">
        <v>0</v>
      </c>
      <c r="AK10" s="47">
        <v>40498</v>
      </c>
      <c r="AL10" s="22">
        <v>35.44</v>
      </c>
      <c r="AM10" s="48">
        <v>0</v>
      </c>
      <c r="AN10" s="49">
        <v>40575</v>
      </c>
      <c r="AO10" s="50">
        <v>62.92</v>
      </c>
      <c r="AP10" s="26">
        <v>0</v>
      </c>
      <c r="AQ10" s="51">
        <v>41235</v>
      </c>
      <c r="AR10" s="70">
        <v>10.94</v>
      </c>
      <c r="AS10" s="26">
        <v>0</v>
      </c>
      <c r="AT10" s="52">
        <v>40679</v>
      </c>
      <c r="AU10" s="53">
        <v>67.739999999999995</v>
      </c>
      <c r="AV10" s="26">
        <v>0</v>
      </c>
      <c r="AW10" s="51">
        <v>40393</v>
      </c>
      <c r="AX10" s="22">
        <v>33.840000000000003</v>
      </c>
      <c r="AY10" s="48">
        <v>0</v>
      </c>
    </row>
    <row r="11" spans="1:53" x14ac:dyDescent="0.3">
      <c r="A11" s="21">
        <v>40745</v>
      </c>
      <c r="B11" s="22">
        <v>34.54</v>
      </c>
      <c r="C11" s="23">
        <v>0</v>
      </c>
      <c r="D11" s="71">
        <v>41401</v>
      </c>
      <c r="E11" s="67">
        <v>10.16</v>
      </c>
      <c r="F11" s="26">
        <v>0</v>
      </c>
      <c r="G11" s="27">
        <v>41617</v>
      </c>
      <c r="H11" s="67">
        <v>10.130000000000001</v>
      </c>
      <c r="I11" s="26">
        <v>0</v>
      </c>
      <c r="J11" s="29">
        <v>40575</v>
      </c>
      <c r="K11" s="30">
        <v>71.52</v>
      </c>
      <c r="L11" s="26">
        <v>0</v>
      </c>
      <c r="M11" s="31">
        <v>37750</v>
      </c>
      <c r="N11" s="32">
        <v>5.12</v>
      </c>
      <c r="O11" s="26">
        <v>0</v>
      </c>
      <c r="P11" s="33">
        <v>37750</v>
      </c>
      <c r="Q11" s="34">
        <v>4.75</v>
      </c>
      <c r="R11" s="26">
        <v>0</v>
      </c>
      <c r="S11" s="35">
        <v>37749</v>
      </c>
      <c r="T11" s="36">
        <v>28.06</v>
      </c>
      <c r="U11" s="26">
        <v>0</v>
      </c>
      <c r="V11" s="37">
        <v>37749</v>
      </c>
      <c r="W11" s="38">
        <v>3.49</v>
      </c>
      <c r="X11" s="39">
        <v>0</v>
      </c>
      <c r="Y11" s="40">
        <v>37749</v>
      </c>
      <c r="Z11" s="41">
        <v>29.91</v>
      </c>
      <c r="AA11" s="26">
        <v>0</v>
      </c>
      <c r="AB11" s="42">
        <v>37749</v>
      </c>
      <c r="AC11" s="56">
        <v>7.05</v>
      </c>
      <c r="AD11" s="26">
        <v>0</v>
      </c>
      <c r="AE11" s="44">
        <v>40284</v>
      </c>
      <c r="AF11" s="45">
        <v>91.2</v>
      </c>
      <c r="AG11" s="26">
        <v>0</v>
      </c>
      <c r="AH11" s="44">
        <v>40248</v>
      </c>
      <c r="AI11" s="45">
        <v>61.15</v>
      </c>
      <c r="AJ11" s="46">
        <v>0</v>
      </c>
      <c r="AK11" s="47">
        <v>40575</v>
      </c>
      <c r="AL11" s="22">
        <v>34.75</v>
      </c>
      <c r="AM11" s="48">
        <v>0</v>
      </c>
      <c r="AN11" s="49">
        <v>40679</v>
      </c>
      <c r="AO11" s="50">
        <v>62.9</v>
      </c>
      <c r="AP11" s="26">
        <v>0</v>
      </c>
      <c r="AQ11" s="51">
        <v>41278</v>
      </c>
      <c r="AR11" s="22">
        <v>11.16</v>
      </c>
      <c r="AS11" s="26">
        <v>0</v>
      </c>
      <c r="AT11" s="52">
        <v>40745</v>
      </c>
      <c r="AU11" s="53">
        <v>67.94</v>
      </c>
      <c r="AV11" s="26">
        <v>0</v>
      </c>
      <c r="AW11" s="51">
        <v>40417</v>
      </c>
      <c r="AX11" s="22">
        <v>33.9</v>
      </c>
      <c r="AY11" s="48">
        <v>0</v>
      </c>
    </row>
    <row r="12" spans="1:53" x14ac:dyDescent="0.3">
      <c r="A12" s="21">
        <v>40777</v>
      </c>
      <c r="B12" s="22">
        <v>34.39</v>
      </c>
      <c r="C12" s="23">
        <v>0</v>
      </c>
      <c r="D12" s="71">
        <v>41506</v>
      </c>
      <c r="E12" s="67">
        <v>10.34</v>
      </c>
      <c r="F12" s="26">
        <v>0</v>
      </c>
      <c r="G12" s="27">
        <v>41683</v>
      </c>
      <c r="H12" s="67">
        <v>11.6</v>
      </c>
      <c r="I12" s="26">
        <v>0</v>
      </c>
      <c r="J12" s="29">
        <v>40745</v>
      </c>
      <c r="K12" s="30">
        <v>71.59</v>
      </c>
      <c r="L12" s="26">
        <v>0</v>
      </c>
      <c r="M12" s="31">
        <v>37755</v>
      </c>
      <c r="N12" s="32">
        <v>5.03</v>
      </c>
      <c r="O12" s="26">
        <v>0</v>
      </c>
      <c r="P12" s="33">
        <v>37755</v>
      </c>
      <c r="Q12" s="34">
        <v>4.45</v>
      </c>
      <c r="R12" s="26">
        <v>0</v>
      </c>
      <c r="S12" s="35">
        <v>37750</v>
      </c>
      <c r="T12" s="36">
        <v>28.1</v>
      </c>
      <c r="U12" s="26">
        <v>0</v>
      </c>
      <c r="V12" s="37">
        <v>37750</v>
      </c>
      <c r="W12" s="38">
        <v>3.37</v>
      </c>
      <c r="X12" s="39">
        <v>0</v>
      </c>
      <c r="Y12" s="40">
        <v>37750</v>
      </c>
      <c r="Z12" s="41">
        <v>28.53</v>
      </c>
      <c r="AA12" s="26">
        <v>0</v>
      </c>
      <c r="AB12" s="42">
        <v>37750</v>
      </c>
      <c r="AC12" s="56">
        <v>6.79</v>
      </c>
      <c r="AD12" s="26">
        <v>0</v>
      </c>
      <c r="AE12" s="44">
        <v>40501</v>
      </c>
      <c r="AF12" s="45">
        <v>92.19</v>
      </c>
      <c r="AG12" s="26">
        <v>0</v>
      </c>
      <c r="AH12" s="44">
        <v>40249</v>
      </c>
      <c r="AI12" s="45">
        <v>61.15</v>
      </c>
      <c r="AJ12" s="46">
        <v>0</v>
      </c>
      <c r="AK12" s="47">
        <v>40679</v>
      </c>
      <c r="AL12" s="22">
        <v>34.79</v>
      </c>
      <c r="AM12" s="48">
        <v>0</v>
      </c>
      <c r="AN12" s="49">
        <v>40679</v>
      </c>
      <c r="AO12" s="50">
        <v>62.9</v>
      </c>
      <c r="AP12" s="26">
        <v>0</v>
      </c>
      <c r="AQ12" s="51">
        <v>41401</v>
      </c>
      <c r="AR12" s="22">
        <v>11.61</v>
      </c>
      <c r="AS12" s="26">
        <v>0</v>
      </c>
      <c r="AT12" s="52">
        <v>40777</v>
      </c>
      <c r="AU12" s="53">
        <v>67.7</v>
      </c>
      <c r="AV12" s="26">
        <v>0</v>
      </c>
      <c r="AW12" s="51">
        <v>40575</v>
      </c>
      <c r="AX12" s="22">
        <v>33.53</v>
      </c>
      <c r="AY12" s="48">
        <v>0</v>
      </c>
    </row>
    <row r="13" spans="1:53" x14ac:dyDescent="0.3">
      <c r="A13" s="21">
        <v>40800</v>
      </c>
      <c r="B13" s="22">
        <v>34.1</v>
      </c>
      <c r="C13" s="23">
        <v>0</v>
      </c>
      <c r="D13" s="71">
        <v>41556</v>
      </c>
      <c r="E13" s="67">
        <v>9.42</v>
      </c>
      <c r="F13" s="26">
        <v>0</v>
      </c>
      <c r="G13" s="27">
        <v>41764</v>
      </c>
      <c r="H13" s="67">
        <v>10.38</v>
      </c>
      <c r="I13" s="26">
        <v>0</v>
      </c>
      <c r="J13" s="29">
        <v>40777</v>
      </c>
      <c r="K13" s="30">
        <v>71.7</v>
      </c>
      <c r="L13" s="26">
        <v>0</v>
      </c>
      <c r="M13" s="31">
        <v>37758</v>
      </c>
      <c r="N13" s="32">
        <v>5</v>
      </c>
      <c r="O13" s="26">
        <v>0</v>
      </c>
      <c r="P13" s="33">
        <v>37758</v>
      </c>
      <c r="Q13" s="34">
        <v>4.45</v>
      </c>
      <c r="R13" s="26">
        <v>0</v>
      </c>
      <c r="S13" s="35">
        <v>37755</v>
      </c>
      <c r="T13" s="36">
        <v>28.69</v>
      </c>
      <c r="U13" s="26">
        <v>0</v>
      </c>
      <c r="V13" s="37">
        <v>37755</v>
      </c>
      <c r="W13" s="38">
        <v>3.41</v>
      </c>
      <c r="X13" s="39">
        <v>0</v>
      </c>
      <c r="Y13" s="40">
        <v>37755</v>
      </c>
      <c r="Z13" s="41">
        <v>29.87</v>
      </c>
      <c r="AA13" s="26">
        <v>0</v>
      </c>
      <c r="AB13" s="42">
        <v>37755</v>
      </c>
      <c r="AC13" s="56">
        <v>6.73</v>
      </c>
      <c r="AD13" s="26">
        <v>0</v>
      </c>
      <c r="AE13" s="44">
        <v>40502</v>
      </c>
      <c r="AF13" s="45">
        <v>92.2</v>
      </c>
      <c r="AG13" s="26">
        <v>0</v>
      </c>
      <c r="AH13" s="44">
        <v>40250</v>
      </c>
      <c r="AI13" s="45">
        <v>61.15</v>
      </c>
      <c r="AJ13" s="46">
        <v>0</v>
      </c>
      <c r="AK13" s="47">
        <v>40745</v>
      </c>
      <c r="AL13" s="22">
        <v>34.49</v>
      </c>
      <c r="AM13" s="48">
        <v>0</v>
      </c>
      <c r="AN13" s="49">
        <v>40745</v>
      </c>
      <c r="AO13" s="50">
        <v>63.09</v>
      </c>
      <c r="AP13" s="26">
        <v>0</v>
      </c>
      <c r="AQ13" s="51">
        <v>41438</v>
      </c>
      <c r="AR13" s="22">
        <v>11.56</v>
      </c>
      <c r="AS13" s="26">
        <v>0</v>
      </c>
      <c r="AT13" s="52">
        <v>40800</v>
      </c>
      <c r="AU13" s="53">
        <v>67.5</v>
      </c>
      <c r="AV13" s="26">
        <v>0</v>
      </c>
      <c r="AW13" s="51">
        <v>40679</v>
      </c>
      <c r="AX13" s="22">
        <v>34.29</v>
      </c>
      <c r="AY13" s="48">
        <v>0</v>
      </c>
    </row>
    <row r="14" spans="1:53" x14ac:dyDescent="0.3">
      <c r="A14" s="21">
        <v>40814</v>
      </c>
      <c r="B14" s="22">
        <v>34.19</v>
      </c>
      <c r="C14" s="23">
        <v>0</v>
      </c>
      <c r="D14" s="71">
        <v>41617</v>
      </c>
      <c r="E14" s="67">
        <v>9.5500000000000007</v>
      </c>
      <c r="F14" s="26">
        <v>0</v>
      </c>
      <c r="G14" s="27">
        <v>41793</v>
      </c>
      <c r="H14" s="67">
        <v>9.57</v>
      </c>
      <c r="I14" s="26">
        <v>0</v>
      </c>
      <c r="J14" s="29">
        <v>40814</v>
      </c>
      <c r="K14" s="30">
        <v>71.64</v>
      </c>
      <c r="L14" s="26">
        <v>0</v>
      </c>
      <c r="M14" s="31">
        <v>37768</v>
      </c>
      <c r="N14" s="32">
        <v>5.12</v>
      </c>
      <c r="O14" s="26">
        <v>0</v>
      </c>
      <c r="P14" s="33">
        <v>37768</v>
      </c>
      <c r="Q14" s="34">
        <v>4.45</v>
      </c>
      <c r="R14" s="26">
        <v>0</v>
      </c>
      <c r="S14" s="35">
        <v>37758</v>
      </c>
      <c r="T14" s="36">
        <v>28.3</v>
      </c>
      <c r="U14" s="26">
        <v>0</v>
      </c>
      <c r="V14" s="37">
        <v>37758</v>
      </c>
      <c r="W14" s="38">
        <v>3.77</v>
      </c>
      <c r="X14" s="39">
        <v>0</v>
      </c>
      <c r="Y14" s="40">
        <v>37758</v>
      </c>
      <c r="Z14" s="41">
        <v>30.29</v>
      </c>
      <c r="AA14" s="26">
        <v>0</v>
      </c>
      <c r="AB14" s="42">
        <v>37758</v>
      </c>
      <c r="AC14" s="56">
        <v>6.78</v>
      </c>
      <c r="AD14" s="26">
        <v>0</v>
      </c>
      <c r="AE14" s="44">
        <v>40503</v>
      </c>
      <c r="AF14" s="45">
        <v>92.2</v>
      </c>
      <c r="AG14" s="26">
        <v>0</v>
      </c>
      <c r="AH14" s="44">
        <v>40251</v>
      </c>
      <c r="AI14" s="45">
        <v>61.15</v>
      </c>
      <c r="AJ14" s="46">
        <v>0</v>
      </c>
      <c r="AK14" s="47">
        <v>40777</v>
      </c>
      <c r="AL14" s="22">
        <v>34.39</v>
      </c>
      <c r="AM14" s="48">
        <v>0</v>
      </c>
      <c r="AN14" s="49">
        <v>40777</v>
      </c>
      <c r="AO14" s="50">
        <v>63.45</v>
      </c>
      <c r="AP14" s="26">
        <v>0</v>
      </c>
      <c r="AQ14" s="51">
        <v>41471</v>
      </c>
      <c r="AR14" s="22">
        <v>11.52</v>
      </c>
      <c r="AS14" s="26">
        <v>0</v>
      </c>
      <c r="AT14" s="52">
        <v>40814</v>
      </c>
      <c r="AU14" s="53">
        <v>67.48</v>
      </c>
      <c r="AV14" s="26">
        <v>0</v>
      </c>
      <c r="AW14" s="51">
        <v>40745</v>
      </c>
      <c r="AX14" s="22">
        <v>34.39</v>
      </c>
      <c r="AY14" s="48">
        <v>0</v>
      </c>
    </row>
    <row r="15" spans="1:53" x14ac:dyDescent="0.3">
      <c r="A15" s="21">
        <v>40834</v>
      </c>
      <c r="B15" s="22">
        <v>34.15</v>
      </c>
      <c r="C15" s="23">
        <v>0</v>
      </c>
      <c r="D15" s="71">
        <v>41647</v>
      </c>
      <c r="E15" s="67">
        <v>9.4600000000000009</v>
      </c>
      <c r="F15" s="26">
        <v>0</v>
      </c>
      <c r="G15" s="27">
        <v>41830</v>
      </c>
      <c r="H15" s="67">
        <v>11.32</v>
      </c>
      <c r="I15" s="26">
        <v>0</v>
      </c>
      <c r="J15" s="29">
        <v>40834</v>
      </c>
      <c r="K15" s="30">
        <v>71.55</v>
      </c>
      <c r="L15" s="26">
        <v>0</v>
      </c>
      <c r="M15" s="31">
        <v>37797</v>
      </c>
      <c r="N15" s="32">
        <v>4.96</v>
      </c>
      <c r="O15" s="26">
        <v>0</v>
      </c>
      <c r="P15" s="33">
        <v>37797</v>
      </c>
      <c r="Q15" s="34">
        <v>4.53</v>
      </c>
      <c r="R15" s="26">
        <v>0</v>
      </c>
      <c r="S15" s="35">
        <v>37768</v>
      </c>
      <c r="T15" s="36">
        <v>26.93</v>
      </c>
      <c r="U15" s="26">
        <v>0</v>
      </c>
      <c r="V15" s="37">
        <v>37768</v>
      </c>
      <c r="W15" s="38">
        <v>3.54</v>
      </c>
      <c r="X15" s="39">
        <v>0</v>
      </c>
      <c r="Y15" s="40">
        <v>37768</v>
      </c>
      <c r="Z15" s="41">
        <v>30.47</v>
      </c>
      <c r="AA15" s="26">
        <v>0</v>
      </c>
      <c r="AB15" s="42">
        <v>37768</v>
      </c>
      <c r="AC15" s="56">
        <v>6.5</v>
      </c>
      <c r="AD15" s="26">
        <v>0</v>
      </c>
      <c r="AE15" s="44">
        <v>40504</v>
      </c>
      <c r="AF15" s="45">
        <v>92.2</v>
      </c>
      <c r="AG15" s="26">
        <v>0</v>
      </c>
      <c r="AH15" s="44">
        <v>40252</v>
      </c>
      <c r="AI15" s="45">
        <v>61.15</v>
      </c>
      <c r="AJ15" s="46">
        <v>0</v>
      </c>
      <c r="AK15" s="47">
        <v>40800</v>
      </c>
      <c r="AL15" s="22">
        <v>34.270000000000003</v>
      </c>
      <c r="AM15" s="48">
        <v>0</v>
      </c>
      <c r="AN15" s="49">
        <v>40800</v>
      </c>
      <c r="AO15" s="50">
        <v>63.46</v>
      </c>
      <c r="AP15" s="26">
        <v>0</v>
      </c>
      <c r="AQ15" s="51">
        <v>41506</v>
      </c>
      <c r="AR15" s="22">
        <v>11.4</v>
      </c>
      <c r="AS15" s="26">
        <v>0</v>
      </c>
      <c r="AT15" s="52">
        <v>40834</v>
      </c>
      <c r="AU15" s="53">
        <v>67.45</v>
      </c>
      <c r="AV15" s="26">
        <v>0</v>
      </c>
      <c r="AW15" s="51">
        <v>40777</v>
      </c>
      <c r="AX15" s="22">
        <v>34.49</v>
      </c>
      <c r="AY15" s="48">
        <v>0</v>
      </c>
    </row>
    <row r="16" spans="1:53" x14ac:dyDescent="0.3">
      <c r="A16" s="21">
        <v>40864</v>
      </c>
      <c r="B16" s="22">
        <v>34.049999999999997</v>
      </c>
      <c r="C16" s="23">
        <v>0</v>
      </c>
      <c r="D16" s="71">
        <v>41683</v>
      </c>
      <c r="E16" s="67">
        <v>9.89</v>
      </c>
      <c r="F16" s="26">
        <v>0</v>
      </c>
      <c r="G16" s="27">
        <v>41877</v>
      </c>
      <c r="H16" s="67">
        <v>13.21</v>
      </c>
      <c r="I16" s="26">
        <v>0</v>
      </c>
      <c r="J16" s="29">
        <v>40864</v>
      </c>
      <c r="K16" s="30">
        <v>71.64</v>
      </c>
      <c r="L16" s="26">
        <v>0</v>
      </c>
      <c r="M16" s="31">
        <v>37811</v>
      </c>
      <c r="N16" s="32">
        <v>4.8099999999999996</v>
      </c>
      <c r="O16" s="26">
        <v>0</v>
      </c>
      <c r="P16" s="33">
        <v>37811</v>
      </c>
      <c r="Q16" s="34">
        <v>5.01</v>
      </c>
      <c r="R16" s="26">
        <v>0</v>
      </c>
      <c r="S16" s="35">
        <v>37797</v>
      </c>
      <c r="T16" s="36">
        <v>28.23</v>
      </c>
      <c r="U16" s="26">
        <v>0</v>
      </c>
      <c r="V16" s="37">
        <v>37797</v>
      </c>
      <c r="W16" s="38">
        <v>3.18</v>
      </c>
      <c r="X16" s="39">
        <v>0</v>
      </c>
      <c r="Y16" s="40">
        <v>37777</v>
      </c>
      <c r="Z16" s="41">
        <v>27.57</v>
      </c>
      <c r="AA16" s="26">
        <v>0</v>
      </c>
      <c r="AB16" s="42">
        <v>37777</v>
      </c>
      <c r="AC16" s="56">
        <v>7.2</v>
      </c>
      <c r="AD16" s="26">
        <v>0</v>
      </c>
      <c r="AE16" s="44">
        <v>40505</v>
      </c>
      <c r="AF16" s="45">
        <v>92.2</v>
      </c>
      <c r="AG16" s="26">
        <v>0</v>
      </c>
      <c r="AH16" s="44">
        <v>40253</v>
      </c>
      <c r="AI16" s="45">
        <v>61.16</v>
      </c>
      <c r="AJ16" s="46">
        <v>0</v>
      </c>
      <c r="AK16" s="47">
        <v>40814</v>
      </c>
      <c r="AL16" s="22">
        <v>34.4</v>
      </c>
      <c r="AM16" s="48">
        <v>0</v>
      </c>
      <c r="AN16" s="49">
        <v>40814</v>
      </c>
      <c r="AO16" s="50">
        <v>63.65</v>
      </c>
      <c r="AP16" s="26">
        <v>0</v>
      </c>
      <c r="AQ16" s="51">
        <v>41617</v>
      </c>
      <c r="AR16" s="22">
        <v>11.37</v>
      </c>
      <c r="AS16" s="26">
        <v>0</v>
      </c>
      <c r="AT16" s="52">
        <v>40864</v>
      </c>
      <c r="AU16" s="53">
        <v>67.3</v>
      </c>
      <c r="AV16" s="26">
        <v>0</v>
      </c>
      <c r="AW16" s="51">
        <v>40800</v>
      </c>
      <c r="AX16" s="22">
        <v>34.4</v>
      </c>
      <c r="AY16" s="48">
        <v>0</v>
      </c>
    </row>
    <row r="17" spans="1:51" x14ac:dyDescent="0.3">
      <c r="A17" s="21">
        <v>40911</v>
      </c>
      <c r="B17" s="22">
        <v>34.35</v>
      </c>
      <c r="C17" s="23">
        <v>0</v>
      </c>
      <c r="D17" s="71">
        <v>41764</v>
      </c>
      <c r="E17" s="67">
        <v>9.83</v>
      </c>
      <c r="F17" s="26">
        <v>0</v>
      </c>
      <c r="G17" s="27">
        <v>41906</v>
      </c>
      <c r="H17" s="67">
        <v>13.45</v>
      </c>
      <c r="I17" s="26">
        <v>0</v>
      </c>
      <c r="J17" s="29">
        <v>40889</v>
      </c>
      <c r="K17" s="30">
        <v>71.7</v>
      </c>
      <c r="L17" s="26">
        <v>0</v>
      </c>
      <c r="M17" s="31">
        <v>37817</v>
      </c>
      <c r="N17" s="32">
        <v>4.7</v>
      </c>
      <c r="O17" s="26">
        <v>0</v>
      </c>
      <c r="P17" s="33">
        <v>37817</v>
      </c>
      <c r="Q17" s="34">
        <v>4.99</v>
      </c>
      <c r="R17" s="26">
        <v>0</v>
      </c>
      <c r="S17" s="35">
        <v>37816</v>
      </c>
      <c r="T17" s="36">
        <v>27.96</v>
      </c>
      <c r="U17" s="26">
        <v>0</v>
      </c>
      <c r="V17" s="37">
        <v>37816</v>
      </c>
      <c r="W17" s="38">
        <v>2.96</v>
      </c>
      <c r="X17" s="39">
        <v>0</v>
      </c>
      <c r="Y17" s="40">
        <v>37797</v>
      </c>
      <c r="Z17" s="41">
        <v>27.19</v>
      </c>
      <c r="AA17" s="26">
        <v>0</v>
      </c>
      <c r="AB17" s="42">
        <v>37797</v>
      </c>
      <c r="AC17" s="56">
        <v>7.17</v>
      </c>
      <c r="AD17" s="26">
        <v>0</v>
      </c>
      <c r="AE17" s="44">
        <v>40506</v>
      </c>
      <c r="AF17" s="45">
        <v>92.2</v>
      </c>
      <c r="AG17" s="26">
        <v>0</v>
      </c>
      <c r="AH17" s="44">
        <v>40254</v>
      </c>
      <c r="AI17" s="45">
        <v>61.16</v>
      </c>
      <c r="AJ17" s="46">
        <v>0</v>
      </c>
      <c r="AK17" s="47">
        <v>40834</v>
      </c>
      <c r="AL17" s="22">
        <v>34.299999999999997</v>
      </c>
      <c r="AM17" s="48">
        <v>0</v>
      </c>
      <c r="AN17" s="49">
        <v>40834</v>
      </c>
      <c r="AO17" s="50">
        <v>63.49</v>
      </c>
      <c r="AP17" s="26">
        <v>0</v>
      </c>
      <c r="AQ17" s="51">
        <v>41683</v>
      </c>
      <c r="AR17" s="22">
        <v>11.25</v>
      </c>
      <c r="AS17" s="26">
        <v>0</v>
      </c>
      <c r="AT17" s="52">
        <v>40911</v>
      </c>
      <c r="AU17" s="53">
        <v>67.400000000000006</v>
      </c>
      <c r="AV17" s="26">
        <v>0</v>
      </c>
      <c r="AW17" s="51">
        <v>40814</v>
      </c>
      <c r="AX17" s="22">
        <v>34.43</v>
      </c>
      <c r="AY17" s="48">
        <v>0</v>
      </c>
    </row>
    <row r="18" spans="1:51" x14ac:dyDescent="0.3">
      <c r="A18" s="21">
        <v>40963</v>
      </c>
      <c r="B18" s="22">
        <v>34.6</v>
      </c>
      <c r="C18" s="23">
        <v>0</v>
      </c>
      <c r="D18" s="71">
        <v>41793</v>
      </c>
      <c r="E18" s="67">
        <v>9.4499999999999993</v>
      </c>
      <c r="F18" s="26">
        <v>0</v>
      </c>
      <c r="G18" s="27">
        <v>41976</v>
      </c>
      <c r="H18" s="67">
        <v>9.8699999999999992</v>
      </c>
      <c r="I18" s="26">
        <v>0</v>
      </c>
      <c r="J18" s="29">
        <v>40934</v>
      </c>
      <c r="K18" s="30">
        <v>71.75</v>
      </c>
      <c r="L18" s="26">
        <v>0</v>
      </c>
      <c r="M18" s="31">
        <v>37824</v>
      </c>
      <c r="N18" s="32">
        <v>4.7300000000000004</v>
      </c>
      <c r="O18" s="26">
        <v>0</v>
      </c>
      <c r="P18" s="33">
        <v>37824</v>
      </c>
      <c r="Q18" s="34">
        <v>4.95</v>
      </c>
      <c r="R18" s="26">
        <v>0</v>
      </c>
      <c r="S18" s="35">
        <v>37817</v>
      </c>
      <c r="T18" s="36">
        <v>28.49</v>
      </c>
      <c r="U18" s="26">
        <v>0</v>
      </c>
      <c r="V18" s="37">
        <v>37817</v>
      </c>
      <c r="W18" s="38">
        <v>3.1</v>
      </c>
      <c r="X18" s="39">
        <v>0</v>
      </c>
      <c r="Y18" s="40">
        <v>37811</v>
      </c>
      <c r="Z18" s="41">
        <v>27.47</v>
      </c>
      <c r="AA18" s="26">
        <v>0</v>
      </c>
      <c r="AB18" s="42">
        <v>37811</v>
      </c>
      <c r="AC18" s="56">
        <v>7.46</v>
      </c>
      <c r="AD18" s="26">
        <v>0</v>
      </c>
      <c r="AE18" s="44">
        <v>40507</v>
      </c>
      <c r="AF18" s="45">
        <v>92.21</v>
      </c>
      <c r="AG18" s="26">
        <v>0</v>
      </c>
      <c r="AH18" s="44">
        <v>40255</v>
      </c>
      <c r="AI18" s="45">
        <v>61.17</v>
      </c>
      <c r="AJ18" s="46">
        <v>0</v>
      </c>
      <c r="AK18" s="47">
        <v>40864</v>
      </c>
      <c r="AL18" s="22">
        <v>34.29</v>
      </c>
      <c r="AM18" s="48">
        <v>0</v>
      </c>
      <c r="AN18" s="49">
        <v>40864</v>
      </c>
      <c r="AO18" s="50">
        <v>63.8</v>
      </c>
      <c r="AP18" s="26">
        <v>0</v>
      </c>
      <c r="AQ18" s="51">
        <v>41764</v>
      </c>
      <c r="AR18" s="22">
        <v>11.32</v>
      </c>
      <c r="AS18" s="26">
        <v>0</v>
      </c>
      <c r="AT18" s="52">
        <v>40934</v>
      </c>
      <c r="AU18" s="53">
        <v>67.349999999999994</v>
      </c>
      <c r="AV18" s="26">
        <v>0</v>
      </c>
      <c r="AW18" s="51">
        <v>40834</v>
      </c>
      <c r="AX18" s="22">
        <v>34.450000000000003</v>
      </c>
      <c r="AY18" s="48">
        <v>0</v>
      </c>
    </row>
    <row r="19" spans="1:51" x14ac:dyDescent="0.3">
      <c r="A19" s="21">
        <v>41073</v>
      </c>
      <c r="B19" s="22">
        <v>34.799999999999997</v>
      </c>
      <c r="C19" s="23">
        <v>0</v>
      </c>
      <c r="D19" s="71">
        <v>41830</v>
      </c>
      <c r="E19" s="67">
        <v>9.52</v>
      </c>
      <c r="F19" s="26">
        <v>0</v>
      </c>
      <c r="G19" s="27">
        <v>42009</v>
      </c>
      <c r="H19" s="67">
        <v>10.99</v>
      </c>
      <c r="I19" s="26">
        <v>0</v>
      </c>
      <c r="J19" s="29">
        <v>40967</v>
      </c>
      <c r="K19" s="30">
        <v>71.7</v>
      </c>
      <c r="L19" s="26">
        <v>0</v>
      </c>
      <c r="M19" s="31">
        <v>37832</v>
      </c>
      <c r="N19" s="32">
        <v>4.7</v>
      </c>
      <c r="O19" s="26">
        <v>0</v>
      </c>
      <c r="P19" s="33">
        <v>37832</v>
      </c>
      <c r="Q19" s="34">
        <v>4.9800000000000004</v>
      </c>
      <c r="R19" s="26">
        <v>0</v>
      </c>
      <c r="S19" s="35">
        <v>37823</v>
      </c>
      <c r="T19" s="36">
        <v>28.51</v>
      </c>
      <c r="U19" s="26">
        <v>0</v>
      </c>
      <c r="V19" s="37">
        <v>37823</v>
      </c>
      <c r="W19" s="38">
        <v>3.15</v>
      </c>
      <c r="X19" s="39">
        <v>0</v>
      </c>
      <c r="Y19" s="40">
        <v>37816</v>
      </c>
      <c r="Z19" s="41">
        <v>28.98</v>
      </c>
      <c r="AA19" s="26">
        <v>0</v>
      </c>
      <c r="AB19" s="42">
        <v>37816</v>
      </c>
      <c r="AC19" s="56">
        <v>7.28</v>
      </c>
      <c r="AD19" s="26">
        <v>0</v>
      </c>
      <c r="AE19" s="44">
        <v>40531</v>
      </c>
      <c r="AF19" s="45">
        <v>92.33</v>
      </c>
      <c r="AG19" s="26">
        <v>0</v>
      </c>
      <c r="AH19" s="44">
        <v>40256</v>
      </c>
      <c r="AI19" s="45">
        <v>61.18</v>
      </c>
      <c r="AJ19" s="46">
        <v>0</v>
      </c>
      <c r="AK19" s="47">
        <v>40911</v>
      </c>
      <c r="AL19" s="22">
        <v>34.299999999999997</v>
      </c>
      <c r="AM19" s="48">
        <v>0</v>
      </c>
      <c r="AN19" s="49">
        <v>40911</v>
      </c>
      <c r="AO19" s="50">
        <v>64</v>
      </c>
      <c r="AP19" s="26">
        <v>0</v>
      </c>
      <c r="AQ19" s="57">
        <v>41976</v>
      </c>
      <c r="AR19" s="58">
        <v>11.22</v>
      </c>
      <c r="AS19" s="26">
        <v>0</v>
      </c>
      <c r="AT19" s="52">
        <v>40967</v>
      </c>
      <c r="AU19" s="53">
        <v>67.739999999999995</v>
      </c>
      <c r="AV19" s="26">
        <v>0</v>
      </c>
      <c r="AW19" s="51">
        <v>40864</v>
      </c>
      <c r="AX19" s="22">
        <v>33.369999999999997</v>
      </c>
      <c r="AY19" s="48">
        <v>0</v>
      </c>
    </row>
    <row r="20" spans="1:51" x14ac:dyDescent="0.3">
      <c r="A20" s="21">
        <v>41098</v>
      </c>
      <c r="B20" s="22">
        <v>34.799999999999997</v>
      </c>
      <c r="C20" s="23">
        <v>0</v>
      </c>
      <c r="D20" s="71">
        <v>41877</v>
      </c>
      <c r="E20" s="67">
        <v>10.35</v>
      </c>
      <c r="F20" s="26">
        <v>0</v>
      </c>
      <c r="G20" s="27">
        <v>42157</v>
      </c>
      <c r="H20" s="67">
        <v>12.9</v>
      </c>
      <c r="I20" s="26">
        <v>0</v>
      </c>
      <c r="J20" s="29">
        <v>41031</v>
      </c>
      <c r="K20" s="30">
        <v>71.650000000000006</v>
      </c>
      <c r="L20" s="26">
        <v>0</v>
      </c>
      <c r="M20" s="31">
        <v>37839</v>
      </c>
      <c r="N20" s="32">
        <v>4.7</v>
      </c>
      <c r="O20" s="26">
        <v>0</v>
      </c>
      <c r="P20" s="33">
        <v>37839</v>
      </c>
      <c r="Q20" s="34">
        <v>5.7</v>
      </c>
      <c r="R20" s="26">
        <v>0</v>
      </c>
      <c r="S20" s="35">
        <v>37830</v>
      </c>
      <c r="T20" s="36">
        <v>28.49</v>
      </c>
      <c r="U20" s="26">
        <v>0</v>
      </c>
      <c r="V20" s="37">
        <v>37830</v>
      </c>
      <c r="W20" s="38">
        <v>3.24</v>
      </c>
      <c r="X20" s="39">
        <v>0</v>
      </c>
      <c r="Y20" s="40">
        <v>37817</v>
      </c>
      <c r="Z20" s="41">
        <v>29.29</v>
      </c>
      <c r="AA20" s="26">
        <v>0</v>
      </c>
      <c r="AB20" s="42">
        <v>37817</v>
      </c>
      <c r="AC20" s="56">
        <v>7.36</v>
      </c>
      <c r="AD20" s="26">
        <v>0</v>
      </c>
      <c r="AE20" s="44">
        <v>40540</v>
      </c>
      <c r="AF20" s="45">
        <v>92.37</v>
      </c>
      <c r="AG20" s="26">
        <v>0</v>
      </c>
      <c r="AH20" s="44">
        <v>40257</v>
      </c>
      <c r="AI20" s="45">
        <v>61.17</v>
      </c>
      <c r="AJ20" s="46">
        <v>0</v>
      </c>
      <c r="AK20" s="47">
        <v>40934</v>
      </c>
      <c r="AL20" s="22">
        <v>34.4</v>
      </c>
      <c r="AM20" s="48">
        <v>0</v>
      </c>
      <c r="AN20" s="49">
        <v>40934</v>
      </c>
      <c r="AO20" s="50">
        <v>63.95</v>
      </c>
      <c r="AP20" s="26">
        <v>0</v>
      </c>
      <c r="AQ20" s="72">
        <v>42134</v>
      </c>
      <c r="AR20" s="62">
        <v>11.44</v>
      </c>
      <c r="AS20" s="26">
        <v>1</v>
      </c>
      <c r="AT20" s="52">
        <v>41023</v>
      </c>
      <c r="AU20" s="53">
        <v>67.55</v>
      </c>
      <c r="AV20" s="26">
        <v>0</v>
      </c>
      <c r="AW20" s="51">
        <v>40911</v>
      </c>
      <c r="AX20" s="22">
        <v>34.54</v>
      </c>
      <c r="AY20" s="48">
        <v>0</v>
      </c>
    </row>
    <row r="21" spans="1:51" x14ac:dyDescent="0.3">
      <c r="A21" s="21">
        <v>41191</v>
      </c>
      <c r="B21" s="22">
        <v>35.49</v>
      </c>
      <c r="C21" s="23">
        <v>0</v>
      </c>
      <c r="D21" s="71">
        <v>41906</v>
      </c>
      <c r="E21" s="67">
        <v>10.75</v>
      </c>
      <c r="F21" s="26">
        <v>0</v>
      </c>
      <c r="G21" s="27">
        <v>42220</v>
      </c>
      <c r="H21" s="67">
        <v>13.37</v>
      </c>
      <c r="I21" s="26">
        <v>0</v>
      </c>
      <c r="J21" s="29">
        <v>41072</v>
      </c>
      <c r="K21" s="30">
        <v>71.650000000000006</v>
      </c>
      <c r="L21" s="26">
        <v>0</v>
      </c>
      <c r="M21" s="31">
        <v>37845</v>
      </c>
      <c r="N21" s="32">
        <v>4.7300000000000004</v>
      </c>
      <c r="O21" s="26">
        <v>0</v>
      </c>
      <c r="P21" s="33">
        <v>37845</v>
      </c>
      <c r="Q21" s="34">
        <v>5.0599999999999996</v>
      </c>
      <c r="R21" s="26">
        <v>0</v>
      </c>
      <c r="S21" s="35">
        <v>37839</v>
      </c>
      <c r="T21" s="36">
        <v>28.52</v>
      </c>
      <c r="U21" s="26">
        <v>0</v>
      </c>
      <c r="V21" s="37">
        <v>37839</v>
      </c>
      <c r="W21" s="38">
        <v>3.2</v>
      </c>
      <c r="X21" s="39">
        <v>0</v>
      </c>
      <c r="Y21" s="40">
        <v>37821</v>
      </c>
      <c r="Z21" s="41">
        <v>29.02</v>
      </c>
      <c r="AA21" s="26">
        <v>0</v>
      </c>
      <c r="AB21" s="42">
        <v>37821</v>
      </c>
      <c r="AC21" s="56">
        <v>7.38</v>
      </c>
      <c r="AD21" s="26">
        <v>0</v>
      </c>
      <c r="AE21" s="44">
        <v>40541</v>
      </c>
      <c r="AF21" s="45">
        <v>92.37</v>
      </c>
      <c r="AG21" s="26">
        <v>0</v>
      </c>
      <c r="AH21" s="44">
        <v>40258</v>
      </c>
      <c r="AI21" s="45">
        <v>61.17</v>
      </c>
      <c r="AJ21" s="46">
        <v>0</v>
      </c>
      <c r="AK21" s="47">
        <v>40963</v>
      </c>
      <c r="AL21" s="22">
        <v>34.549999999999997</v>
      </c>
      <c r="AM21" s="48">
        <v>0</v>
      </c>
      <c r="AN21" s="49">
        <v>40967</v>
      </c>
      <c r="AO21" s="50">
        <v>64.099999999999994</v>
      </c>
      <c r="AP21" s="26">
        <v>0</v>
      </c>
      <c r="AQ21" s="57">
        <v>42223</v>
      </c>
      <c r="AR21" s="73">
        <v>12.27</v>
      </c>
      <c r="AS21" s="26">
        <v>0</v>
      </c>
      <c r="AT21" s="52">
        <v>41059</v>
      </c>
      <c r="AU21" s="53">
        <v>68</v>
      </c>
      <c r="AV21" s="26">
        <v>0</v>
      </c>
      <c r="AW21" s="51">
        <v>40934</v>
      </c>
      <c r="AX21" s="22">
        <v>34.54</v>
      </c>
      <c r="AY21" s="48">
        <v>0</v>
      </c>
    </row>
    <row r="22" spans="1:51" x14ac:dyDescent="0.3">
      <c r="A22" s="21">
        <v>41228</v>
      </c>
      <c r="B22" s="22">
        <v>34.72</v>
      </c>
      <c r="C22" s="23">
        <v>0</v>
      </c>
      <c r="D22" s="71">
        <v>41936</v>
      </c>
      <c r="E22" s="74">
        <v>10.42</v>
      </c>
      <c r="F22" s="26">
        <v>0</v>
      </c>
      <c r="G22" s="27">
        <v>42255</v>
      </c>
      <c r="H22" s="67">
        <v>12.95</v>
      </c>
      <c r="I22" s="26">
        <v>0</v>
      </c>
      <c r="J22" s="29">
        <v>41098</v>
      </c>
      <c r="K22" s="30">
        <v>71.64</v>
      </c>
      <c r="L22" s="26">
        <v>0</v>
      </c>
      <c r="M22" s="31">
        <v>37873</v>
      </c>
      <c r="N22" s="32">
        <v>4.74</v>
      </c>
      <c r="O22" s="26">
        <v>0</v>
      </c>
      <c r="P22" s="33">
        <v>37873</v>
      </c>
      <c r="Q22" s="34">
        <v>5.2</v>
      </c>
      <c r="R22" s="26">
        <v>0</v>
      </c>
      <c r="S22" s="35">
        <v>37846</v>
      </c>
      <c r="T22" s="36">
        <v>28.65</v>
      </c>
      <c r="U22" s="26">
        <v>0</v>
      </c>
      <c r="V22" s="37">
        <v>37846</v>
      </c>
      <c r="W22" s="38">
        <v>3.41</v>
      </c>
      <c r="X22" s="39">
        <v>0</v>
      </c>
      <c r="Y22" s="40">
        <v>37825</v>
      </c>
      <c r="Z22" s="41">
        <v>29.21</v>
      </c>
      <c r="AA22" s="26">
        <v>0</v>
      </c>
      <c r="AB22" s="42">
        <v>37825</v>
      </c>
      <c r="AC22" s="56">
        <v>7.48</v>
      </c>
      <c r="AD22" s="26">
        <v>0</v>
      </c>
      <c r="AE22" s="44">
        <v>40542</v>
      </c>
      <c r="AF22" s="45">
        <v>92.36</v>
      </c>
      <c r="AG22" s="26">
        <v>0</v>
      </c>
      <c r="AH22" s="44">
        <v>40259</v>
      </c>
      <c r="AI22" s="45">
        <v>61.17</v>
      </c>
      <c r="AJ22" s="46">
        <v>0</v>
      </c>
      <c r="AK22" s="47">
        <v>41011</v>
      </c>
      <c r="AL22" s="22">
        <v>34.9</v>
      </c>
      <c r="AM22" s="48">
        <v>0</v>
      </c>
      <c r="AN22" s="49">
        <v>41022</v>
      </c>
      <c r="AO22" s="50">
        <v>64.11</v>
      </c>
      <c r="AP22" s="26">
        <v>0</v>
      </c>
      <c r="AQ22" s="75">
        <v>42359</v>
      </c>
      <c r="AR22" s="66">
        <v>13.02</v>
      </c>
      <c r="AS22" s="26">
        <v>0</v>
      </c>
      <c r="AT22" s="52">
        <v>41072</v>
      </c>
      <c r="AU22" s="53">
        <v>68</v>
      </c>
      <c r="AV22" s="26">
        <v>0</v>
      </c>
      <c r="AW22" s="51">
        <v>40963</v>
      </c>
      <c r="AX22" s="22">
        <v>34.6</v>
      </c>
      <c r="AY22" s="48">
        <v>0</v>
      </c>
    </row>
    <row r="23" spans="1:51" x14ac:dyDescent="0.3">
      <c r="A23" s="21">
        <v>41278</v>
      </c>
      <c r="B23" s="22">
        <v>35.200000000000003</v>
      </c>
      <c r="C23" s="23">
        <v>0</v>
      </c>
      <c r="D23" s="71">
        <v>41976</v>
      </c>
      <c r="E23" s="74">
        <v>9.7100000000000009</v>
      </c>
      <c r="F23" s="26">
        <v>0</v>
      </c>
      <c r="G23" s="27">
        <v>42292</v>
      </c>
      <c r="H23" s="67">
        <v>11.98</v>
      </c>
      <c r="I23" s="26">
        <v>0</v>
      </c>
      <c r="J23" s="29">
        <v>41235</v>
      </c>
      <c r="K23" s="30">
        <v>71.599999999999994</v>
      </c>
      <c r="L23" s="26">
        <v>0</v>
      </c>
      <c r="M23" s="31">
        <v>38009</v>
      </c>
      <c r="N23" s="32">
        <v>4.41</v>
      </c>
      <c r="O23" s="26">
        <v>0</v>
      </c>
      <c r="P23" s="33">
        <v>38009</v>
      </c>
      <c r="Q23" s="34">
        <v>5.16</v>
      </c>
      <c r="R23" s="26">
        <v>0</v>
      </c>
      <c r="S23" s="35">
        <v>37873</v>
      </c>
      <c r="T23" s="36">
        <v>28.45</v>
      </c>
      <c r="U23" s="26">
        <v>0</v>
      </c>
      <c r="V23" s="37">
        <v>37873</v>
      </c>
      <c r="W23" s="38">
        <v>3.48</v>
      </c>
      <c r="X23" s="39">
        <v>0</v>
      </c>
      <c r="Y23" s="40">
        <v>37831</v>
      </c>
      <c r="Z23" s="41">
        <v>29.29</v>
      </c>
      <c r="AA23" s="26">
        <v>0</v>
      </c>
      <c r="AB23" s="42">
        <v>37831</v>
      </c>
      <c r="AC23" s="56">
        <v>7.47</v>
      </c>
      <c r="AD23" s="26">
        <v>0</v>
      </c>
      <c r="AE23" s="44">
        <v>40543</v>
      </c>
      <c r="AF23" s="45">
        <v>92.39</v>
      </c>
      <c r="AG23" s="26">
        <v>0</v>
      </c>
      <c r="AH23" s="44">
        <v>40260</v>
      </c>
      <c r="AI23" s="45">
        <v>61.16</v>
      </c>
      <c r="AJ23" s="46">
        <v>0</v>
      </c>
      <c r="AK23" s="47">
        <v>41072</v>
      </c>
      <c r="AL23" s="22">
        <v>35.35</v>
      </c>
      <c r="AM23" s="48">
        <v>0</v>
      </c>
      <c r="AN23" s="49">
        <v>41059</v>
      </c>
      <c r="AO23" s="50">
        <v>64.16</v>
      </c>
      <c r="AP23" s="26">
        <v>0</v>
      </c>
      <c r="AQ23" s="68">
        <v>42471</v>
      </c>
      <c r="AR23" s="69">
        <v>13.39</v>
      </c>
      <c r="AS23" s="26">
        <v>0</v>
      </c>
      <c r="AT23" s="52">
        <v>41098</v>
      </c>
      <c r="AU23" s="53">
        <v>68.25</v>
      </c>
      <c r="AV23" s="26">
        <v>0</v>
      </c>
      <c r="AW23" s="51">
        <v>41059</v>
      </c>
      <c r="AX23" s="22">
        <v>34.700000000000003</v>
      </c>
      <c r="AY23" s="48">
        <v>0</v>
      </c>
    </row>
    <row r="24" spans="1:51" x14ac:dyDescent="0.3">
      <c r="A24" s="21">
        <v>41401</v>
      </c>
      <c r="B24" s="22">
        <v>35.43</v>
      </c>
      <c r="C24" s="23">
        <v>0</v>
      </c>
      <c r="D24" s="71">
        <v>42009</v>
      </c>
      <c r="E24" s="76">
        <v>10.648333333333335</v>
      </c>
      <c r="F24" s="26">
        <v>0</v>
      </c>
      <c r="G24" s="27">
        <v>42353</v>
      </c>
      <c r="H24" s="67">
        <v>12.32</v>
      </c>
      <c r="I24" s="26">
        <v>0</v>
      </c>
      <c r="J24" s="29">
        <v>41278</v>
      </c>
      <c r="K24" s="30">
        <v>71.67</v>
      </c>
      <c r="L24" s="26">
        <v>0</v>
      </c>
      <c r="M24" s="31">
        <v>38016</v>
      </c>
      <c r="N24" s="32">
        <v>4.42</v>
      </c>
      <c r="O24" s="26">
        <v>0</v>
      </c>
      <c r="P24" s="33">
        <v>38016</v>
      </c>
      <c r="Q24" s="34">
        <v>5.12</v>
      </c>
      <c r="R24" s="26">
        <v>0</v>
      </c>
      <c r="S24" s="35">
        <v>37901</v>
      </c>
      <c r="T24" s="36">
        <v>28.47</v>
      </c>
      <c r="U24" s="26">
        <v>0</v>
      </c>
      <c r="V24" s="37">
        <v>37901</v>
      </c>
      <c r="W24" s="38">
        <v>3.01</v>
      </c>
      <c r="X24" s="39">
        <v>0</v>
      </c>
      <c r="Y24" s="40">
        <v>37839</v>
      </c>
      <c r="Z24" s="41">
        <v>29.3</v>
      </c>
      <c r="AA24" s="26">
        <v>0</v>
      </c>
      <c r="AB24" s="42">
        <v>37839</v>
      </c>
      <c r="AC24" s="56">
        <v>7.43</v>
      </c>
      <c r="AD24" s="26">
        <v>0</v>
      </c>
      <c r="AE24" s="44">
        <v>40544</v>
      </c>
      <c r="AF24" s="45">
        <v>92.4</v>
      </c>
      <c r="AG24" s="26">
        <v>0</v>
      </c>
      <c r="AH24" s="44">
        <v>40261</v>
      </c>
      <c r="AI24" s="45">
        <v>61.16</v>
      </c>
      <c r="AJ24" s="46">
        <v>0</v>
      </c>
      <c r="AK24" s="47">
        <v>41191</v>
      </c>
      <c r="AL24" s="22">
        <v>35.619999999999997</v>
      </c>
      <c r="AM24" s="48">
        <v>0</v>
      </c>
      <c r="AN24" s="49">
        <v>41072</v>
      </c>
      <c r="AO24" s="50">
        <v>63.24</v>
      </c>
      <c r="AP24" s="26">
        <v>0</v>
      </c>
      <c r="AQ24" s="72">
        <v>42620</v>
      </c>
      <c r="AR24" s="77">
        <v>14.56</v>
      </c>
      <c r="AS24" s="26">
        <v>1</v>
      </c>
      <c r="AT24" s="52">
        <v>41235</v>
      </c>
      <c r="AU24" s="53">
        <v>68.790000000000006</v>
      </c>
      <c r="AV24" s="26">
        <v>0</v>
      </c>
      <c r="AW24" s="51">
        <v>41073</v>
      </c>
      <c r="AX24" s="22">
        <v>34.64</v>
      </c>
      <c r="AY24" s="48">
        <v>0</v>
      </c>
    </row>
    <row r="25" spans="1:51" x14ac:dyDescent="0.3">
      <c r="A25" s="21">
        <v>41437</v>
      </c>
      <c r="B25" s="22">
        <v>35.5</v>
      </c>
      <c r="C25" s="23">
        <v>0</v>
      </c>
      <c r="D25" s="71">
        <v>42157</v>
      </c>
      <c r="E25" s="74">
        <v>10.55</v>
      </c>
      <c r="F25" s="26">
        <v>0</v>
      </c>
      <c r="G25" s="27">
        <v>42387</v>
      </c>
      <c r="H25" s="67">
        <v>13.47</v>
      </c>
      <c r="I25" s="26">
        <v>0</v>
      </c>
      <c r="J25" s="29">
        <v>41368</v>
      </c>
      <c r="K25" s="30">
        <v>71.88</v>
      </c>
      <c r="L25" s="26">
        <v>0</v>
      </c>
      <c r="M25" s="31">
        <v>38050</v>
      </c>
      <c r="N25" s="32">
        <v>4.45</v>
      </c>
      <c r="O25" s="26">
        <v>0</v>
      </c>
      <c r="P25" s="33">
        <v>38050</v>
      </c>
      <c r="Q25" s="34">
        <v>5.08</v>
      </c>
      <c r="R25" s="26">
        <v>0</v>
      </c>
      <c r="S25" s="35">
        <v>38009</v>
      </c>
      <c r="T25" s="36">
        <v>28.64</v>
      </c>
      <c r="U25" s="26">
        <v>0</v>
      </c>
      <c r="V25" s="37">
        <v>38009</v>
      </c>
      <c r="W25" s="38">
        <v>3.43</v>
      </c>
      <c r="X25" s="39">
        <v>0</v>
      </c>
      <c r="Y25" s="40">
        <v>37845</v>
      </c>
      <c r="Z25" s="41">
        <v>29.32</v>
      </c>
      <c r="AA25" s="26">
        <v>0</v>
      </c>
      <c r="AB25" s="42">
        <v>37845</v>
      </c>
      <c r="AC25" s="56">
        <v>7.49</v>
      </c>
      <c r="AD25" s="26">
        <v>0</v>
      </c>
      <c r="AE25" s="44">
        <v>40745</v>
      </c>
      <c r="AF25" s="45">
        <v>91.55</v>
      </c>
      <c r="AG25" s="26">
        <v>0</v>
      </c>
      <c r="AH25" s="44">
        <v>40262</v>
      </c>
      <c r="AI25" s="45">
        <v>61.16</v>
      </c>
      <c r="AJ25" s="46">
        <v>0</v>
      </c>
      <c r="AK25" s="47">
        <v>41228</v>
      </c>
      <c r="AL25" s="78">
        <v>35.75</v>
      </c>
      <c r="AM25" s="48">
        <v>0</v>
      </c>
      <c r="AN25" s="49">
        <v>41098</v>
      </c>
      <c r="AO25" s="50">
        <v>64.349999999999994</v>
      </c>
      <c r="AP25" s="26">
        <v>0</v>
      </c>
      <c r="AQ25" s="75">
        <v>42733</v>
      </c>
      <c r="AR25" s="66">
        <v>14.96</v>
      </c>
      <c r="AS25" s="26">
        <v>0</v>
      </c>
      <c r="AT25" s="52">
        <v>41278</v>
      </c>
      <c r="AU25" s="53">
        <v>69.099999999999994</v>
      </c>
      <c r="AV25" s="26">
        <v>0</v>
      </c>
      <c r="AW25" s="51">
        <v>41228</v>
      </c>
      <c r="AX25" s="22">
        <v>34.57</v>
      </c>
      <c r="AY25" s="48">
        <v>0</v>
      </c>
    </row>
    <row r="26" spans="1:51" x14ac:dyDescent="0.3">
      <c r="A26" s="21">
        <v>41471</v>
      </c>
      <c r="B26" s="22">
        <v>35.58</v>
      </c>
      <c r="C26" s="23">
        <v>0</v>
      </c>
      <c r="D26" s="71">
        <v>42220</v>
      </c>
      <c r="E26" s="74">
        <v>11.2</v>
      </c>
      <c r="F26" s="26">
        <v>0</v>
      </c>
      <c r="G26" s="27">
        <v>42429</v>
      </c>
      <c r="H26" s="67">
        <v>13.02</v>
      </c>
      <c r="I26" s="26">
        <v>0</v>
      </c>
      <c r="J26" s="79">
        <v>41397</v>
      </c>
      <c r="K26" s="30">
        <v>71.819999999999993</v>
      </c>
      <c r="L26" s="26">
        <v>0</v>
      </c>
      <c r="M26" s="31">
        <v>43588</v>
      </c>
      <c r="N26" s="32">
        <v>4.5999999999999996</v>
      </c>
      <c r="O26" s="26">
        <v>0</v>
      </c>
      <c r="P26" s="33">
        <v>43588</v>
      </c>
      <c r="Q26" s="34">
        <v>5.37</v>
      </c>
      <c r="R26" s="26">
        <v>0</v>
      </c>
      <c r="S26" s="35">
        <v>38110</v>
      </c>
      <c r="T26" s="36">
        <v>28.65</v>
      </c>
      <c r="U26" s="26">
        <v>0</v>
      </c>
      <c r="V26" s="37">
        <v>38110</v>
      </c>
      <c r="W26" s="38">
        <v>3.44</v>
      </c>
      <c r="X26" s="39">
        <v>0</v>
      </c>
      <c r="Y26" s="40">
        <v>37744</v>
      </c>
      <c r="Z26" s="41">
        <v>29.25</v>
      </c>
      <c r="AA26" s="26">
        <v>0</v>
      </c>
      <c r="AB26" s="42">
        <v>37744</v>
      </c>
      <c r="AC26" s="56">
        <v>7.5</v>
      </c>
      <c r="AD26" s="26">
        <v>0</v>
      </c>
      <c r="AE26" s="44">
        <v>40777</v>
      </c>
      <c r="AF26" s="45">
        <v>91.34</v>
      </c>
      <c r="AG26" s="26">
        <v>0</v>
      </c>
      <c r="AH26" s="44">
        <v>40263</v>
      </c>
      <c r="AI26" s="45">
        <v>61.17</v>
      </c>
      <c r="AJ26" s="46">
        <v>0</v>
      </c>
      <c r="AK26" s="47">
        <v>41278</v>
      </c>
      <c r="AL26" s="78">
        <f>(AL25+AL27)/2</f>
        <v>36.125</v>
      </c>
      <c r="AM26" s="48">
        <v>0</v>
      </c>
      <c r="AN26" s="49">
        <v>41171</v>
      </c>
      <c r="AO26" s="50">
        <v>64.459999999999994</v>
      </c>
      <c r="AP26" s="26">
        <v>0</v>
      </c>
      <c r="AT26" s="80">
        <v>41368</v>
      </c>
      <c r="AU26" s="53">
        <v>69.45</v>
      </c>
      <c r="AV26" s="26">
        <v>0</v>
      </c>
      <c r="AW26" s="51">
        <v>41278</v>
      </c>
      <c r="AX26" s="22">
        <v>34.74</v>
      </c>
      <c r="AY26" s="48">
        <v>0</v>
      </c>
    </row>
    <row r="27" spans="1:51" x14ac:dyDescent="0.3">
      <c r="A27" s="21">
        <v>41506</v>
      </c>
      <c r="B27" s="22">
        <v>35.549999999999997</v>
      </c>
      <c r="C27" s="23">
        <v>0</v>
      </c>
      <c r="D27" s="71">
        <v>42255</v>
      </c>
      <c r="E27" s="74">
        <v>11.26</v>
      </c>
      <c r="F27" s="26">
        <v>0</v>
      </c>
      <c r="G27" s="27">
        <v>42471</v>
      </c>
      <c r="H27" s="67">
        <v>12.32</v>
      </c>
      <c r="I27" s="26">
        <v>0</v>
      </c>
      <c r="J27" s="29">
        <v>41437</v>
      </c>
      <c r="K27" s="30">
        <v>71.75</v>
      </c>
      <c r="L27" s="26">
        <v>0</v>
      </c>
      <c r="M27" s="31">
        <v>38078</v>
      </c>
      <c r="N27" s="32">
        <v>4.8</v>
      </c>
      <c r="O27" s="26">
        <v>0</v>
      </c>
      <c r="P27" s="33">
        <v>38078</v>
      </c>
      <c r="Q27" s="34">
        <v>5.4</v>
      </c>
      <c r="R27" s="26">
        <v>0</v>
      </c>
      <c r="S27" s="35">
        <v>38048</v>
      </c>
      <c r="T27" s="36">
        <v>28.68</v>
      </c>
      <c r="U27" s="26">
        <v>0</v>
      </c>
      <c r="V27" s="37">
        <v>38048</v>
      </c>
      <c r="W27" s="38">
        <v>3.49</v>
      </c>
      <c r="X27" s="39">
        <v>0</v>
      </c>
      <c r="Y27" s="40">
        <v>37858</v>
      </c>
      <c r="Z27" s="41">
        <v>29.29</v>
      </c>
      <c r="AA27" s="26">
        <v>0</v>
      </c>
      <c r="AB27" s="42">
        <v>37858</v>
      </c>
      <c r="AC27" s="56">
        <v>7.51</v>
      </c>
      <c r="AD27" s="26">
        <v>0</v>
      </c>
      <c r="AE27" s="44">
        <v>40814</v>
      </c>
      <c r="AF27" s="45">
        <v>91.29</v>
      </c>
      <c r="AG27" s="26">
        <v>0</v>
      </c>
      <c r="AH27" s="44">
        <v>40264</v>
      </c>
      <c r="AI27" s="45">
        <v>61.17</v>
      </c>
      <c r="AJ27" s="46">
        <v>0</v>
      </c>
      <c r="AK27" s="47">
        <v>41368</v>
      </c>
      <c r="AL27" s="78">
        <v>36.5</v>
      </c>
      <c r="AM27" s="48">
        <v>0</v>
      </c>
      <c r="AN27" s="49">
        <v>41191</v>
      </c>
      <c r="AO27" s="50">
        <v>64.56</v>
      </c>
      <c r="AP27" s="26">
        <v>0</v>
      </c>
      <c r="AT27" s="80">
        <v>41401</v>
      </c>
      <c r="AU27" s="53">
        <v>69.22</v>
      </c>
      <c r="AV27" s="26">
        <v>0</v>
      </c>
      <c r="AW27" s="51">
        <v>41368</v>
      </c>
      <c r="AX27" s="22">
        <v>34.97</v>
      </c>
      <c r="AY27" s="48">
        <v>0</v>
      </c>
    </row>
    <row r="28" spans="1:51" x14ac:dyDescent="0.3">
      <c r="A28" s="21">
        <v>41617</v>
      </c>
      <c r="B28" s="22">
        <v>35.85</v>
      </c>
      <c r="C28" s="23">
        <v>0</v>
      </c>
      <c r="D28" s="71">
        <v>42292</v>
      </c>
      <c r="E28" s="74">
        <v>11.25</v>
      </c>
      <c r="F28" s="26">
        <v>0</v>
      </c>
      <c r="G28" s="27">
        <v>42557</v>
      </c>
      <c r="H28" s="67">
        <v>11.27</v>
      </c>
      <c r="I28" s="26">
        <v>0</v>
      </c>
      <c r="J28" s="29">
        <v>41471</v>
      </c>
      <c r="K28" s="30">
        <v>71.739999999999995</v>
      </c>
      <c r="L28" s="26">
        <v>0</v>
      </c>
      <c r="M28" s="31">
        <v>38090</v>
      </c>
      <c r="N28" s="32">
        <v>4.9000000000000004</v>
      </c>
      <c r="O28" s="26">
        <v>0</v>
      </c>
      <c r="P28" s="33">
        <v>38090</v>
      </c>
      <c r="Q28" s="34">
        <v>5.48</v>
      </c>
      <c r="R28" s="26">
        <v>0</v>
      </c>
      <c r="S28" s="35">
        <v>38058</v>
      </c>
      <c r="T28" s="36">
        <v>28.7</v>
      </c>
      <c r="U28" s="26">
        <v>0</v>
      </c>
      <c r="V28" s="37">
        <v>38058</v>
      </c>
      <c r="W28" s="38">
        <v>3.48</v>
      </c>
      <c r="X28" s="39">
        <v>0</v>
      </c>
      <c r="Y28" s="40">
        <v>37865</v>
      </c>
      <c r="Z28" s="41">
        <v>29.1</v>
      </c>
      <c r="AA28" s="26">
        <v>0</v>
      </c>
      <c r="AB28" s="42">
        <v>37865</v>
      </c>
      <c r="AC28" s="56">
        <v>7.6</v>
      </c>
      <c r="AD28" s="26">
        <v>0</v>
      </c>
      <c r="AE28" s="44">
        <v>40834</v>
      </c>
      <c r="AF28" s="45">
        <v>91.3</v>
      </c>
      <c r="AG28" s="26">
        <v>0</v>
      </c>
      <c r="AH28" s="44">
        <v>40265</v>
      </c>
      <c r="AI28" s="45">
        <v>61.16</v>
      </c>
      <c r="AJ28" s="46">
        <v>0</v>
      </c>
      <c r="AK28" s="47">
        <v>41401</v>
      </c>
      <c r="AL28" s="78">
        <v>36.79</v>
      </c>
      <c r="AM28" s="48">
        <v>0</v>
      </c>
      <c r="AN28" s="49">
        <v>41235</v>
      </c>
      <c r="AO28" s="50">
        <v>64.75</v>
      </c>
      <c r="AP28" s="26">
        <v>0</v>
      </c>
      <c r="AT28" s="80">
        <v>41437</v>
      </c>
      <c r="AU28" s="53">
        <v>69.790000000000006</v>
      </c>
      <c r="AV28" s="26">
        <v>0</v>
      </c>
      <c r="AW28" s="51">
        <v>41401</v>
      </c>
      <c r="AX28" s="22">
        <v>35.14</v>
      </c>
      <c r="AY28" s="48">
        <v>0</v>
      </c>
    </row>
    <row r="29" spans="1:51" x14ac:dyDescent="0.3">
      <c r="A29" s="21">
        <v>41647</v>
      </c>
      <c r="B29" s="22">
        <v>36.54</v>
      </c>
      <c r="C29" s="23">
        <v>0</v>
      </c>
      <c r="D29" s="71">
        <v>42353</v>
      </c>
      <c r="E29" s="74">
        <v>11.026</v>
      </c>
      <c r="F29" s="26">
        <v>0</v>
      </c>
      <c r="G29" s="27">
        <v>42591</v>
      </c>
      <c r="H29" s="67">
        <v>10.1</v>
      </c>
      <c r="I29" s="26">
        <v>0</v>
      </c>
      <c r="J29" s="29">
        <v>41506</v>
      </c>
      <c r="K29" s="30">
        <v>72.02</v>
      </c>
      <c r="L29" s="26">
        <v>0</v>
      </c>
      <c r="M29" s="31">
        <v>38105</v>
      </c>
      <c r="N29" s="32">
        <v>4.8499999999999996</v>
      </c>
      <c r="O29" s="26">
        <v>0</v>
      </c>
      <c r="P29" s="33">
        <v>38105</v>
      </c>
      <c r="Q29" s="34">
        <v>5.34</v>
      </c>
      <c r="R29" s="26">
        <v>0</v>
      </c>
      <c r="S29" s="35">
        <v>38078</v>
      </c>
      <c r="T29" s="36">
        <v>28.71</v>
      </c>
      <c r="U29" s="26">
        <v>0</v>
      </c>
      <c r="V29" s="37">
        <v>38078</v>
      </c>
      <c r="W29" s="38">
        <v>3.5</v>
      </c>
      <c r="X29" s="39">
        <v>0</v>
      </c>
      <c r="Y29" s="40">
        <v>37872</v>
      </c>
      <c r="Z29" s="41">
        <v>30.1</v>
      </c>
      <c r="AA29" s="26">
        <v>0</v>
      </c>
      <c r="AB29" s="42">
        <v>37872</v>
      </c>
      <c r="AC29" s="56">
        <v>7.5</v>
      </c>
      <c r="AD29" s="26">
        <v>0</v>
      </c>
      <c r="AE29" s="44">
        <v>40864</v>
      </c>
      <c r="AF29" s="45">
        <v>91.3</v>
      </c>
      <c r="AG29" s="26">
        <v>0</v>
      </c>
      <c r="AH29" s="44">
        <v>40266</v>
      </c>
      <c r="AI29" s="45">
        <v>61.15</v>
      </c>
      <c r="AJ29" s="46">
        <v>0</v>
      </c>
      <c r="AK29" s="47">
        <v>41437</v>
      </c>
      <c r="AL29" s="78">
        <v>36.97</v>
      </c>
      <c r="AM29" s="48">
        <v>0</v>
      </c>
      <c r="AN29" s="49">
        <v>41278</v>
      </c>
      <c r="AO29" s="50">
        <v>65</v>
      </c>
      <c r="AP29" s="26">
        <v>0</v>
      </c>
      <c r="AT29" s="80">
        <v>41471</v>
      </c>
      <c r="AU29" s="53">
        <v>69.91</v>
      </c>
      <c r="AV29" s="26">
        <v>0</v>
      </c>
      <c r="AW29" s="51">
        <v>41437</v>
      </c>
      <c r="AX29" s="22">
        <v>35.24</v>
      </c>
      <c r="AY29" s="48">
        <v>0</v>
      </c>
    </row>
    <row r="30" spans="1:51" x14ac:dyDescent="0.3">
      <c r="A30" s="21">
        <v>41683</v>
      </c>
      <c r="B30" s="22">
        <v>36.72</v>
      </c>
      <c r="C30" s="23">
        <v>0</v>
      </c>
      <c r="D30" s="71">
        <v>42429</v>
      </c>
      <c r="E30" s="74">
        <v>11.25</v>
      </c>
      <c r="F30" s="26">
        <v>0</v>
      </c>
      <c r="G30" s="27">
        <v>42858</v>
      </c>
      <c r="H30" s="67">
        <v>9.4600000000000009</v>
      </c>
      <c r="I30" s="26">
        <v>0</v>
      </c>
      <c r="J30" s="29">
        <v>41555</v>
      </c>
      <c r="K30" s="30">
        <v>72.010000000000005</v>
      </c>
      <c r="L30" s="26">
        <v>0</v>
      </c>
      <c r="M30" s="31">
        <v>38133</v>
      </c>
      <c r="N30" s="32">
        <v>4.53</v>
      </c>
      <c r="O30" s="26">
        <v>0</v>
      </c>
      <c r="P30" s="33">
        <v>38133</v>
      </c>
      <c r="Q30" s="34">
        <v>4.9000000000000004</v>
      </c>
      <c r="R30" s="26">
        <v>0</v>
      </c>
      <c r="S30" s="35">
        <v>38090</v>
      </c>
      <c r="T30" s="36">
        <v>29.05</v>
      </c>
      <c r="U30" s="26">
        <v>0</v>
      </c>
      <c r="V30" s="37">
        <v>38090</v>
      </c>
      <c r="W30" s="38">
        <v>4.01</v>
      </c>
      <c r="X30" s="39">
        <v>0</v>
      </c>
      <c r="Y30" s="40">
        <v>37873</v>
      </c>
      <c r="Z30" s="41">
        <v>30</v>
      </c>
      <c r="AA30" s="26">
        <v>0</v>
      </c>
      <c r="AB30" s="42">
        <v>37873</v>
      </c>
      <c r="AC30" s="56">
        <v>7.55</v>
      </c>
      <c r="AD30" s="26">
        <v>0</v>
      </c>
      <c r="AE30" s="44">
        <v>40889</v>
      </c>
      <c r="AF30" s="45">
        <v>91.3</v>
      </c>
      <c r="AG30" s="26">
        <v>0</v>
      </c>
      <c r="AH30" s="44">
        <v>40267</v>
      </c>
      <c r="AI30" s="45">
        <v>61.16</v>
      </c>
      <c r="AJ30" s="46">
        <v>0</v>
      </c>
      <c r="AK30" s="47">
        <v>41471</v>
      </c>
      <c r="AL30" s="78">
        <v>36.99</v>
      </c>
      <c r="AM30" s="48">
        <v>0</v>
      </c>
      <c r="AN30" s="49">
        <v>41368</v>
      </c>
      <c r="AO30" s="50">
        <v>65.23</v>
      </c>
      <c r="AP30" s="26">
        <v>0</v>
      </c>
      <c r="AT30" s="80">
        <v>41506</v>
      </c>
      <c r="AU30" s="53">
        <v>69.900000000000006</v>
      </c>
      <c r="AV30" s="26">
        <v>0</v>
      </c>
      <c r="AW30" s="51">
        <v>41471</v>
      </c>
      <c r="AX30" s="22">
        <v>35.31</v>
      </c>
      <c r="AY30" s="48">
        <v>0</v>
      </c>
    </row>
    <row r="31" spans="1:51" x14ac:dyDescent="0.3">
      <c r="A31" s="21">
        <v>41764</v>
      </c>
      <c r="B31" s="22">
        <v>36.950000000000003</v>
      </c>
      <c r="C31" s="23">
        <v>0</v>
      </c>
      <c r="D31" s="71">
        <v>42471</v>
      </c>
      <c r="E31" s="74">
        <v>11.66</v>
      </c>
      <c r="F31" s="26">
        <v>0</v>
      </c>
      <c r="G31" s="27">
        <v>42888</v>
      </c>
      <c r="H31" s="67">
        <v>8.8699999999999992</v>
      </c>
      <c r="I31" s="26">
        <v>0</v>
      </c>
      <c r="J31" s="29">
        <v>41556</v>
      </c>
      <c r="K31" s="30">
        <v>71.959999999999994</v>
      </c>
      <c r="L31" s="26">
        <v>0</v>
      </c>
      <c r="M31" s="31">
        <v>38155</v>
      </c>
      <c r="N31" s="32">
        <v>4.6500000000000004</v>
      </c>
      <c r="O31" s="26">
        <v>0</v>
      </c>
      <c r="P31" s="33">
        <v>38155</v>
      </c>
      <c r="Q31" s="34">
        <v>5.0999999999999996</v>
      </c>
      <c r="R31" s="26">
        <v>0</v>
      </c>
      <c r="S31" s="35">
        <v>38105</v>
      </c>
      <c r="T31" s="36">
        <v>29.05</v>
      </c>
      <c r="U31" s="26">
        <v>0</v>
      </c>
      <c r="V31" s="37">
        <v>38105</v>
      </c>
      <c r="W31" s="38">
        <v>3.73</v>
      </c>
      <c r="X31" s="39">
        <v>0</v>
      </c>
      <c r="Y31" s="40">
        <v>37881</v>
      </c>
      <c r="Z31" s="41">
        <v>29.95</v>
      </c>
      <c r="AA31" s="26">
        <v>0</v>
      </c>
      <c r="AB31" s="42">
        <v>37881</v>
      </c>
      <c r="AC31" s="56">
        <v>7.57</v>
      </c>
      <c r="AD31" s="26">
        <v>0</v>
      </c>
      <c r="AE31" s="44">
        <v>40911</v>
      </c>
      <c r="AF31" s="45">
        <v>91.3</v>
      </c>
      <c r="AG31" s="26">
        <v>0</v>
      </c>
      <c r="AH31" s="44">
        <v>40268</v>
      </c>
      <c r="AI31" s="45">
        <v>61.17</v>
      </c>
      <c r="AJ31" s="46">
        <v>0</v>
      </c>
      <c r="AK31" s="47">
        <v>41506</v>
      </c>
      <c r="AL31" s="78">
        <v>37.130000000000003</v>
      </c>
      <c r="AM31" s="48">
        <v>0</v>
      </c>
      <c r="AN31" s="49">
        <v>41401</v>
      </c>
      <c r="AO31" s="50">
        <v>65.400000000000006</v>
      </c>
      <c r="AP31" s="26">
        <v>0</v>
      </c>
      <c r="AT31" s="80">
        <v>41555</v>
      </c>
      <c r="AU31" s="53">
        <v>70.2</v>
      </c>
      <c r="AV31" s="26">
        <v>0</v>
      </c>
      <c r="AW31" s="51">
        <v>41506</v>
      </c>
      <c r="AX31" s="22">
        <v>35.32</v>
      </c>
      <c r="AY31" s="48">
        <v>0</v>
      </c>
    </row>
    <row r="32" spans="1:51" x14ac:dyDescent="0.3">
      <c r="A32" s="21">
        <v>41793</v>
      </c>
      <c r="B32" s="22">
        <v>36.979999999999997</v>
      </c>
      <c r="C32" s="23">
        <v>0</v>
      </c>
      <c r="D32" s="71">
        <v>42557</v>
      </c>
      <c r="E32" s="74">
        <v>9.76</v>
      </c>
      <c r="F32" s="26">
        <v>0</v>
      </c>
      <c r="G32" s="27">
        <v>43122</v>
      </c>
      <c r="H32" s="67">
        <v>7.11</v>
      </c>
      <c r="I32" s="26">
        <v>0</v>
      </c>
      <c r="J32" s="29">
        <v>41617</v>
      </c>
      <c r="K32" s="30">
        <v>72.14</v>
      </c>
      <c r="L32" s="26">
        <v>0</v>
      </c>
      <c r="M32" s="31">
        <v>38161</v>
      </c>
      <c r="N32" s="32">
        <v>4.63</v>
      </c>
      <c r="O32" s="26">
        <v>0</v>
      </c>
      <c r="P32" s="33">
        <v>38161</v>
      </c>
      <c r="Q32" s="34">
        <v>5.16</v>
      </c>
      <c r="R32" s="26">
        <v>0</v>
      </c>
      <c r="S32" s="35">
        <v>38117</v>
      </c>
      <c r="T32" s="36">
        <v>29.9</v>
      </c>
      <c r="U32" s="26">
        <v>0</v>
      </c>
      <c r="V32" s="37">
        <v>38117</v>
      </c>
      <c r="W32" s="38">
        <v>3.5</v>
      </c>
      <c r="X32" s="39">
        <v>0</v>
      </c>
      <c r="Y32" s="40">
        <v>37895</v>
      </c>
      <c r="Z32" s="41">
        <v>29.95</v>
      </c>
      <c r="AA32" s="26">
        <v>0</v>
      </c>
      <c r="AB32" s="42">
        <v>37895</v>
      </c>
      <c r="AC32" s="56">
        <v>7.5</v>
      </c>
      <c r="AD32" s="26">
        <v>0</v>
      </c>
      <c r="AE32" s="44">
        <v>40967</v>
      </c>
      <c r="AF32" s="45">
        <v>91.25</v>
      </c>
      <c r="AG32" s="26">
        <v>0</v>
      </c>
      <c r="AH32" s="44">
        <v>40269</v>
      </c>
      <c r="AI32" s="45">
        <v>61.17</v>
      </c>
      <c r="AJ32" s="46">
        <v>0</v>
      </c>
      <c r="AK32" s="47">
        <v>41555</v>
      </c>
      <c r="AL32" s="78">
        <v>37.18</v>
      </c>
      <c r="AM32" s="48">
        <v>0</v>
      </c>
      <c r="AN32" s="49">
        <v>41437</v>
      </c>
      <c r="AO32" s="50">
        <v>65.7</v>
      </c>
      <c r="AP32" s="26">
        <v>0</v>
      </c>
      <c r="AT32" s="80">
        <v>41556</v>
      </c>
      <c r="AU32" s="53">
        <v>70.17</v>
      </c>
      <c r="AV32" s="26">
        <v>0</v>
      </c>
      <c r="AW32" s="51">
        <v>41556</v>
      </c>
      <c r="AX32" s="22">
        <v>35.409999999999997</v>
      </c>
      <c r="AY32" s="48">
        <v>0</v>
      </c>
    </row>
    <row r="33" spans="1:51" x14ac:dyDescent="0.3">
      <c r="A33" s="21">
        <v>41830</v>
      </c>
      <c r="B33" s="70">
        <v>37.03</v>
      </c>
      <c r="C33" s="23">
        <v>0</v>
      </c>
      <c r="D33" s="71">
        <v>42591</v>
      </c>
      <c r="E33" s="74">
        <v>9.7100000000000009</v>
      </c>
      <c r="F33" s="26">
        <v>0</v>
      </c>
      <c r="G33" s="27">
        <v>43263</v>
      </c>
      <c r="H33" s="67">
        <v>6.49</v>
      </c>
      <c r="I33" s="26">
        <v>0</v>
      </c>
      <c r="J33" s="29">
        <v>41647</v>
      </c>
      <c r="K33" s="30">
        <v>72.12</v>
      </c>
      <c r="L33" s="26">
        <v>0</v>
      </c>
      <c r="M33" s="31">
        <v>38170</v>
      </c>
      <c r="N33" s="32">
        <v>4.5999999999999996</v>
      </c>
      <c r="O33" s="26">
        <v>0</v>
      </c>
      <c r="P33" s="33">
        <v>38170</v>
      </c>
      <c r="Q33" s="34">
        <v>5.12</v>
      </c>
      <c r="R33" s="26">
        <v>0</v>
      </c>
      <c r="S33" s="35">
        <v>38161</v>
      </c>
      <c r="T33" s="36">
        <v>28.84</v>
      </c>
      <c r="U33" s="26">
        <v>0</v>
      </c>
      <c r="V33" s="37">
        <v>38161</v>
      </c>
      <c r="W33" s="38">
        <v>2.74</v>
      </c>
      <c r="X33" s="39">
        <v>0</v>
      </c>
      <c r="Y33" s="40">
        <v>37900</v>
      </c>
      <c r="Z33" s="41">
        <v>29.97</v>
      </c>
      <c r="AA33" s="26">
        <v>0</v>
      </c>
      <c r="AB33" s="42">
        <v>37900</v>
      </c>
      <c r="AC33" s="56">
        <v>7.6</v>
      </c>
      <c r="AD33" s="26">
        <v>0</v>
      </c>
      <c r="AE33" s="44">
        <v>41017</v>
      </c>
      <c r="AF33" s="45">
        <v>91</v>
      </c>
      <c r="AG33" s="26">
        <v>0</v>
      </c>
      <c r="AH33" s="44">
        <v>40270</v>
      </c>
      <c r="AI33" s="45">
        <v>61.17</v>
      </c>
      <c r="AJ33" s="46">
        <v>0</v>
      </c>
      <c r="AK33" s="47">
        <v>41556</v>
      </c>
      <c r="AL33" s="78">
        <v>37.18</v>
      </c>
      <c r="AM33" s="48">
        <v>0</v>
      </c>
      <c r="AN33" s="81">
        <v>41471</v>
      </c>
      <c r="AO33" s="50">
        <v>65.430000000000007</v>
      </c>
      <c r="AP33" s="26">
        <v>0</v>
      </c>
      <c r="AT33" s="80">
        <v>41617</v>
      </c>
      <c r="AU33" s="53">
        <v>70.569999999999993</v>
      </c>
      <c r="AV33" s="26">
        <v>0</v>
      </c>
      <c r="AW33" s="51">
        <v>41617</v>
      </c>
      <c r="AX33" s="22">
        <v>35.57</v>
      </c>
      <c r="AY33" s="48">
        <v>0</v>
      </c>
    </row>
    <row r="34" spans="1:51" x14ac:dyDescent="0.3">
      <c r="A34" s="21">
        <v>41976</v>
      </c>
      <c r="B34" s="22">
        <v>36.979999999999997</v>
      </c>
      <c r="C34" s="23">
        <v>0</v>
      </c>
      <c r="D34" s="71">
        <v>42768</v>
      </c>
      <c r="E34" s="74">
        <v>9.7349999999999994</v>
      </c>
      <c r="F34" s="26">
        <v>0</v>
      </c>
      <c r="G34" s="27">
        <v>43297</v>
      </c>
      <c r="H34" s="67">
        <v>6.07</v>
      </c>
      <c r="I34" s="26">
        <v>0</v>
      </c>
      <c r="J34" s="29">
        <v>41683</v>
      </c>
      <c r="K34" s="30">
        <v>72.3</v>
      </c>
      <c r="L34" s="26">
        <v>0</v>
      </c>
      <c r="M34" s="31">
        <v>38197</v>
      </c>
      <c r="N34" s="32">
        <v>4.7</v>
      </c>
      <c r="O34" s="26">
        <v>0</v>
      </c>
      <c r="P34" s="33">
        <v>38197</v>
      </c>
      <c r="Q34" s="34">
        <v>5.05</v>
      </c>
      <c r="R34" s="26">
        <v>0</v>
      </c>
      <c r="S34" s="35">
        <v>38189</v>
      </c>
      <c r="T34" s="36">
        <v>29.07</v>
      </c>
      <c r="U34" s="26">
        <v>0</v>
      </c>
      <c r="V34" s="37">
        <v>38189</v>
      </c>
      <c r="W34" s="38">
        <v>2.6</v>
      </c>
      <c r="X34" s="39">
        <v>0</v>
      </c>
      <c r="Y34" s="40">
        <v>37937</v>
      </c>
      <c r="Z34" s="41">
        <v>29.72</v>
      </c>
      <c r="AA34" s="26">
        <v>0</v>
      </c>
      <c r="AB34" s="42">
        <v>37937</v>
      </c>
      <c r="AC34" s="56">
        <v>6.9</v>
      </c>
      <c r="AD34" s="26">
        <v>0</v>
      </c>
      <c r="AE34" s="44">
        <v>41072</v>
      </c>
      <c r="AF34" s="45">
        <v>91.15</v>
      </c>
      <c r="AG34" s="26">
        <v>0</v>
      </c>
      <c r="AH34" s="44">
        <v>40271</v>
      </c>
      <c r="AI34" s="45">
        <v>61.17</v>
      </c>
      <c r="AJ34" s="46">
        <v>0</v>
      </c>
      <c r="AK34" s="47">
        <v>41617</v>
      </c>
      <c r="AL34" s="78">
        <v>37.15</v>
      </c>
      <c r="AM34" s="48">
        <v>0</v>
      </c>
      <c r="AN34" s="81">
        <v>41506</v>
      </c>
      <c r="AO34" s="50">
        <v>65.42</v>
      </c>
      <c r="AP34" s="26">
        <v>0</v>
      </c>
      <c r="AT34" s="80">
        <v>41659</v>
      </c>
      <c r="AU34" s="53">
        <v>70.790000000000006</v>
      </c>
      <c r="AV34" s="26">
        <v>0</v>
      </c>
      <c r="AW34" s="51">
        <v>41647</v>
      </c>
      <c r="AX34" s="70">
        <v>35.72</v>
      </c>
      <c r="AY34" s="48">
        <v>0</v>
      </c>
    </row>
    <row r="35" spans="1:51" x14ac:dyDescent="0.3">
      <c r="A35" s="21">
        <v>42020</v>
      </c>
      <c r="B35" s="22">
        <v>38.76</v>
      </c>
      <c r="C35" s="23">
        <v>0</v>
      </c>
      <c r="D35" s="71">
        <v>42888</v>
      </c>
      <c r="E35" s="82">
        <v>9.7225000000000001</v>
      </c>
      <c r="F35" s="26">
        <v>0</v>
      </c>
      <c r="G35" s="27">
        <v>43559</v>
      </c>
      <c r="H35" s="67">
        <v>5.46</v>
      </c>
      <c r="I35" s="26">
        <v>0</v>
      </c>
      <c r="J35" s="29">
        <v>41764</v>
      </c>
      <c r="K35" s="30">
        <v>72.52</v>
      </c>
      <c r="L35" s="26">
        <v>0</v>
      </c>
      <c r="M35" s="31">
        <v>38203</v>
      </c>
      <c r="N35" s="32">
        <v>4.67</v>
      </c>
      <c r="O35" s="26">
        <v>0</v>
      </c>
      <c r="P35" s="33">
        <v>38203</v>
      </c>
      <c r="Q35" s="34">
        <v>5.04</v>
      </c>
      <c r="R35" s="26">
        <v>0</v>
      </c>
      <c r="S35" s="35">
        <v>38197</v>
      </c>
      <c r="T35" s="36">
        <v>29.12</v>
      </c>
      <c r="U35" s="26">
        <v>0</v>
      </c>
      <c r="V35" s="37">
        <v>38197</v>
      </c>
      <c r="W35" s="38">
        <v>2.5499999999999998</v>
      </c>
      <c r="X35" s="39">
        <v>0</v>
      </c>
      <c r="Y35" s="40">
        <v>37952</v>
      </c>
      <c r="Z35" s="41">
        <v>29.65</v>
      </c>
      <c r="AA35" s="26">
        <v>0</v>
      </c>
      <c r="AB35" s="42">
        <v>37952</v>
      </c>
      <c r="AC35" s="56">
        <v>6.18</v>
      </c>
      <c r="AD35" s="26">
        <v>0</v>
      </c>
      <c r="AE35" s="44">
        <v>41191</v>
      </c>
      <c r="AF35" s="45">
        <v>91.34</v>
      </c>
      <c r="AG35" s="26">
        <v>0</v>
      </c>
      <c r="AH35" s="44">
        <v>40272</v>
      </c>
      <c r="AI35" s="45">
        <v>61.17</v>
      </c>
      <c r="AJ35" s="46">
        <v>0</v>
      </c>
      <c r="AK35" s="47">
        <v>41647</v>
      </c>
      <c r="AL35" s="78">
        <v>37.200000000000003</v>
      </c>
      <c r="AM35" s="48">
        <v>0</v>
      </c>
      <c r="AN35" s="49">
        <v>41555</v>
      </c>
      <c r="AO35" s="50">
        <v>65.459999999999994</v>
      </c>
      <c r="AP35" s="26">
        <v>0</v>
      </c>
      <c r="AT35" s="80">
        <v>41683</v>
      </c>
      <c r="AU35" s="53">
        <v>71.010000000000005</v>
      </c>
      <c r="AV35" s="26">
        <v>0</v>
      </c>
      <c r="AW35" s="51">
        <v>41683</v>
      </c>
      <c r="AX35" s="22">
        <v>35.9</v>
      </c>
      <c r="AY35" s="48">
        <v>0</v>
      </c>
    </row>
    <row r="36" spans="1:51" x14ac:dyDescent="0.3">
      <c r="A36" s="21">
        <v>42099</v>
      </c>
      <c r="B36" s="22">
        <v>38.19</v>
      </c>
      <c r="C36" s="23">
        <v>0</v>
      </c>
      <c r="D36" s="83">
        <v>43177</v>
      </c>
      <c r="E36" s="84">
        <v>9.89</v>
      </c>
      <c r="F36" s="26">
        <v>1</v>
      </c>
      <c r="G36" s="27">
        <v>43588</v>
      </c>
      <c r="H36" s="67">
        <v>5.63</v>
      </c>
      <c r="I36" s="26">
        <v>0</v>
      </c>
      <c r="J36" s="29">
        <v>41793</v>
      </c>
      <c r="K36" s="30">
        <v>72.599999999999994</v>
      </c>
      <c r="L36" s="26">
        <v>0</v>
      </c>
      <c r="M36" s="31">
        <v>38209</v>
      </c>
      <c r="N36" s="32">
        <v>4.4000000000000004</v>
      </c>
      <c r="O36" s="26">
        <v>0</v>
      </c>
      <c r="P36" s="33">
        <v>38209</v>
      </c>
      <c r="Q36" s="34">
        <v>5</v>
      </c>
      <c r="R36" s="26">
        <v>0</v>
      </c>
      <c r="S36" s="35">
        <v>38203</v>
      </c>
      <c r="T36" s="36">
        <v>29.01</v>
      </c>
      <c r="U36" s="26">
        <v>0</v>
      </c>
      <c r="V36" s="37">
        <v>38203</v>
      </c>
      <c r="W36" s="38">
        <v>1.9</v>
      </c>
      <c r="X36" s="39">
        <v>0</v>
      </c>
      <c r="Y36" s="40">
        <v>37993</v>
      </c>
      <c r="Z36" s="41">
        <v>28.48</v>
      </c>
      <c r="AA36" s="26">
        <v>0</v>
      </c>
      <c r="AB36" s="42">
        <v>37993</v>
      </c>
      <c r="AC36" s="56">
        <v>6.98</v>
      </c>
      <c r="AD36" s="26">
        <v>0</v>
      </c>
      <c r="AE36" s="44">
        <v>41235</v>
      </c>
      <c r="AF36" s="45">
        <v>91.31</v>
      </c>
      <c r="AG36" s="26">
        <v>0</v>
      </c>
      <c r="AH36" s="44">
        <v>40273</v>
      </c>
      <c r="AI36" s="45">
        <v>61.17</v>
      </c>
      <c r="AJ36" s="46">
        <v>0</v>
      </c>
      <c r="AK36" s="47">
        <v>41683</v>
      </c>
      <c r="AL36" s="78">
        <v>37.24</v>
      </c>
      <c r="AM36" s="48">
        <v>0</v>
      </c>
      <c r="AN36" s="49">
        <v>41556</v>
      </c>
      <c r="AO36" s="50">
        <v>65.58</v>
      </c>
      <c r="AP36" s="26">
        <v>0</v>
      </c>
      <c r="AT36" s="80">
        <v>41731</v>
      </c>
      <c r="AU36" s="53">
        <v>71.19</v>
      </c>
      <c r="AV36" s="26">
        <v>0</v>
      </c>
      <c r="AW36" s="51">
        <v>41731</v>
      </c>
      <c r="AX36" s="22">
        <v>35.92</v>
      </c>
      <c r="AY36" s="48">
        <v>0</v>
      </c>
    </row>
    <row r="37" spans="1:51" x14ac:dyDescent="0.3">
      <c r="A37" s="21">
        <v>42221</v>
      </c>
      <c r="B37" s="22">
        <v>39.17</v>
      </c>
      <c r="C37" s="23">
        <v>0</v>
      </c>
      <c r="D37" s="71">
        <v>43263</v>
      </c>
      <c r="E37" s="82">
        <v>9.98</v>
      </c>
      <c r="F37" s="26">
        <v>0</v>
      </c>
      <c r="G37" s="85">
        <v>43711</v>
      </c>
      <c r="H37" s="86">
        <f xml:space="preserve"> 0.0257*(9^3) - 0.274*(9^2) - 0.0495*(9) + 9.249</f>
        <v>5.3447999999999967</v>
      </c>
      <c r="I37" s="26">
        <v>1</v>
      </c>
      <c r="J37" s="29">
        <v>41830</v>
      </c>
      <c r="K37" s="30">
        <v>72.81</v>
      </c>
      <c r="L37" s="26">
        <v>0</v>
      </c>
      <c r="M37" s="31">
        <v>38217</v>
      </c>
      <c r="N37" s="32">
        <v>4.68</v>
      </c>
      <c r="O37" s="26">
        <v>0</v>
      </c>
      <c r="P37" s="33">
        <v>38217</v>
      </c>
      <c r="Q37" s="34">
        <v>5.0999999999999996</v>
      </c>
      <c r="R37" s="26">
        <v>0</v>
      </c>
      <c r="S37" s="35">
        <v>38217</v>
      </c>
      <c r="T37" s="36">
        <v>29.1</v>
      </c>
      <c r="U37" s="26">
        <v>0</v>
      </c>
      <c r="V37" s="37">
        <v>38217</v>
      </c>
      <c r="W37" s="38">
        <v>2.0299999999999998</v>
      </c>
      <c r="X37" s="39">
        <v>0</v>
      </c>
      <c r="Y37" s="40">
        <v>38000</v>
      </c>
      <c r="Z37" s="41">
        <v>28.66</v>
      </c>
      <c r="AA37" s="26">
        <v>0</v>
      </c>
      <c r="AB37" s="42">
        <v>38000</v>
      </c>
      <c r="AC37" s="56">
        <v>6.78</v>
      </c>
      <c r="AD37" s="26">
        <v>0</v>
      </c>
      <c r="AE37" s="44">
        <v>41278</v>
      </c>
      <c r="AF37" s="45">
        <v>91.52</v>
      </c>
      <c r="AG37" s="26">
        <v>0</v>
      </c>
      <c r="AH37" s="44">
        <v>40274</v>
      </c>
      <c r="AI37" s="45">
        <v>61.18</v>
      </c>
      <c r="AJ37" s="46">
        <v>0</v>
      </c>
      <c r="AK37" s="47">
        <v>41731</v>
      </c>
      <c r="AL37" s="78">
        <v>37.450000000000003</v>
      </c>
      <c r="AM37" s="48">
        <v>0</v>
      </c>
      <c r="AN37" s="49">
        <v>41617</v>
      </c>
      <c r="AO37" s="50">
        <v>66.349999999999994</v>
      </c>
      <c r="AP37" s="26">
        <v>0</v>
      </c>
      <c r="AT37" s="80">
        <v>41647</v>
      </c>
      <c r="AU37" s="53">
        <v>70.790000000000006</v>
      </c>
      <c r="AV37" s="26">
        <v>0</v>
      </c>
      <c r="AW37" s="51">
        <v>41764</v>
      </c>
      <c r="AX37" s="22">
        <v>36.229999999999997</v>
      </c>
      <c r="AY37" s="48">
        <v>0</v>
      </c>
    </row>
    <row r="38" spans="1:51" x14ac:dyDescent="0.3">
      <c r="A38" s="21">
        <v>42353</v>
      </c>
      <c r="B38" s="22">
        <v>39.69</v>
      </c>
      <c r="C38" s="23">
        <v>0</v>
      </c>
      <c r="D38" s="83">
        <v>43409</v>
      </c>
      <c r="E38" s="84">
        <v>9.81</v>
      </c>
      <c r="F38" s="26">
        <v>1</v>
      </c>
      <c r="G38" s="87">
        <v>43936</v>
      </c>
      <c r="H38" s="88">
        <f xml:space="preserve"> 0.0257*(9.01^3) - 0.274*(9^2) - 0.0495*(9) + 9.249</f>
        <v>5.4073204156999966</v>
      </c>
      <c r="I38" s="26">
        <v>0</v>
      </c>
      <c r="J38" s="29">
        <v>41877</v>
      </c>
      <c r="K38" s="30">
        <v>72.84</v>
      </c>
      <c r="L38" s="26">
        <v>0</v>
      </c>
      <c r="M38" s="31">
        <v>38230</v>
      </c>
      <c r="N38" s="32">
        <v>4.63</v>
      </c>
      <c r="O38" s="26">
        <v>0</v>
      </c>
      <c r="P38" s="33">
        <v>38230</v>
      </c>
      <c r="Q38" s="34">
        <v>5.15</v>
      </c>
      <c r="R38" s="26">
        <v>0</v>
      </c>
      <c r="S38" s="35">
        <v>38231</v>
      </c>
      <c r="T38" s="36">
        <v>29.41</v>
      </c>
      <c r="U38" s="26">
        <v>0</v>
      </c>
      <c r="V38" s="37">
        <v>38231</v>
      </c>
      <c r="W38" s="38">
        <v>2.34</v>
      </c>
      <c r="X38" s="39">
        <v>0</v>
      </c>
      <c r="Y38" s="40">
        <v>38009</v>
      </c>
      <c r="Z38" s="41">
        <v>28.7</v>
      </c>
      <c r="AA38" s="26">
        <v>0</v>
      </c>
      <c r="AB38" s="42">
        <v>38009</v>
      </c>
      <c r="AC38" s="56">
        <v>6.9</v>
      </c>
      <c r="AD38" s="26">
        <v>0</v>
      </c>
      <c r="AE38" s="44">
        <v>41368</v>
      </c>
      <c r="AF38" s="45">
        <v>91.88</v>
      </c>
      <c r="AG38" s="26">
        <v>0</v>
      </c>
      <c r="AH38" s="44">
        <v>40275</v>
      </c>
      <c r="AI38" s="45">
        <v>61.18</v>
      </c>
      <c r="AJ38" s="46">
        <v>0</v>
      </c>
      <c r="AK38" s="47">
        <v>41683</v>
      </c>
      <c r="AL38" s="78">
        <v>37.24</v>
      </c>
      <c r="AM38" s="48">
        <v>0</v>
      </c>
      <c r="AN38" s="81">
        <v>41647</v>
      </c>
      <c r="AO38" s="50">
        <v>66.52</v>
      </c>
      <c r="AP38" s="26">
        <v>0</v>
      </c>
      <c r="AT38" s="80">
        <v>41683</v>
      </c>
      <c r="AU38" s="53">
        <v>71.010000000000005</v>
      </c>
      <c r="AV38" s="26">
        <v>0</v>
      </c>
      <c r="AW38" s="51">
        <v>41793</v>
      </c>
      <c r="AX38" s="22">
        <v>36.270000000000003</v>
      </c>
      <c r="AY38" s="48">
        <v>0</v>
      </c>
    </row>
    <row r="39" spans="1:51" x14ac:dyDescent="0.3">
      <c r="A39" s="21">
        <v>42387</v>
      </c>
      <c r="B39" s="22">
        <v>39.93</v>
      </c>
      <c r="C39" s="23">
        <v>0</v>
      </c>
      <c r="D39" s="71">
        <v>43559</v>
      </c>
      <c r="E39" s="82">
        <v>9.7287499999999998</v>
      </c>
      <c r="F39" s="26">
        <v>0</v>
      </c>
      <c r="G39" s="87">
        <v>44112</v>
      </c>
      <c r="H39" s="88">
        <f xml:space="preserve"> 0.0257*(9.03^3) - 0.274*(9^2) - 0.0495*(9) + 9.249</f>
        <v>5.5327782038999951</v>
      </c>
      <c r="I39" s="26">
        <v>0</v>
      </c>
      <c r="J39" s="29">
        <v>41906</v>
      </c>
      <c r="K39" s="30">
        <v>73.010000000000005</v>
      </c>
      <c r="L39" s="26">
        <v>0</v>
      </c>
      <c r="M39" s="31">
        <v>38286</v>
      </c>
      <c r="N39" s="32">
        <v>4.58</v>
      </c>
      <c r="O39" s="26">
        <v>0</v>
      </c>
      <c r="P39" s="33">
        <v>38286</v>
      </c>
      <c r="Q39" s="34">
        <v>5.25</v>
      </c>
      <c r="R39" s="26">
        <v>0</v>
      </c>
      <c r="S39" s="35">
        <v>38286</v>
      </c>
      <c r="T39" s="36">
        <v>29.02</v>
      </c>
      <c r="U39" s="26">
        <v>0</v>
      </c>
      <c r="V39" s="37">
        <v>38286</v>
      </c>
      <c r="W39" s="38">
        <v>2.38</v>
      </c>
      <c r="X39" s="39">
        <v>0</v>
      </c>
      <c r="Y39" s="40">
        <v>38049</v>
      </c>
      <c r="Z39" s="41">
        <v>29.54</v>
      </c>
      <c r="AA39" s="26">
        <v>0</v>
      </c>
      <c r="AB39" s="42">
        <v>38049</v>
      </c>
      <c r="AC39" s="56">
        <v>6.94</v>
      </c>
      <c r="AD39" s="26">
        <v>0</v>
      </c>
      <c r="AE39" s="44">
        <v>41401</v>
      </c>
      <c r="AF39" s="45">
        <v>91.95</v>
      </c>
      <c r="AG39" s="26">
        <v>0</v>
      </c>
      <c r="AH39" s="44">
        <v>40276</v>
      </c>
      <c r="AI39" s="45">
        <v>61.18</v>
      </c>
      <c r="AJ39" s="46">
        <v>0</v>
      </c>
      <c r="AK39" s="47">
        <v>41731</v>
      </c>
      <c r="AL39" s="78">
        <v>37.450000000000003</v>
      </c>
      <c r="AM39" s="48">
        <v>0</v>
      </c>
      <c r="AN39" s="49">
        <v>41683</v>
      </c>
      <c r="AO39" s="50">
        <v>66.75</v>
      </c>
      <c r="AP39" s="26">
        <v>0</v>
      </c>
      <c r="AT39" s="80">
        <v>41731</v>
      </c>
      <c r="AU39" s="53">
        <v>71.19</v>
      </c>
      <c r="AV39" s="26">
        <v>0</v>
      </c>
      <c r="AW39" s="51">
        <v>41830</v>
      </c>
      <c r="AX39" s="22">
        <v>36.409999999999997</v>
      </c>
      <c r="AY39" s="48">
        <v>0</v>
      </c>
    </row>
    <row r="40" spans="1:51" x14ac:dyDescent="0.3">
      <c r="A40" s="21">
        <v>42429</v>
      </c>
      <c r="B40" s="22">
        <v>40.42</v>
      </c>
      <c r="C40" s="23">
        <v>0</v>
      </c>
      <c r="D40" s="71">
        <v>43590</v>
      </c>
      <c r="E40" s="82">
        <v>9.8262499999999999</v>
      </c>
      <c r="F40" s="26">
        <v>0</v>
      </c>
      <c r="G40" s="85">
        <v>44203</v>
      </c>
      <c r="H40" s="86">
        <f xml:space="preserve"> 0.0257*(9.04^3) - 0.274*(9^2) - 0.0495*(9) + 9.249</f>
        <v>5.5957158847999908</v>
      </c>
      <c r="I40" s="26">
        <v>1</v>
      </c>
      <c r="J40" s="29">
        <v>41936</v>
      </c>
      <c r="K40" s="30">
        <v>73.069999999999993</v>
      </c>
      <c r="L40" s="26">
        <v>0</v>
      </c>
      <c r="M40" s="31">
        <v>38313</v>
      </c>
      <c r="N40" s="32">
        <v>4.1399999999999997</v>
      </c>
      <c r="O40" s="26">
        <v>0</v>
      </c>
      <c r="P40" s="33">
        <v>38313</v>
      </c>
      <c r="Q40" s="34">
        <v>5.09</v>
      </c>
      <c r="R40" s="26">
        <v>0</v>
      </c>
      <c r="S40" s="35">
        <v>38308</v>
      </c>
      <c r="T40" s="36">
        <v>29.14</v>
      </c>
      <c r="U40" s="26">
        <v>0</v>
      </c>
      <c r="V40" s="37">
        <v>38308</v>
      </c>
      <c r="W40" s="38">
        <v>2.1800000000000002</v>
      </c>
      <c r="X40" s="39">
        <v>0</v>
      </c>
      <c r="Y40" s="40">
        <v>38061</v>
      </c>
      <c r="Z40" s="41">
        <v>29.58</v>
      </c>
      <c r="AA40" s="26">
        <v>0</v>
      </c>
      <c r="AB40" s="42">
        <v>38061</v>
      </c>
      <c r="AC40" s="56">
        <v>6.98</v>
      </c>
      <c r="AD40" s="26">
        <v>0</v>
      </c>
      <c r="AE40" s="44">
        <v>41432</v>
      </c>
      <c r="AF40" s="45">
        <v>92.42</v>
      </c>
      <c r="AG40" s="26">
        <v>0</v>
      </c>
      <c r="AH40" s="44">
        <v>40277</v>
      </c>
      <c r="AI40" s="45">
        <v>61.18</v>
      </c>
      <c r="AJ40" s="46">
        <v>0</v>
      </c>
      <c r="AK40" s="47">
        <v>41764</v>
      </c>
      <c r="AL40" s="78">
        <v>37.54</v>
      </c>
      <c r="AM40" s="48">
        <v>0</v>
      </c>
      <c r="AN40" s="81">
        <v>41731</v>
      </c>
      <c r="AO40" s="50">
        <v>66.87</v>
      </c>
      <c r="AP40" s="26">
        <v>0</v>
      </c>
      <c r="AT40" s="80">
        <v>41764</v>
      </c>
      <c r="AU40" s="53">
        <v>71.39</v>
      </c>
      <c r="AV40" s="26">
        <v>0</v>
      </c>
      <c r="AW40" s="51">
        <v>41877</v>
      </c>
      <c r="AX40" s="22">
        <v>36.520000000000003</v>
      </c>
      <c r="AY40" s="48">
        <v>0</v>
      </c>
    </row>
    <row r="41" spans="1:51" x14ac:dyDescent="0.3">
      <c r="A41" s="21">
        <v>42471</v>
      </c>
      <c r="B41" s="22">
        <v>40.65</v>
      </c>
      <c r="C41" s="23">
        <v>0</v>
      </c>
      <c r="D41" s="71">
        <v>43559</v>
      </c>
      <c r="E41" s="74">
        <v>9.82</v>
      </c>
      <c r="F41" s="26">
        <v>0</v>
      </c>
      <c r="G41" s="85">
        <v>44546</v>
      </c>
      <c r="H41" s="86">
        <f xml:space="preserve"> 0.0257*(9.09^3) - 0.274*(9^2) - 0.0495*(9) + 9.249</f>
        <v>5.912498325299997</v>
      </c>
      <c r="I41" s="26">
        <v>1</v>
      </c>
      <c r="J41" s="29">
        <v>41976</v>
      </c>
      <c r="K41" s="30">
        <v>72.599999999999994</v>
      </c>
      <c r="L41" s="26">
        <v>0</v>
      </c>
      <c r="M41" s="31">
        <v>38378</v>
      </c>
      <c r="N41" s="32">
        <v>4.3</v>
      </c>
      <c r="O41" s="26">
        <v>0</v>
      </c>
      <c r="P41" s="33">
        <v>38378</v>
      </c>
      <c r="Q41" s="34">
        <v>5.39</v>
      </c>
      <c r="R41" s="26">
        <v>0</v>
      </c>
      <c r="S41" s="35">
        <v>38378</v>
      </c>
      <c r="T41" s="36">
        <v>29.27</v>
      </c>
      <c r="U41" s="26">
        <v>0</v>
      </c>
      <c r="V41" s="37">
        <v>38378</v>
      </c>
      <c r="W41" s="38">
        <v>2.5499999999999998</v>
      </c>
      <c r="X41" s="39">
        <v>0</v>
      </c>
      <c r="Y41" s="40">
        <v>38068</v>
      </c>
      <c r="Z41" s="41">
        <v>29.6</v>
      </c>
      <c r="AA41" s="26">
        <v>0</v>
      </c>
      <c r="AB41" s="42">
        <v>38068</v>
      </c>
      <c r="AC41" s="56">
        <v>6.97</v>
      </c>
      <c r="AD41" s="26">
        <v>0</v>
      </c>
      <c r="AE41" s="44">
        <v>41471</v>
      </c>
      <c r="AF41" s="45">
        <v>92.41</v>
      </c>
      <c r="AG41" s="26">
        <v>0</v>
      </c>
      <c r="AH41" s="44">
        <v>40278</v>
      </c>
      <c r="AI41" s="45">
        <v>61.18</v>
      </c>
      <c r="AJ41" s="46">
        <v>0</v>
      </c>
      <c r="AK41" s="47">
        <v>41793</v>
      </c>
      <c r="AL41" s="78">
        <v>37.909999999999997</v>
      </c>
      <c r="AM41" s="48">
        <v>0</v>
      </c>
      <c r="AN41" s="81">
        <v>41764</v>
      </c>
      <c r="AO41" s="50">
        <v>67.13</v>
      </c>
      <c r="AP41" s="26">
        <v>0</v>
      </c>
      <c r="AT41" s="89">
        <v>41793</v>
      </c>
      <c r="AU41" s="53">
        <v>71.52</v>
      </c>
      <c r="AV41" s="26">
        <v>0</v>
      </c>
      <c r="AW41" s="51">
        <v>41906</v>
      </c>
      <c r="AX41" s="22">
        <v>36.61</v>
      </c>
      <c r="AY41" s="48">
        <v>0</v>
      </c>
    </row>
    <row r="42" spans="1:51" x14ac:dyDescent="0.3">
      <c r="A42" s="21">
        <v>42591</v>
      </c>
      <c r="B42" s="22">
        <v>40.57</v>
      </c>
      <c r="C42" s="23">
        <v>0</v>
      </c>
      <c r="D42" s="71">
        <v>43588</v>
      </c>
      <c r="E42" s="82">
        <v>9.7916666666666661</v>
      </c>
      <c r="F42" s="26">
        <v>0</v>
      </c>
      <c r="G42" s="87">
        <v>44625</v>
      </c>
      <c r="H42" s="88">
        <f xml:space="preserve"> 0.0257*(9.099^3) - 0.274*(9^2) - 0.0495*(9) + 9.249</f>
        <v>5.9698907505843026</v>
      </c>
      <c r="I42" s="26">
        <v>0</v>
      </c>
      <c r="J42" s="29">
        <v>42009</v>
      </c>
      <c r="K42" s="30">
        <v>73.349999999999994</v>
      </c>
      <c r="L42" s="26">
        <v>0</v>
      </c>
      <c r="M42" s="31">
        <v>38404</v>
      </c>
      <c r="N42" s="32">
        <v>4.33</v>
      </c>
      <c r="O42" s="26">
        <v>0</v>
      </c>
      <c r="P42" s="33">
        <v>38404</v>
      </c>
      <c r="Q42" s="34">
        <v>5.42</v>
      </c>
      <c r="R42" s="26">
        <v>0</v>
      </c>
      <c r="S42" s="35">
        <v>38404</v>
      </c>
      <c r="T42" s="36">
        <v>29.32</v>
      </c>
      <c r="U42" s="26">
        <v>0</v>
      </c>
      <c r="V42" s="37">
        <v>38404</v>
      </c>
      <c r="W42" s="38">
        <v>2.6</v>
      </c>
      <c r="X42" s="39">
        <v>0</v>
      </c>
      <c r="Y42" s="40">
        <v>38078</v>
      </c>
      <c r="Z42" s="41">
        <v>29.7</v>
      </c>
      <c r="AA42" s="26">
        <v>0</v>
      </c>
      <c r="AB42" s="42">
        <v>38078</v>
      </c>
      <c r="AC42" s="56">
        <v>6.9</v>
      </c>
      <c r="AD42" s="26">
        <v>0</v>
      </c>
      <c r="AE42" s="44">
        <v>41506</v>
      </c>
      <c r="AF42" s="45">
        <v>92.5</v>
      </c>
      <c r="AG42" s="26">
        <v>0</v>
      </c>
      <c r="AH42" s="44">
        <v>40279</v>
      </c>
      <c r="AI42" s="45">
        <v>61.18</v>
      </c>
      <c r="AJ42" s="46">
        <v>0</v>
      </c>
      <c r="AK42" s="47">
        <v>41830</v>
      </c>
      <c r="AL42" s="78">
        <v>37.74</v>
      </c>
      <c r="AM42" s="48">
        <v>0</v>
      </c>
      <c r="AN42" s="49">
        <v>41793</v>
      </c>
      <c r="AO42" s="50">
        <v>67.319999999999993</v>
      </c>
      <c r="AP42" s="26">
        <v>0</v>
      </c>
      <c r="AT42" s="89">
        <v>41830</v>
      </c>
      <c r="AU42" s="53">
        <v>71.75</v>
      </c>
      <c r="AV42" s="26">
        <v>0</v>
      </c>
      <c r="AW42" s="51">
        <v>41936</v>
      </c>
      <c r="AX42" s="22">
        <v>36.700000000000003</v>
      </c>
      <c r="AY42" s="48">
        <v>0</v>
      </c>
    </row>
    <row r="43" spans="1:51" x14ac:dyDescent="0.3">
      <c r="A43" s="21">
        <v>42702</v>
      </c>
      <c r="B43" s="22">
        <v>41.1</v>
      </c>
      <c r="C43" s="23">
        <v>0</v>
      </c>
      <c r="D43" s="83">
        <v>43905</v>
      </c>
      <c r="E43" s="90">
        <v>9.77</v>
      </c>
      <c r="F43" s="26">
        <v>1</v>
      </c>
      <c r="G43" s="85">
        <v>44826</v>
      </c>
      <c r="H43" s="86">
        <f xml:space="preserve"> 0.0257*(9.11^3) - 0.274*(9^2) - 0.0495*(9) + 9.249</f>
        <v>6.0401913966999965</v>
      </c>
      <c r="I43" s="26">
        <v>1</v>
      </c>
      <c r="J43" s="29">
        <v>42157</v>
      </c>
      <c r="K43" s="30">
        <v>73.790000000000006</v>
      </c>
      <c r="L43" s="26">
        <v>0</v>
      </c>
      <c r="M43" s="31">
        <v>38439</v>
      </c>
      <c r="N43" s="32">
        <v>4.41</v>
      </c>
      <c r="O43" s="26">
        <v>0</v>
      </c>
      <c r="P43" s="33">
        <v>38439</v>
      </c>
      <c r="Q43" s="34">
        <v>5.48</v>
      </c>
      <c r="R43" s="26">
        <v>0</v>
      </c>
      <c r="S43" s="35">
        <v>38439</v>
      </c>
      <c r="T43" s="36">
        <v>29.88</v>
      </c>
      <c r="U43" s="26">
        <v>0</v>
      </c>
      <c r="V43" s="37">
        <v>38439</v>
      </c>
      <c r="W43" s="38">
        <v>2.69</v>
      </c>
      <c r="X43" s="39">
        <v>0</v>
      </c>
      <c r="Y43" s="40">
        <v>38090</v>
      </c>
      <c r="Z43" s="41">
        <v>29.8</v>
      </c>
      <c r="AA43" s="26">
        <v>0</v>
      </c>
      <c r="AB43" s="42">
        <v>38090</v>
      </c>
      <c r="AC43" s="56">
        <v>7.12</v>
      </c>
      <c r="AD43" s="26">
        <v>0</v>
      </c>
      <c r="AE43" s="44">
        <v>41537</v>
      </c>
      <c r="AF43" s="45">
        <v>92.81</v>
      </c>
      <c r="AG43" s="26">
        <v>0</v>
      </c>
      <c r="AH43" s="44">
        <v>40280</v>
      </c>
      <c r="AI43" s="45">
        <v>61.18</v>
      </c>
      <c r="AJ43" s="46">
        <v>0</v>
      </c>
      <c r="AK43" s="47">
        <v>41877</v>
      </c>
      <c r="AL43" s="78">
        <v>37.81</v>
      </c>
      <c r="AM43" s="48">
        <v>0</v>
      </c>
      <c r="AN43" s="81">
        <v>41830</v>
      </c>
      <c r="AO43" s="50">
        <v>67.47</v>
      </c>
      <c r="AP43" s="26">
        <v>0</v>
      </c>
      <c r="AT43" s="80">
        <v>41936</v>
      </c>
      <c r="AU43" s="53">
        <v>72.27</v>
      </c>
      <c r="AV43" s="26">
        <v>0</v>
      </c>
      <c r="AW43" s="51">
        <v>41976</v>
      </c>
      <c r="AX43" s="22">
        <v>36.270000000000003</v>
      </c>
      <c r="AY43" s="48">
        <v>0</v>
      </c>
    </row>
    <row r="44" spans="1:51" x14ac:dyDescent="0.3">
      <c r="A44" s="21">
        <v>42774</v>
      </c>
      <c r="B44" s="22">
        <v>41.59</v>
      </c>
      <c r="C44" s="23">
        <v>0</v>
      </c>
      <c r="D44" s="83">
        <v>44100</v>
      </c>
      <c r="E44" s="90">
        <v>9.82</v>
      </c>
      <c r="F44" s="26">
        <v>1</v>
      </c>
      <c r="G44" s="87">
        <v>44924</v>
      </c>
      <c r="H44" s="88">
        <f xml:space="preserve"> 0.0257*(9.103^3) - 0.274*(9^2) - 0.0495*(9) + 9.249</f>
        <v>5.9954349681838979</v>
      </c>
      <c r="I44" s="26">
        <v>0</v>
      </c>
      <c r="J44" s="29">
        <v>42220</v>
      </c>
      <c r="K44" s="30">
        <v>74.05</v>
      </c>
      <c r="L44" s="26">
        <v>0</v>
      </c>
      <c r="M44" s="31">
        <v>38446</v>
      </c>
      <c r="N44" s="32">
        <v>4.5599999999999996</v>
      </c>
      <c r="O44" s="26">
        <v>0</v>
      </c>
      <c r="P44" s="33">
        <v>38446</v>
      </c>
      <c r="Q44" s="34">
        <v>5.62</v>
      </c>
      <c r="R44" s="26">
        <v>0</v>
      </c>
      <c r="S44" s="35">
        <v>38446</v>
      </c>
      <c r="T44" s="36">
        <v>29.56</v>
      </c>
      <c r="U44" s="26">
        <v>0</v>
      </c>
      <c r="V44" s="37">
        <v>38446</v>
      </c>
      <c r="W44" s="38">
        <v>2.71</v>
      </c>
      <c r="X44" s="39">
        <v>0</v>
      </c>
      <c r="Y44" s="40">
        <v>38107</v>
      </c>
      <c r="Z44" s="41">
        <v>29.82</v>
      </c>
      <c r="AA44" s="26">
        <v>0</v>
      </c>
      <c r="AB44" s="42">
        <v>38107</v>
      </c>
      <c r="AC44" s="56">
        <v>6.97</v>
      </c>
      <c r="AD44" s="26">
        <v>0</v>
      </c>
      <c r="AE44" s="44">
        <v>41555</v>
      </c>
      <c r="AF44" s="45">
        <v>92.76</v>
      </c>
      <c r="AG44" s="26">
        <v>0</v>
      </c>
      <c r="AH44" s="44">
        <v>40281</v>
      </c>
      <c r="AI44" s="45">
        <v>61.18</v>
      </c>
      <c r="AJ44" s="46">
        <v>0</v>
      </c>
      <c r="AK44" s="47">
        <v>41906</v>
      </c>
      <c r="AL44" s="78">
        <v>37.950000000000003</v>
      </c>
      <c r="AM44" s="48">
        <v>0</v>
      </c>
      <c r="AN44" s="81">
        <v>41877</v>
      </c>
      <c r="AO44" s="50">
        <v>67.69</v>
      </c>
      <c r="AP44" s="26">
        <v>0</v>
      </c>
      <c r="AT44" s="80">
        <v>41976</v>
      </c>
      <c r="AU44" s="53">
        <v>72.58</v>
      </c>
      <c r="AV44" s="26">
        <v>0</v>
      </c>
      <c r="AW44" s="51">
        <v>42009</v>
      </c>
      <c r="AX44" s="22">
        <v>36.97</v>
      </c>
      <c r="AY44" s="48">
        <v>0</v>
      </c>
    </row>
    <row r="45" spans="1:51" x14ac:dyDescent="0.3">
      <c r="A45" s="21">
        <v>42865</v>
      </c>
      <c r="B45" s="22">
        <v>41.79</v>
      </c>
      <c r="C45" s="23">
        <v>0</v>
      </c>
      <c r="D45" s="71">
        <v>44205</v>
      </c>
      <c r="E45" s="91">
        <v>9.9120000000000008</v>
      </c>
      <c r="F45" s="26">
        <v>0</v>
      </c>
      <c r="G45" s="87">
        <v>45088</v>
      </c>
      <c r="H45" s="88">
        <f xml:space="preserve"> 0.0257*(9.2^3) - 0.274*(9^2) - 0.0495*(9) + 9.249</f>
        <v>6.6217815999999923</v>
      </c>
      <c r="I45" s="26">
        <v>0</v>
      </c>
      <c r="J45" s="29">
        <v>42255</v>
      </c>
      <c r="K45" s="30">
        <v>74.17</v>
      </c>
      <c r="L45" s="26">
        <v>0</v>
      </c>
      <c r="M45" s="31">
        <v>38453</v>
      </c>
      <c r="N45" s="32">
        <v>4.62</v>
      </c>
      <c r="O45" s="26">
        <v>0</v>
      </c>
      <c r="P45" s="33">
        <v>38453</v>
      </c>
      <c r="Q45" s="34">
        <v>5.63</v>
      </c>
      <c r="R45" s="26">
        <v>0</v>
      </c>
      <c r="S45" s="35">
        <v>38453</v>
      </c>
      <c r="T45" s="36">
        <v>29.62</v>
      </c>
      <c r="U45" s="26">
        <v>0</v>
      </c>
      <c r="V45" s="37">
        <v>38453</v>
      </c>
      <c r="W45" s="38">
        <v>2.66</v>
      </c>
      <c r="X45" s="39">
        <v>0</v>
      </c>
      <c r="Y45" s="40">
        <v>38124</v>
      </c>
      <c r="Z45" s="41">
        <v>29.8</v>
      </c>
      <c r="AA45" s="26">
        <v>0</v>
      </c>
      <c r="AB45" s="42">
        <v>38124</v>
      </c>
      <c r="AC45" s="56">
        <v>6.92</v>
      </c>
      <c r="AD45" s="26">
        <v>0</v>
      </c>
      <c r="AE45" s="44">
        <v>41604</v>
      </c>
      <c r="AF45" s="45">
        <v>93.1</v>
      </c>
      <c r="AG45" s="26">
        <v>0</v>
      </c>
      <c r="AH45" s="44">
        <v>40282</v>
      </c>
      <c r="AI45" s="45">
        <v>61.19</v>
      </c>
      <c r="AJ45" s="46">
        <v>0</v>
      </c>
      <c r="AK45" s="47">
        <v>41936</v>
      </c>
      <c r="AL45" s="78">
        <v>37.82</v>
      </c>
      <c r="AM45" s="48">
        <v>0</v>
      </c>
      <c r="AN45" s="49">
        <v>41906</v>
      </c>
      <c r="AO45" s="50">
        <v>67.900000000000006</v>
      </c>
      <c r="AP45" s="26">
        <v>0</v>
      </c>
      <c r="AT45" s="80">
        <v>42009</v>
      </c>
      <c r="AU45" s="53">
        <v>72.55</v>
      </c>
      <c r="AV45" s="26">
        <v>0</v>
      </c>
      <c r="AW45" s="51">
        <v>42107</v>
      </c>
      <c r="AX45" s="22">
        <v>37.14</v>
      </c>
      <c r="AY45" s="48">
        <v>0</v>
      </c>
    </row>
    <row r="46" spans="1:51" x14ac:dyDescent="0.3">
      <c r="A46" s="21">
        <v>42887</v>
      </c>
      <c r="B46" s="22">
        <v>41.93</v>
      </c>
      <c r="C46" s="23">
        <v>0</v>
      </c>
      <c r="D46" s="71">
        <v>44369</v>
      </c>
      <c r="E46" s="91">
        <v>9.8729999999999993</v>
      </c>
      <c r="F46" s="26">
        <v>0</v>
      </c>
      <c r="G46" s="85">
        <v>45238</v>
      </c>
      <c r="H46" s="86">
        <f xml:space="preserve"> 0.0257*(9.3^3) - 0.274*(9^2) - 0.0495*(9) + 9.249</f>
        <v>7.2814749000000036</v>
      </c>
      <c r="I46" s="26">
        <v>1</v>
      </c>
      <c r="J46" s="29">
        <v>42292</v>
      </c>
      <c r="K46" s="30">
        <v>74.28</v>
      </c>
      <c r="L46" s="26">
        <v>0</v>
      </c>
      <c r="M46" s="31">
        <v>38467</v>
      </c>
      <c r="N46" s="32">
        <v>4.7</v>
      </c>
      <c r="O46" s="26">
        <v>0</v>
      </c>
      <c r="P46" s="33">
        <v>38467</v>
      </c>
      <c r="Q46" s="34">
        <v>5.66</v>
      </c>
      <c r="R46" s="26">
        <v>0</v>
      </c>
      <c r="S46" s="35">
        <v>38461</v>
      </c>
      <c r="T46" s="36">
        <v>30.16</v>
      </c>
      <c r="U46" s="26">
        <v>0</v>
      </c>
      <c r="V46" s="37">
        <v>38461</v>
      </c>
      <c r="W46" s="38">
        <v>2.71</v>
      </c>
      <c r="X46" s="39">
        <v>0</v>
      </c>
      <c r="Y46" s="40">
        <v>38133</v>
      </c>
      <c r="Z46" s="41">
        <v>29.6</v>
      </c>
      <c r="AA46" s="26">
        <v>0</v>
      </c>
      <c r="AB46" s="42">
        <v>38133</v>
      </c>
      <c r="AC46" s="56">
        <v>6.82</v>
      </c>
      <c r="AD46" s="26">
        <v>0</v>
      </c>
      <c r="AE46" s="44">
        <v>41617</v>
      </c>
      <c r="AF46" s="45">
        <v>93.15</v>
      </c>
      <c r="AG46" s="26">
        <v>0</v>
      </c>
      <c r="AH46" s="44">
        <v>40283</v>
      </c>
      <c r="AI46" s="45">
        <v>61.19</v>
      </c>
      <c r="AJ46" s="46">
        <v>0</v>
      </c>
      <c r="AK46" s="47">
        <v>41976</v>
      </c>
      <c r="AL46" s="78">
        <v>37.770000000000003</v>
      </c>
      <c r="AM46" s="48">
        <v>0</v>
      </c>
      <c r="AN46" s="92">
        <v>41936</v>
      </c>
      <c r="AO46" s="93">
        <v>67.709999999999994</v>
      </c>
      <c r="AP46" s="26">
        <v>0</v>
      </c>
      <c r="AT46" s="89">
        <v>42157</v>
      </c>
      <c r="AU46" s="53">
        <v>73.5</v>
      </c>
      <c r="AV46" s="26">
        <v>0</v>
      </c>
      <c r="AW46" s="51">
        <v>42157</v>
      </c>
      <c r="AX46" s="22">
        <v>37.22</v>
      </c>
      <c r="AY46" s="48">
        <v>0</v>
      </c>
    </row>
    <row r="47" spans="1:51" x14ac:dyDescent="0.3">
      <c r="A47" s="21">
        <v>42955</v>
      </c>
      <c r="B47" s="22">
        <v>41.8</v>
      </c>
      <c r="C47" s="23">
        <v>0</v>
      </c>
      <c r="D47" s="71">
        <v>44534</v>
      </c>
      <c r="E47" s="91">
        <v>9.7200000000000006</v>
      </c>
      <c r="F47" s="26">
        <v>0</v>
      </c>
      <c r="G47" s="87">
        <v>45349</v>
      </c>
      <c r="H47" s="88">
        <f xml:space="preserve"> 0.0257*(9.25^3) - 0.274*(9^2) - 0.0495*(9) + 9.249</f>
        <v>6.9498453124999999</v>
      </c>
      <c r="I47" s="26">
        <v>0</v>
      </c>
      <c r="J47" s="29">
        <v>42353</v>
      </c>
      <c r="K47" s="30">
        <v>74.489999999999995</v>
      </c>
      <c r="L47" s="26">
        <v>0</v>
      </c>
      <c r="M47" s="31">
        <v>38474</v>
      </c>
      <c r="N47" s="32">
        <v>4.75</v>
      </c>
      <c r="O47" s="26">
        <v>0</v>
      </c>
      <c r="P47" s="33">
        <v>38474</v>
      </c>
      <c r="Q47" s="34">
        <v>5.65</v>
      </c>
      <c r="R47" s="26">
        <v>0</v>
      </c>
      <c r="S47" s="35">
        <v>38596</v>
      </c>
      <c r="T47" s="36">
        <v>30.44</v>
      </c>
      <c r="U47" s="26">
        <v>0</v>
      </c>
      <c r="V47" s="37">
        <v>38596</v>
      </c>
      <c r="W47" s="38">
        <v>2.5499999999999998</v>
      </c>
      <c r="X47" s="39">
        <v>0</v>
      </c>
      <c r="Y47" s="40">
        <v>38153</v>
      </c>
      <c r="Z47" s="41">
        <v>29.04</v>
      </c>
      <c r="AA47" s="26">
        <v>0</v>
      </c>
      <c r="AB47" s="42">
        <v>38153</v>
      </c>
      <c r="AC47" s="56">
        <v>6.57</v>
      </c>
      <c r="AD47" s="26">
        <v>0</v>
      </c>
      <c r="AE47" s="44">
        <v>41647</v>
      </c>
      <c r="AF47" s="45">
        <v>93.35</v>
      </c>
      <c r="AG47" s="26">
        <v>0</v>
      </c>
      <c r="AH47" s="44">
        <v>40284</v>
      </c>
      <c r="AI47" s="45">
        <v>61.19</v>
      </c>
      <c r="AJ47" s="46">
        <v>0</v>
      </c>
      <c r="AK47" s="47">
        <v>42009</v>
      </c>
      <c r="AL47" s="78">
        <v>37.65</v>
      </c>
      <c r="AM47" s="48">
        <v>0</v>
      </c>
      <c r="AN47" s="92">
        <v>41976</v>
      </c>
      <c r="AO47" s="93">
        <v>68.06</v>
      </c>
      <c r="AP47" s="26">
        <v>0</v>
      </c>
      <c r="AT47" s="80">
        <v>42220</v>
      </c>
      <c r="AU47" s="53">
        <v>73.819999999999993</v>
      </c>
      <c r="AV47" s="26">
        <v>0</v>
      </c>
      <c r="AW47" s="51">
        <v>42221</v>
      </c>
      <c r="AX47" s="22">
        <v>37.39</v>
      </c>
      <c r="AY47" s="48">
        <v>0</v>
      </c>
    </row>
    <row r="48" spans="1:51" x14ac:dyDescent="0.3">
      <c r="A48" s="94">
        <v>43048</v>
      </c>
      <c r="B48" s="58">
        <v>41.99</v>
      </c>
      <c r="C48" s="23">
        <v>0</v>
      </c>
      <c r="D48" s="71">
        <v>44637</v>
      </c>
      <c r="E48" s="28">
        <v>9.81</v>
      </c>
      <c r="F48" s="26">
        <v>0</v>
      </c>
      <c r="G48" s="85">
        <v>45581</v>
      </c>
      <c r="H48" s="86">
        <f xml:space="preserve"> 0.0257*(9.19^3) - 0.274*(9^2) - 0.0495*(9) + 9.249</f>
        <v>6.5565950662999954</v>
      </c>
      <c r="I48" s="26">
        <v>1</v>
      </c>
      <c r="J48" s="29">
        <v>42387</v>
      </c>
      <c r="K48" s="30">
        <v>74.599999999999994</v>
      </c>
      <c r="L48" s="26">
        <v>0</v>
      </c>
      <c r="M48" s="31">
        <v>38485</v>
      </c>
      <c r="N48" s="32">
        <v>4.8</v>
      </c>
      <c r="O48" s="26">
        <v>0</v>
      </c>
      <c r="P48" s="33">
        <v>38485</v>
      </c>
      <c r="Q48" s="34">
        <v>5.6</v>
      </c>
      <c r="R48" s="26">
        <v>0</v>
      </c>
      <c r="S48" s="35">
        <v>38653</v>
      </c>
      <c r="T48" s="36">
        <v>30.56</v>
      </c>
      <c r="U48" s="26">
        <v>0</v>
      </c>
      <c r="V48" s="37">
        <v>38653</v>
      </c>
      <c r="W48" s="38">
        <v>2.9</v>
      </c>
      <c r="X48" s="39">
        <v>0</v>
      </c>
      <c r="Y48" s="40">
        <v>38161</v>
      </c>
      <c r="Z48" s="41">
        <v>29.35</v>
      </c>
      <c r="AA48" s="26">
        <v>0</v>
      </c>
      <c r="AB48" s="42">
        <v>38161</v>
      </c>
      <c r="AC48" s="56">
        <v>6.62</v>
      </c>
      <c r="AD48" s="26">
        <v>0</v>
      </c>
      <c r="AE48" s="44">
        <v>41683</v>
      </c>
      <c r="AF48" s="45">
        <v>93.17</v>
      </c>
      <c r="AG48" s="26">
        <v>0</v>
      </c>
      <c r="AH48" s="44">
        <v>40287</v>
      </c>
      <c r="AI48" s="45">
        <v>59.72</v>
      </c>
      <c r="AJ48" s="46">
        <v>0</v>
      </c>
      <c r="AK48" s="47">
        <v>42107</v>
      </c>
      <c r="AL48" s="78">
        <v>38.28</v>
      </c>
      <c r="AM48" s="48">
        <v>0</v>
      </c>
      <c r="AN48" s="92">
        <v>42009</v>
      </c>
      <c r="AO48" s="93">
        <v>67.989999999999995</v>
      </c>
      <c r="AP48" s="26">
        <v>0</v>
      </c>
      <c r="AT48" s="89">
        <v>42353</v>
      </c>
      <c r="AU48" s="53">
        <v>74.400000000000006</v>
      </c>
      <c r="AV48" s="26">
        <v>0</v>
      </c>
      <c r="AW48" s="51">
        <v>42292</v>
      </c>
      <c r="AX48" s="22">
        <v>37.58</v>
      </c>
      <c r="AY48" s="48">
        <v>0</v>
      </c>
    </row>
    <row r="49" spans="1:51" x14ac:dyDescent="0.3">
      <c r="A49" s="95">
        <v>43160</v>
      </c>
      <c r="B49" s="86">
        <v>42.107111000000003</v>
      </c>
      <c r="C49" s="23">
        <v>1</v>
      </c>
      <c r="D49" s="83">
        <v>44834</v>
      </c>
      <c r="E49" s="60">
        <v>9.9</v>
      </c>
      <c r="F49" s="26">
        <v>1</v>
      </c>
      <c r="G49" s="85">
        <v>45731</v>
      </c>
      <c r="H49" s="86">
        <f xml:space="preserve"> 0.0257*(9.26^3) - 0.274*(9^2) - 0.0495*(9) + 9.249</f>
        <v>7.0158853431999946</v>
      </c>
      <c r="I49" s="26">
        <v>1</v>
      </c>
      <c r="J49" s="29">
        <v>42429</v>
      </c>
      <c r="K49" s="30">
        <v>74.87</v>
      </c>
      <c r="L49" s="26">
        <v>0</v>
      </c>
      <c r="M49" s="31">
        <v>38592</v>
      </c>
      <c r="N49" s="32">
        <v>5.15</v>
      </c>
      <c r="O49" s="26">
        <v>0</v>
      </c>
      <c r="P49" s="33">
        <v>38592</v>
      </c>
      <c r="Q49" s="34">
        <v>5.63</v>
      </c>
      <c r="R49" s="26">
        <v>0</v>
      </c>
      <c r="S49" s="35">
        <v>38687</v>
      </c>
      <c r="T49" s="36">
        <v>30.62</v>
      </c>
      <c r="U49" s="26">
        <v>0</v>
      </c>
      <c r="V49" s="37">
        <v>38687</v>
      </c>
      <c r="W49" s="38">
        <v>2.71</v>
      </c>
      <c r="X49" s="39">
        <v>0</v>
      </c>
      <c r="Y49" s="40">
        <v>38169</v>
      </c>
      <c r="Z49" s="41">
        <v>29.73</v>
      </c>
      <c r="AA49" s="26">
        <v>0</v>
      </c>
      <c r="AB49" s="42">
        <v>38169</v>
      </c>
      <c r="AC49" s="56">
        <v>6.89</v>
      </c>
      <c r="AD49" s="26">
        <v>0</v>
      </c>
      <c r="AE49" s="44">
        <v>41731</v>
      </c>
      <c r="AF49" s="45">
        <v>93.8</v>
      </c>
      <c r="AG49" s="26">
        <v>0</v>
      </c>
      <c r="AH49" s="44">
        <v>40501</v>
      </c>
      <c r="AI49" s="45">
        <v>58.35</v>
      </c>
      <c r="AJ49" s="46">
        <v>0</v>
      </c>
      <c r="AK49" s="47">
        <v>42157</v>
      </c>
      <c r="AL49" s="78">
        <v>38</v>
      </c>
      <c r="AM49" s="48">
        <v>0</v>
      </c>
      <c r="AN49" s="92">
        <v>42157</v>
      </c>
      <c r="AO49" s="93">
        <v>68.64</v>
      </c>
      <c r="AP49" s="26">
        <v>0</v>
      </c>
      <c r="AT49" s="89">
        <v>42429</v>
      </c>
      <c r="AU49" s="53">
        <v>75.14</v>
      </c>
      <c r="AV49" s="26">
        <v>0</v>
      </c>
      <c r="AW49" s="51">
        <v>42353</v>
      </c>
      <c r="AX49" s="22">
        <v>37.71</v>
      </c>
      <c r="AY49" s="48">
        <v>0</v>
      </c>
    </row>
    <row r="50" spans="1:51" x14ac:dyDescent="0.3">
      <c r="A50" s="96">
        <v>43320</v>
      </c>
      <c r="B50" s="88">
        <v>42.377042368985137</v>
      </c>
      <c r="C50" s="23">
        <v>0</v>
      </c>
      <c r="D50" s="71">
        <v>45028</v>
      </c>
      <c r="E50" s="28">
        <v>10.3</v>
      </c>
      <c r="F50" s="26">
        <v>0</v>
      </c>
      <c r="G50" s="87">
        <v>45930</v>
      </c>
      <c r="H50" s="88">
        <f xml:space="preserve"> 0.0257*(9.33^3) - 0.274*(9^2) - 0.0495*(9) + 9.249</f>
        <v>7.4821722909000004</v>
      </c>
      <c r="I50" s="26">
        <v>0</v>
      </c>
      <c r="J50" s="29">
        <v>42471</v>
      </c>
      <c r="K50" s="30">
        <v>74.87</v>
      </c>
      <c r="L50" s="26">
        <v>0</v>
      </c>
      <c r="M50" s="31">
        <v>38629</v>
      </c>
      <c r="N50" s="32">
        <v>4.8</v>
      </c>
      <c r="O50" s="26">
        <v>0</v>
      </c>
      <c r="P50" s="33">
        <v>38629</v>
      </c>
      <c r="Q50" s="34">
        <v>5.32</v>
      </c>
      <c r="R50" s="26">
        <v>0</v>
      </c>
      <c r="S50" s="35">
        <v>39471</v>
      </c>
      <c r="T50" s="36">
        <v>37.130000000000003</v>
      </c>
      <c r="U50" s="26">
        <v>0</v>
      </c>
      <c r="V50" s="37">
        <v>39471</v>
      </c>
      <c r="W50" s="38">
        <v>3.89</v>
      </c>
      <c r="X50" s="39">
        <v>0</v>
      </c>
      <c r="Y50" s="40">
        <v>38183</v>
      </c>
      <c r="Z50" s="41">
        <v>29.83</v>
      </c>
      <c r="AA50" s="26">
        <v>0</v>
      </c>
      <c r="AB50" s="42">
        <v>38183</v>
      </c>
      <c r="AC50" s="56">
        <v>6.97</v>
      </c>
      <c r="AD50" s="26">
        <v>0</v>
      </c>
      <c r="AE50" s="44">
        <v>41764</v>
      </c>
      <c r="AF50" s="45">
        <v>94.03</v>
      </c>
      <c r="AG50" s="26">
        <v>0</v>
      </c>
      <c r="AH50" s="44">
        <v>40502</v>
      </c>
      <c r="AI50" s="45">
        <v>58.36</v>
      </c>
      <c r="AJ50" s="46">
        <v>0</v>
      </c>
      <c r="AK50" s="47">
        <v>42220</v>
      </c>
      <c r="AL50" s="97">
        <v>38.24</v>
      </c>
      <c r="AM50" s="48">
        <v>0</v>
      </c>
      <c r="AN50" s="92">
        <v>42220</v>
      </c>
      <c r="AO50" s="93">
        <v>68.91</v>
      </c>
      <c r="AP50" s="26">
        <v>0</v>
      </c>
      <c r="AT50" s="98">
        <v>42591</v>
      </c>
      <c r="AU50" s="99">
        <v>75.44</v>
      </c>
      <c r="AV50" s="26">
        <v>0</v>
      </c>
      <c r="AW50" s="51">
        <v>42387</v>
      </c>
      <c r="AX50" s="22">
        <v>37.97</v>
      </c>
      <c r="AY50" s="48">
        <v>0</v>
      </c>
    </row>
    <row r="51" spans="1:51" x14ac:dyDescent="0.3">
      <c r="A51" s="96">
        <v>43427</v>
      </c>
      <c r="B51" s="88">
        <v>42.652899315549547</v>
      </c>
      <c r="C51" s="23">
        <v>0</v>
      </c>
      <c r="D51" s="83">
        <v>45222</v>
      </c>
      <c r="E51" s="60">
        <v>10.5</v>
      </c>
      <c r="F51" s="26">
        <v>1</v>
      </c>
      <c r="I51" s="100"/>
      <c r="J51" s="29">
        <v>42557</v>
      </c>
      <c r="K51" s="30">
        <v>75.150000000000006</v>
      </c>
      <c r="L51" s="26">
        <v>0</v>
      </c>
      <c r="M51" s="31">
        <v>38653</v>
      </c>
      <c r="N51" s="32">
        <v>5.22</v>
      </c>
      <c r="O51" s="26">
        <v>0</v>
      </c>
      <c r="P51" s="33">
        <v>38653</v>
      </c>
      <c r="Q51" s="34">
        <v>5.7</v>
      </c>
      <c r="R51" s="26">
        <v>0</v>
      </c>
      <c r="S51" s="35">
        <v>39507</v>
      </c>
      <c r="T51" s="36">
        <v>36.36</v>
      </c>
      <c r="U51" s="26">
        <v>0</v>
      </c>
      <c r="V51" s="37">
        <v>39507</v>
      </c>
      <c r="W51" s="38">
        <v>3.36</v>
      </c>
      <c r="X51" s="39">
        <v>0</v>
      </c>
      <c r="Y51" s="40">
        <v>38197</v>
      </c>
      <c r="Z51" s="41">
        <v>29.66</v>
      </c>
      <c r="AA51" s="26">
        <v>0</v>
      </c>
      <c r="AB51" s="42">
        <v>38197</v>
      </c>
      <c r="AC51" s="56">
        <v>6.9</v>
      </c>
      <c r="AD51" s="26">
        <v>0</v>
      </c>
      <c r="AE51" s="44">
        <v>41793</v>
      </c>
      <c r="AF51" s="45">
        <v>94.15</v>
      </c>
      <c r="AG51" s="26">
        <v>0</v>
      </c>
      <c r="AH51" s="44">
        <v>40503</v>
      </c>
      <c r="AI51" s="45">
        <v>58.7</v>
      </c>
      <c r="AJ51" s="46">
        <v>0</v>
      </c>
      <c r="AK51" s="47">
        <v>42255</v>
      </c>
      <c r="AL51" s="97">
        <v>38.369999999999997</v>
      </c>
      <c r="AM51" s="48">
        <v>0</v>
      </c>
      <c r="AN51" s="92">
        <v>42292</v>
      </c>
      <c r="AO51" s="93">
        <v>69.08</v>
      </c>
      <c r="AP51" s="26">
        <v>0</v>
      </c>
      <c r="AT51" s="101">
        <v>42685</v>
      </c>
      <c r="AU51" s="62">
        <v>75.790000000000006</v>
      </c>
      <c r="AV51" s="26">
        <v>1</v>
      </c>
      <c r="AW51" s="51">
        <v>42429</v>
      </c>
      <c r="AX51" s="22">
        <v>38.04</v>
      </c>
      <c r="AY51" s="48">
        <v>0</v>
      </c>
    </row>
    <row r="52" spans="1:51" x14ac:dyDescent="0.3">
      <c r="A52" s="95">
        <v>43508</v>
      </c>
      <c r="B52" s="86">
        <v>42.934777413824854</v>
      </c>
      <c r="C52" s="23">
        <v>1</v>
      </c>
      <c r="D52" s="83">
        <v>45302</v>
      </c>
      <c r="E52" s="60">
        <v>10.81</v>
      </c>
      <c r="F52" s="26">
        <v>1</v>
      </c>
      <c r="I52" s="100"/>
      <c r="J52" s="29">
        <v>42541</v>
      </c>
      <c r="K52" s="30">
        <v>75.56</v>
      </c>
      <c r="L52" s="26">
        <v>0</v>
      </c>
      <c r="M52" s="31">
        <v>38665</v>
      </c>
      <c r="N52" s="32">
        <v>5.68</v>
      </c>
      <c r="O52" s="26">
        <v>0</v>
      </c>
      <c r="P52" s="33">
        <v>38665</v>
      </c>
      <c r="Q52" s="34">
        <v>5.48</v>
      </c>
      <c r="R52" s="26">
        <v>0</v>
      </c>
      <c r="S52" s="35">
        <v>39538</v>
      </c>
      <c r="T52" s="36">
        <v>36.46</v>
      </c>
      <c r="U52" s="26">
        <v>0</v>
      </c>
      <c r="V52" s="37">
        <v>39538</v>
      </c>
      <c r="W52" s="38">
        <v>3.27</v>
      </c>
      <c r="X52" s="39">
        <v>0</v>
      </c>
      <c r="Y52" s="40">
        <v>38203</v>
      </c>
      <c r="Z52" s="41">
        <v>29.76</v>
      </c>
      <c r="AA52" s="26">
        <v>0</v>
      </c>
      <c r="AB52" s="42">
        <v>38203</v>
      </c>
      <c r="AC52" s="56">
        <v>6.92</v>
      </c>
      <c r="AD52" s="26">
        <v>0</v>
      </c>
      <c r="AE52" s="44">
        <v>41830</v>
      </c>
      <c r="AF52" s="45">
        <v>94.24</v>
      </c>
      <c r="AG52" s="26">
        <v>0</v>
      </c>
      <c r="AH52" s="44">
        <v>40504</v>
      </c>
      <c r="AI52" s="45">
        <v>58.37</v>
      </c>
      <c r="AJ52" s="46">
        <v>0</v>
      </c>
      <c r="AK52" s="47">
        <v>42292</v>
      </c>
      <c r="AL52" s="97">
        <v>38.340000000000003</v>
      </c>
      <c r="AM52" s="48">
        <v>0</v>
      </c>
      <c r="AN52" s="92">
        <v>42353</v>
      </c>
      <c r="AO52" s="102">
        <v>69.430000000000007</v>
      </c>
      <c r="AP52" s="26">
        <v>0</v>
      </c>
      <c r="AT52" s="101">
        <v>42748</v>
      </c>
      <c r="AU52" s="62">
        <v>75.91</v>
      </c>
      <c r="AV52" s="26">
        <v>1</v>
      </c>
      <c r="AW52" s="51">
        <v>42471</v>
      </c>
      <c r="AX52" s="22">
        <v>38.130000000000003</v>
      </c>
      <c r="AY52" s="48">
        <v>0</v>
      </c>
    </row>
    <row r="53" spans="1:51" x14ac:dyDescent="0.3">
      <c r="A53" s="96">
        <v>43657</v>
      </c>
      <c r="B53" s="88">
        <v>43.222774174900081</v>
      </c>
      <c r="C53" s="23">
        <v>0</v>
      </c>
      <c r="D53" s="71">
        <v>45418</v>
      </c>
      <c r="E53" s="28">
        <v>10.7</v>
      </c>
      <c r="F53" s="26">
        <v>0</v>
      </c>
      <c r="I53" s="100"/>
      <c r="J53" s="29">
        <v>42591</v>
      </c>
      <c r="K53" s="30">
        <v>75.760000000000005</v>
      </c>
      <c r="L53" s="26">
        <v>0</v>
      </c>
      <c r="M53" s="31">
        <v>38687</v>
      </c>
      <c r="N53" s="32">
        <v>4.6399999999999997</v>
      </c>
      <c r="O53" s="26">
        <v>0</v>
      </c>
      <c r="P53" s="33">
        <v>38687</v>
      </c>
      <c r="Q53" s="34">
        <v>5.23</v>
      </c>
      <c r="R53" s="26">
        <v>0</v>
      </c>
      <c r="S53" s="35">
        <v>39612</v>
      </c>
      <c r="T53" s="36">
        <v>37.11</v>
      </c>
      <c r="U53" s="26">
        <v>0</v>
      </c>
      <c r="V53" s="37">
        <v>39612</v>
      </c>
      <c r="W53" s="38">
        <v>2.9</v>
      </c>
      <c r="X53" s="39">
        <v>0</v>
      </c>
      <c r="Y53" s="40">
        <v>38209</v>
      </c>
      <c r="Z53" s="41">
        <v>29.39</v>
      </c>
      <c r="AA53" s="26">
        <v>0</v>
      </c>
      <c r="AB53" s="42">
        <v>38209</v>
      </c>
      <c r="AC53" s="56">
        <v>6.6</v>
      </c>
      <c r="AD53" s="26">
        <v>0</v>
      </c>
      <c r="AE53" s="44">
        <v>41877</v>
      </c>
      <c r="AF53" s="45">
        <v>94.42</v>
      </c>
      <c r="AG53" s="26">
        <v>0</v>
      </c>
      <c r="AH53" s="44">
        <v>40505</v>
      </c>
      <c r="AI53" s="45">
        <v>58.79</v>
      </c>
      <c r="AJ53" s="46">
        <v>0</v>
      </c>
      <c r="AK53" s="47">
        <v>42306</v>
      </c>
      <c r="AL53" s="97">
        <v>38.58</v>
      </c>
      <c r="AM53" s="48">
        <v>0</v>
      </c>
      <c r="AN53" s="92">
        <v>42387</v>
      </c>
      <c r="AO53" s="93">
        <v>70.59</v>
      </c>
      <c r="AP53" s="26">
        <v>0</v>
      </c>
      <c r="AT53" s="103">
        <v>42781</v>
      </c>
      <c r="AU53" s="104">
        <v>76.34</v>
      </c>
      <c r="AV53" s="26">
        <v>0</v>
      </c>
      <c r="AW53" s="51">
        <v>42591</v>
      </c>
      <c r="AX53" s="22">
        <v>38.340000000000003</v>
      </c>
      <c r="AY53" s="48">
        <v>0</v>
      </c>
    </row>
    <row r="54" spans="1:51" x14ac:dyDescent="0.3">
      <c r="A54" s="96">
        <v>43806</v>
      </c>
      <c r="B54" s="88">
        <v>43.516989046821706</v>
      </c>
      <c r="C54" s="23">
        <v>0</v>
      </c>
      <c r="D54" s="71">
        <v>45623</v>
      </c>
      <c r="E54" s="28">
        <v>11.8</v>
      </c>
      <c r="F54" s="26">
        <v>0</v>
      </c>
      <c r="I54" s="100"/>
      <c r="J54" s="29">
        <v>42852</v>
      </c>
      <c r="K54" s="30">
        <v>76.209999999999994</v>
      </c>
      <c r="L54" s="26">
        <v>0</v>
      </c>
      <c r="M54" s="31">
        <v>38754</v>
      </c>
      <c r="N54" s="32">
        <v>4.46</v>
      </c>
      <c r="O54" s="26">
        <v>0</v>
      </c>
      <c r="P54" s="33">
        <v>38754</v>
      </c>
      <c r="Q54" s="34">
        <v>5.6</v>
      </c>
      <c r="R54" s="26">
        <v>0</v>
      </c>
      <c r="S54" s="35">
        <v>39643</v>
      </c>
      <c r="T54" s="36">
        <v>37.549999999999997</v>
      </c>
      <c r="U54" s="26">
        <v>0</v>
      </c>
      <c r="V54" s="37">
        <v>39643</v>
      </c>
      <c r="W54" s="38">
        <v>3.24</v>
      </c>
      <c r="X54" s="39">
        <v>0</v>
      </c>
      <c r="Y54" s="40">
        <v>38217</v>
      </c>
      <c r="Z54" s="41">
        <v>29.8</v>
      </c>
      <c r="AA54" s="26">
        <v>0</v>
      </c>
      <c r="AB54" s="42">
        <v>38217</v>
      </c>
      <c r="AC54" s="56">
        <v>6.9</v>
      </c>
      <c r="AD54" s="26">
        <v>0</v>
      </c>
      <c r="AE54" s="44">
        <v>41906</v>
      </c>
      <c r="AF54" s="45">
        <v>94.73</v>
      </c>
      <c r="AG54" s="26">
        <v>0</v>
      </c>
      <c r="AH54" s="44">
        <v>40506</v>
      </c>
      <c r="AI54" s="45">
        <v>58.34</v>
      </c>
      <c r="AJ54" s="46">
        <v>0</v>
      </c>
      <c r="AK54" s="47">
        <v>42353</v>
      </c>
      <c r="AL54" s="97">
        <v>38.54</v>
      </c>
      <c r="AM54" s="48">
        <v>0</v>
      </c>
      <c r="AN54" s="92">
        <v>42429</v>
      </c>
      <c r="AO54" s="93">
        <v>69.819999999999993</v>
      </c>
      <c r="AP54" s="26">
        <v>0</v>
      </c>
      <c r="AT54" s="105">
        <v>42865</v>
      </c>
      <c r="AU54" s="99">
        <v>75.77</v>
      </c>
      <c r="AV54" s="26">
        <v>0</v>
      </c>
      <c r="AW54" s="51">
        <v>42702</v>
      </c>
      <c r="AX54" s="22">
        <v>38.729999999999997</v>
      </c>
      <c r="AY54" s="48">
        <v>0</v>
      </c>
    </row>
    <row r="55" spans="1:51" x14ac:dyDescent="0.3">
      <c r="A55" s="95">
        <v>43842</v>
      </c>
      <c r="B55" s="86">
        <v>43.817523414593644</v>
      </c>
      <c r="C55" s="23">
        <v>1</v>
      </c>
      <c r="D55" s="71">
        <v>45775</v>
      </c>
      <c r="E55" s="28">
        <v>12.3</v>
      </c>
      <c r="F55" s="26">
        <v>0</v>
      </c>
      <c r="I55" s="100"/>
      <c r="J55" s="29">
        <v>42888</v>
      </c>
      <c r="K55" s="30">
        <v>76.290000000000006</v>
      </c>
      <c r="L55" s="26">
        <v>0</v>
      </c>
      <c r="M55" s="31">
        <v>38779</v>
      </c>
      <c r="N55" s="32">
        <v>4.37</v>
      </c>
      <c r="O55" s="26">
        <v>0</v>
      </c>
      <c r="P55" s="33">
        <v>38779</v>
      </c>
      <c r="Q55" s="34">
        <v>5.57</v>
      </c>
      <c r="R55" s="26">
        <v>0</v>
      </c>
      <c r="S55" s="35">
        <v>39805</v>
      </c>
      <c r="T55" s="36">
        <v>37.729999999999997</v>
      </c>
      <c r="U55" s="26">
        <v>0</v>
      </c>
      <c r="V55" s="37">
        <v>39805</v>
      </c>
      <c r="W55" s="38">
        <v>3.57</v>
      </c>
      <c r="X55" s="39">
        <v>0</v>
      </c>
      <c r="Y55" s="40">
        <v>38226</v>
      </c>
      <c r="Z55" s="41">
        <v>29.73</v>
      </c>
      <c r="AA55" s="26">
        <v>0</v>
      </c>
      <c r="AB55" s="42">
        <v>38226</v>
      </c>
      <c r="AC55" s="56">
        <v>6.82</v>
      </c>
      <c r="AD55" s="26">
        <v>0</v>
      </c>
      <c r="AE55" s="44">
        <v>41976</v>
      </c>
      <c r="AF55" s="45">
        <v>95.01</v>
      </c>
      <c r="AG55" s="26">
        <v>0</v>
      </c>
      <c r="AH55" s="44">
        <v>40507</v>
      </c>
      <c r="AI55" s="45">
        <v>58.58</v>
      </c>
      <c r="AJ55" s="46">
        <v>0</v>
      </c>
      <c r="AK55" s="47">
        <v>42387</v>
      </c>
      <c r="AL55" s="97">
        <v>38.81</v>
      </c>
      <c r="AM55" s="48">
        <v>0</v>
      </c>
      <c r="AN55" s="92">
        <v>42471</v>
      </c>
      <c r="AO55" s="93">
        <v>69.930000000000007</v>
      </c>
      <c r="AP55" s="26">
        <v>0</v>
      </c>
      <c r="AT55" s="106">
        <v>43049</v>
      </c>
      <c r="AU55" s="60">
        <v>76.34</v>
      </c>
      <c r="AV55" s="26">
        <v>1</v>
      </c>
      <c r="AW55" s="51">
        <v>42774</v>
      </c>
      <c r="AX55" s="22">
        <v>38.979999999999997</v>
      </c>
      <c r="AY55" s="48">
        <v>0</v>
      </c>
    </row>
    <row r="56" spans="1:51" x14ac:dyDescent="0.3">
      <c r="A56" s="96">
        <v>43962</v>
      </c>
      <c r="B56" s="88">
        <v>44.124480600177257</v>
      </c>
      <c r="C56" s="23">
        <v>0</v>
      </c>
      <c r="D56" s="83">
        <v>45941</v>
      </c>
      <c r="E56" s="60">
        <v>12.55</v>
      </c>
      <c r="F56" s="26">
        <v>1</v>
      </c>
      <c r="I56" s="100"/>
      <c r="J56" s="29">
        <v>42902</v>
      </c>
      <c r="K56" s="30">
        <v>76.47</v>
      </c>
      <c r="L56" s="26">
        <v>0</v>
      </c>
      <c r="M56" s="31">
        <v>38817</v>
      </c>
      <c r="N56" s="32">
        <v>4.59</v>
      </c>
      <c r="O56" s="26">
        <v>0</v>
      </c>
      <c r="P56" s="33">
        <v>38817</v>
      </c>
      <c r="Q56" s="34">
        <v>5.62</v>
      </c>
      <c r="R56" s="26">
        <v>0</v>
      </c>
      <c r="S56" s="35">
        <v>39847</v>
      </c>
      <c r="T56" s="36">
        <v>37.32</v>
      </c>
      <c r="U56" s="26">
        <v>0</v>
      </c>
      <c r="V56" s="37">
        <v>39847</v>
      </c>
      <c r="W56" s="38">
        <v>3.08</v>
      </c>
      <c r="X56" s="39">
        <v>0</v>
      </c>
      <c r="Y56" s="40">
        <v>38230</v>
      </c>
      <c r="Z56" s="41">
        <v>30.11</v>
      </c>
      <c r="AA56" s="26">
        <v>0</v>
      </c>
      <c r="AB56" s="42">
        <v>38230</v>
      </c>
      <c r="AC56" s="56">
        <v>6.97</v>
      </c>
      <c r="AD56" s="26">
        <v>0</v>
      </c>
      <c r="AE56" s="44">
        <v>42009</v>
      </c>
      <c r="AF56" s="45">
        <v>95.42</v>
      </c>
      <c r="AG56" s="26">
        <v>0</v>
      </c>
      <c r="AH56" s="44">
        <v>40508</v>
      </c>
      <c r="AI56" s="45">
        <v>58.22</v>
      </c>
      <c r="AJ56" s="46">
        <v>0</v>
      </c>
      <c r="AK56" s="47">
        <v>42429</v>
      </c>
      <c r="AL56" s="78">
        <f>(AL55+AL57)/2</f>
        <v>38.89</v>
      </c>
      <c r="AM56" s="48">
        <v>0</v>
      </c>
      <c r="AN56" s="92">
        <v>42557</v>
      </c>
      <c r="AO56" s="93">
        <v>70.88</v>
      </c>
      <c r="AP56" s="26">
        <v>0</v>
      </c>
      <c r="AT56" s="49">
        <v>43199</v>
      </c>
      <c r="AU56" s="28">
        <v>76.87</v>
      </c>
      <c r="AV56" s="26">
        <v>0</v>
      </c>
      <c r="AW56" s="51">
        <v>42865</v>
      </c>
      <c r="AX56" s="22">
        <v>39.130000000000003</v>
      </c>
      <c r="AY56" s="48">
        <v>0</v>
      </c>
    </row>
    <row r="57" spans="1:51" x14ac:dyDescent="0.3">
      <c r="A57" s="95">
        <v>44111</v>
      </c>
      <c r="B57" s="86">
        <v>44.437965862491325</v>
      </c>
      <c r="C57" s="23">
        <v>1</v>
      </c>
      <c r="F57" s="100"/>
      <c r="I57" s="100"/>
      <c r="J57" s="29">
        <v>42955</v>
      </c>
      <c r="K57" s="30">
        <v>76.569999999999993</v>
      </c>
      <c r="L57" s="26">
        <v>0</v>
      </c>
      <c r="M57" s="31">
        <v>38825</v>
      </c>
      <c r="N57" s="32">
        <v>4.53</v>
      </c>
      <c r="O57" s="26">
        <v>0</v>
      </c>
      <c r="P57" s="33">
        <v>38825</v>
      </c>
      <c r="Q57" s="34">
        <v>5.64</v>
      </c>
      <c r="R57" s="26">
        <v>0</v>
      </c>
      <c r="S57" s="35">
        <v>39881</v>
      </c>
      <c r="T57" s="36">
        <v>37.020000000000003</v>
      </c>
      <c r="U57" s="26">
        <v>0</v>
      </c>
      <c r="V57" s="37">
        <v>39881</v>
      </c>
      <c r="W57" s="38">
        <v>3.21</v>
      </c>
      <c r="X57" s="39">
        <v>0</v>
      </c>
      <c r="Y57" s="40">
        <v>38237</v>
      </c>
      <c r="Z57" s="41">
        <v>30.05</v>
      </c>
      <c r="AA57" s="26">
        <v>0</v>
      </c>
      <c r="AB57" s="42">
        <v>38237</v>
      </c>
      <c r="AC57" s="56">
        <v>6.95</v>
      </c>
      <c r="AD57" s="26">
        <v>0</v>
      </c>
      <c r="AE57" s="44">
        <v>42035</v>
      </c>
      <c r="AF57" s="45">
        <v>95.58</v>
      </c>
      <c r="AG57" s="26">
        <v>0</v>
      </c>
      <c r="AH57" s="44">
        <v>40509</v>
      </c>
      <c r="AI57" s="45">
        <v>58</v>
      </c>
      <c r="AJ57" s="46">
        <v>0</v>
      </c>
      <c r="AK57" s="47">
        <v>42471</v>
      </c>
      <c r="AL57" s="97">
        <v>38.97</v>
      </c>
      <c r="AM57" s="48">
        <v>0</v>
      </c>
      <c r="AN57" s="92">
        <v>42591</v>
      </c>
      <c r="AO57" s="93">
        <v>70.510000000000005</v>
      </c>
      <c r="AP57" s="26">
        <v>0</v>
      </c>
      <c r="AT57" s="49">
        <v>43324</v>
      </c>
      <c r="AU57" s="28">
        <v>78.099999999999994</v>
      </c>
      <c r="AV57" s="26">
        <v>0</v>
      </c>
      <c r="AW57" s="51">
        <v>42887</v>
      </c>
      <c r="AX57" s="22">
        <v>39.21</v>
      </c>
      <c r="AY57" s="48">
        <v>0</v>
      </c>
    </row>
    <row r="58" spans="1:51" x14ac:dyDescent="0.3">
      <c r="A58" s="96">
        <v>44177</v>
      </c>
      <c r="B58" s="88">
        <v>44.758086397412093</v>
      </c>
      <c r="C58" s="23">
        <v>0</v>
      </c>
      <c r="F58" s="100"/>
      <c r="I58" s="100"/>
      <c r="J58" s="29">
        <v>43048</v>
      </c>
      <c r="K58" s="30">
        <v>76.849999999999994</v>
      </c>
      <c r="L58" s="26">
        <v>0</v>
      </c>
      <c r="M58" s="31">
        <v>38833</v>
      </c>
      <c r="N58" s="32">
        <v>4.42</v>
      </c>
      <c r="O58" s="26">
        <v>0</v>
      </c>
      <c r="P58" s="33">
        <v>38833</v>
      </c>
      <c r="Q58" s="34">
        <v>5.42</v>
      </c>
      <c r="R58" s="26">
        <v>0</v>
      </c>
      <c r="S58" s="107">
        <v>40184</v>
      </c>
      <c r="T58" s="108">
        <v>37.630000000000003</v>
      </c>
      <c r="U58" s="26">
        <v>0</v>
      </c>
      <c r="V58" s="37">
        <v>39939</v>
      </c>
      <c r="W58" s="38">
        <v>2.7</v>
      </c>
      <c r="X58" s="39">
        <v>0</v>
      </c>
      <c r="Y58" s="40">
        <v>38246</v>
      </c>
      <c r="Z58" s="41">
        <v>30.47</v>
      </c>
      <c r="AA58" s="26">
        <v>0</v>
      </c>
      <c r="AB58" s="42">
        <v>38246</v>
      </c>
      <c r="AC58" s="56">
        <v>6.92</v>
      </c>
      <c r="AD58" s="26">
        <v>0</v>
      </c>
      <c r="AE58" s="44">
        <v>42063</v>
      </c>
      <c r="AF58" s="45">
        <v>95.68</v>
      </c>
      <c r="AG58" s="26">
        <v>0</v>
      </c>
      <c r="AH58" s="44">
        <v>40510</v>
      </c>
      <c r="AI58" s="45">
        <v>58</v>
      </c>
      <c r="AJ58" s="46">
        <v>0</v>
      </c>
      <c r="AK58" s="47">
        <v>42557</v>
      </c>
      <c r="AL58" s="97">
        <v>39.340000000000003</v>
      </c>
      <c r="AM58" s="48">
        <v>0</v>
      </c>
      <c r="AN58" s="92">
        <v>42663</v>
      </c>
      <c r="AO58" s="93">
        <v>70.73</v>
      </c>
      <c r="AP58" s="26">
        <v>0</v>
      </c>
      <c r="AT58" s="106">
        <v>43407</v>
      </c>
      <c r="AU58" s="60">
        <v>77.45</v>
      </c>
      <c r="AV58" s="26">
        <v>1</v>
      </c>
      <c r="AW58" s="51">
        <v>42955</v>
      </c>
      <c r="AX58" s="22">
        <v>39.17</v>
      </c>
      <c r="AY58" s="48">
        <v>0</v>
      </c>
    </row>
    <row r="59" spans="1:51" x14ac:dyDescent="0.3">
      <c r="A59" s="95">
        <v>44207</v>
      </c>
      <c r="B59" s="86">
        <v>45.084951337773219</v>
      </c>
      <c r="C59" s="23">
        <v>1</v>
      </c>
      <c r="F59" s="100"/>
      <c r="I59" s="100"/>
      <c r="J59" s="29">
        <v>43123</v>
      </c>
      <c r="K59" s="30">
        <v>77.11</v>
      </c>
      <c r="L59" s="26">
        <v>0</v>
      </c>
      <c r="M59" s="31">
        <v>38844</v>
      </c>
      <c r="N59" s="32">
        <v>4.42</v>
      </c>
      <c r="O59" s="26">
        <v>0</v>
      </c>
      <c r="P59" s="33">
        <v>38844</v>
      </c>
      <c r="Q59" s="34">
        <v>5.3</v>
      </c>
      <c r="R59" s="26">
        <v>0</v>
      </c>
      <c r="S59" s="109">
        <v>40313</v>
      </c>
      <c r="T59" s="110">
        <v>36.869999999999997</v>
      </c>
      <c r="U59" s="26">
        <v>1</v>
      </c>
      <c r="V59" s="111">
        <v>40227</v>
      </c>
      <c r="W59" s="112">
        <v>2.89</v>
      </c>
      <c r="X59" s="62">
        <v>1</v>
      </c>
      <c r="Y59" s="40">
        <v>38251</v>
      </c>
      <c r="Z59" s="41">
        <v>30.43</v>
      </c>
      <c r="AA59" s="26">
        <v>0</v>
      </c>
      <c r="AB59" s="42">
        <v>38251</v>
      </c>
      <c r="AC59" s="56">
        <v>6.87</v>
      </c>
      <c r="AD59" s="26">
        <v>0</v>
      </c>
      <c r="AE59" s="44">
        <v>42087</v>
      </c>
      <c r="AF59" s="45">
        <v>95.86</v>
      </c>
      <c r="AG59" s="26">
        <v>0</v>
      </c>
      <c r="AH59" s="44">
        <v>40511</v>
      </c>
      <c r="AI59" s="45">
        <v>57.98</v>
      </c>
      <c r="AJ59" s="46">
        <v>0</v>
      </c>
      <c r="AK59" s="47">
        <v>42591</v>
      </c>
      <c r="AL59" s="70">
        <v>39.22</v>
      </c>
      <c r="AM59" s="48">
        <v>0</v>
      </c>
      <c r="AN59" s="113">
        <v>42774</v>
      </c>
      <c r="AO59" s="93">
        <v>71.53</v>
      </c>
      <c r="AP59" s="26">
        <v>0</v>
      </c>
      <c r="AT59" s="114">
        <v>43559</v>
      </c>
      <c r="AU59" s="115">
        <v>79.36</v>
      </c>
      <c r="AV59" s="26">
        <v>0</v>
      </c>
      <c r="AW59" s="116">
        <v>43048</v>
      </c>
      <c r="AX59" s="58">
        <v>39.61</v>
      </c>
      <c r="AY59" s="48">
        <v>0</v>
      </c>
    </row>
    <row r="60" spans="1:51" x14ac:dyDescent="0.3">
      <c r="A60" s="96">
        <v>44293</v>
      </c>
      <c r="B60" s="88">
        <v>45.418671753365807</v>
      </c>
      <c r="C60" s="23">
        <v>0</v>
      </c>
      <c r="F60" s="100"/>
      <c r="I60" s="100"/>
      <c r="J60" s="29">
        <v>43559</v>
      </c>
      <c r="K60" s="30">
        <v>79.42</v>
      </c>
      <c r="L60" s="26">
        <v>0</v>
      </c>
      <c r="M60" s="31">
        <v>38849</v>
      </c>
      <c r="N60" s="32">
        <v>4.3099999999999996</v>
      </c>
      <c r="O60" s="26">
        <v>0</v>
      </c>
      <c r="P60" s="33">
        <v>38849</v>
      </c>
      <c r="Q60" s="34">
        <v>5.22</v>
      </c>
      <c r="R60" s="26">
        <v>0</v>
      </c>
      <c r="S60" s="107">
        <v>40494</v>
      </c>
      <c r="T60" s="117">
        <v>36.21</v>
      </c>
      <c r="U60" s="26">
        <v>0</v>
      </c>
      <c r="V60" s="111">
        <v>40372</v>
      </c>
      <c r="W60" s="112">
        <v>2.93</v>
      </c>
      <c r="X60" s="62">
        <v>1</v>
      </c>
      <c r="Y60" s="40">
        <v>38286</v>
      </c>
      <c r="Z60" s="41">
        <v>31.7</v>
      </c>
      <c r="AA60" s="26">
        <v>0</v>
      </c>
      <c r="AB60" s="42">
        <v>38286</v>
      </c>
      <c r="AC60" s="56">
        <v>6.94</v>
      </c>
      <c r="AD60" s="26">
        <v>0</v>
      </c>
      <c r="AE60" s="44">
        <v>42157</v>
      </c>
      <c r="AF60" s="45">
        <v>96</v>
      </c>
      <c r="AG60" s="26">
        <v>0</v>
      </c>
      <c r="AH60" s="44">
        <v>40512</v>
      </c>
      <c r="AI60" s="45">
        <v>58.1</v>
      </c>
      <c r="AJ60" s="46">
        <v>0</v>
      </c>
      <c r="AK60" s="47">
        <v>42774</v>
      </c>
      <c r="AL60" s="70">
        <v>39.979999999999997</v>
      </c>
      <c r="AM60" s="48">
        <v>0</v>
      </c>
      <c r="AN60" s="92">
        <v>42852</v>
      </c>
      <c r="AO60" s="93">
        <v>72.5</v>
      </c>
      <c r="AP60" s="26">
        <v>0</v>
      </c>
      <c r="AT60" s="106">
        <v>43729</v>
      </c>
      <c r="AU60" s="60">
        <v>79.91</v>
      </c>
      <c r="AV60" s="26">
        <v>1</v>
      </c>
      <c r="AW60" s="118">
        <v>43170</v>
      </c>
      <c r="AX60" s="62">
        <v>40.119999999999997</v>
      </c>
      <c r="AY60" s="48">
        <v>1</v>
      </c>
    </row>
    <row r="61" spans="1:51" x14ac:dyDescent="0.3">
      <c r="A61" s="96">
        <v>44411</v>
      </c>
      <c r="B61" s="88">
        <v>45.759360650938405</v>
      </c>
      <c r="C61" s="23">
        <v>0</v>
      </c>
      <c r="D61" s="119"/>
      <c r="F61" s="100"/>
      <c r="I61" s="100"/>
      <c r="J61" s="29">
        <v>43697</v>
      </c>
      <c r="K61" s="30">
        <v>79.98</v>
      </c>
      <c r="L61" s="26">
        <v>0</v>
      </c>
      <c r="M61" s="31">
        <v>38860</v>
      </c>
      <c r="N61" s="32">
        <v>4.46</v>
      </c>
      <c r="O61" s="26">
        <v>0</v>
      </c>
      <c r="P61" s="33">
        <v>38860</v>
      </c>
      <c r="Q61" s="34">
        <v>5.2</v>
      </c>
      <c r="R61" s="26">
        <v>0</v>
      </c>
      <c r="S61" s="109">
        <v>40506</v>
      </c>
      <c r="T61" s="110">
        <v>37.25</v>
      </c>
      <c r="U61" s="26">
        <v>1</v>
      </c>
      <c r="V61" s="120">
        <v>40540</v>
      </c>
      <c r="W61" s="121">
        <v>2.96</v>
      </c>
      <c r="X61" s="62">
        <v>0</v>
      </c>
      <c r="Y61" s="40">
        <v>38308</v>
      </c>
      <c r="Z61" s="41">
        <v>31.84</v>
      </c>
      <c r="AA61" s="26">
        <v>0</v>
      </c>
      <c r="AB61" s="42">
        <v>38308</v>
      </c>
      <c r="AC61" s="56">
        <v>6.91</v>
      </c>
      <c r="AD61" s="26">
        <v>0</v>
      </c>
      <c r="AE61" s="44">
        <v>42220</v>
      </c>
      <c r="AF61" s="45">
        <v>96.2</v>
      </c>
      <c r="AG61" s="26">
        <v>0</v>
      </c>
      <c r="AH61" s="44">
        <v>40513</v>
      </c>
      <c r="AI61" s="45">
        <v>57.67</v>
      </c>
      <c r="AJ61" s="46">
        <v>0</v>
      </c>
      <c r="AK61" s="47">
        <v>42865</v>
      </c>
      <c r="AL61" s="70">
        <v>39.82</v>
      </c>
      <c r="AM61" s="48">
        <v>0</v>
      </c>
      <c r="AN61" s="92">
        <v>42865</v>
      </c>
      <c r="AO61" s="93">
        <v>72.209999999999994</v>
      </c>
      <c r="AP61" s="26">
        <v>0</v>
      </c>
      <c r="AT61" s="49">
        <v>43871</v>
      </c>
      <c r="AU61" s="28">
        <v>79.56</v>
      </c>
      <c r="AV61" s="26">
        <v>0</v>
      </c>
      <c r="AW61" s="118">
        <v>43360</v>
      </c>
      <c r="AX61" s="62">
        <v>41.59</v>
      </c>
      <c r="AY61" s="48">
        <v>1</v>
      </c>
    </row>
    <row r="62" spans="1:51" x14ac:dyDescent="0.3">
      <c r="A62" s="95">
        <v>44486</v>
      </c>
      <c r="B62" s="86">
        <v>46.107132974197</v>
      </c>
      <c r="C62" s="23">
        <v>1</v>
      </c>
      <c r="D62" s="119"/>
      <c r="F62" s="100"/>
      <c r="I62" s="100"/>
      <c r="J62" s="29">
        <v>43759</v>
      </c>
      <c r="K62" s="30">
        <v>81.53</v>
      </c>
      <c r="L62" s="26">
        <v>0</v>
      </c>
      <c r="M62" s="31">
        <v>38929</v>
      </c>
      <c r="N62" s="32">
        <v>4.41</v>
      </c>
      <c r="O62" s="26">
        <v>0</v>
      </c>
      <c r="P62" s="33">
        <v>38929</v>
      </c>
      <c r="Q62" s="34">
        <v>5.27</v>
      </c>
      <c r="R62" s="26">
        <v>0</v>
      </c>
      <c r="S62" s="107">
        <v>40660</v>
      </c>
      <c r="T62" s="117">
        <v>36.71</v>
      </c>
      <c r="U62" s="26">
        <v>0</v>
      </c>
      <c r="V62" s="120">
        <v>40640</v>
      </c>
      <c r="W62" s="121">
        <v>3.13</v>
      </c>
      <c r="X62" s="62">
        <v>0</v>
      </c>
      <c r="Y62" s="40">
        <v>38313</v>
      </c>
      <c r="Z62" s="41">
        <v>31.64</v>
      </c>
      <c r="AA62" s="26">
        <v>0</v>
      </c>
      <c r="AB62" s="42">
        <v>38313</v>
      </c>
      <c r="AC62" s="56">
        <v>7.22</v>
      </c>
      <c r="AD62" s="26">
        <v>0</v>
      </c>
      <c r="AE62" s="44">
        <v>42255</v>
      </c>
      <c r="AF62" s="45">
        <v>96.39</v>
      </c>
      <c r="AG62" s="26">
        <v>0</v>
      </c>
      <c r="AH62" s="44">
        <v>40527</v>
      </c>
      <c r="AI62" s="45">
        <v>58.96</v>
      </c>
      <c r="AJ62" s="46">
        <v>0</v>
      </c>
      <c r="AK62" s="47">
        <v>42887</v>
      </c>
      <c r="AL62" s="70">
        <v>39.9</v>
      </c>
      <c r="AM62" s="48">
        <v>0</v>
      </c>
      <c r="AN62" s="92">
        <v>42887</v>
      </c>
      <c r="AO62" s="93">
        <v>72.319999999999993</v>
      </c>
      <c r="AP62" s="26">
        <v>0</v>
      </c>
      <c r="AT62" s="106">
        <v>44017</v>
      </c>
      <c r="AU62" s="60">
        <v>80.78</v>
      </c>
      <c r="AV62" s="26">
        <v>1</v>
      </c>
      <c r="AW62" s="122">
        <v>43608</v>
      </c>
      <c r="AX62" s="66">
        <v>42.68</v>
      </c>
      <c r="AY62" s="48">
        <v>0</v>
      </c>
    </row>
    <row r="63" spans="1:51" x14ac:dyDescent="0.3">
      <c r="A63" s="96">
        <v>44507</v>
      </c>
      <c r="B63" s="88">
        <v>46.462105603804993</v>
      </c>
      <c r="C63" s="23">
        <v>0</v>
      </c>
      <c r="D63" s="119"/>
      <c r="F63" s="100"/>
      <c r="I63" s="100"/>
      <c r="J63" s="29">
        <v>44440</v>
      </c>
      <c r="K63" s="30">
        <v>82.9</v>
      </c>
      <c r="L63" s="26">
        <v>0</v>
      </c>
      <c r="M63" s="31">
        <v>38960</v>
      </c>
      <c r="N63" s="32">
        <v>4.5</v>
      </c>
      <c r="O63" s="26">
        <v>0</v>
      </c>
      <c r="P63" s="33">
        <v>38960</v>
      </c>
      <c r="Q63" s="34">
        <v>5.21</v>
      </c>
      <c r="R63" s="26">
        <v>0</v>
      </c>
      <c r="S63" s="109">
        <v>40857</v>
      </c>
      <c r="T63" s="110">
        <v>36.909999999999997</v>
      </c>
      <c r="U63" s="26">
        <v>1</v>
      </c>
      <c r="V63" s="111">
        <v>40810</v>
      </c>
      <c r="W63" s="112">
        <v>2.94</v>
      </c>
      <c r="X63" s="62">
        <v>1</v>
      </c>
      <c r="Y63" s="40">
        <v>38342</v>
      </c>
      <c r="Z63" s="41">
        <v>31.72</v>
      </c>
      <c r="AA63" s="26">
        <v>0</v>
      </c>
      <c r="AB63" s="42">
        <v>38342</v>
      </c>
      <c r="AC63" s="56">
        <v>6.84</v>
      </c>
      <c r="AD63" s="26">
        <v>0</v>
      </c>
      <c r="AE63" s="44">
        <v>42292</v>
      </c>
      <c r="AF63" s="45">
        <v>96.68</v>
      </c>
      <c r="AG63" s="26">
        <v>0</v>
      </c>
      <c r="AH63" s="44">
        <v>40528</v>
      </c>
      <c r="AI63" s="45">
        <v>58.98</v>
      </c>
      <c r="AJ63" s="46">
        <v>0</v>
      </c>
      <c r="AK63" s="47">
        <v>42955</v>
      </c>
      <c r="AL63" s="70">
        <v>39.71</v>
      </c>
      <c r="AM63" s="48">
        <v>0</v>
      </c>
      <c r="AN63" s="92">
        <v>42955</v>
      </c>
      <c r="AO63" s="93">
        <v>72.7</v>
      </c>
      <c r="AP63" s="26">
        <v>0</v>
      </c>
      <c r="AT63" s="49">
        <v>44206</v>
      </c>
      <c r="AU63" s="28">
        <v>81.56</v>
      </c>
      <c r="AV63" s="26">
        <v>0</v>
      </c>
      <c r="AW63" s="122">
        <v>43791</v>
      </c>
      <c r="AX63" s="66">
        <v>42.16</v>
      </c>
      <c r="AY63" s="48">
        <v>0</v>
      </c>
    </row>
    <row r="64" spans="1:51" x14ac:dyDescent="0.3">
      <c r="A64" s="95">
        <v>44539</v>
      </c>
      <c r="B64" s="86">
        <v>46.824397357383262</v>
      </c>
      <c r="C64" s="23">
        <v>1</v>
      </c>
      <c r="D64" s="119"/>
      <c r="F64" s="100"/>
      <c r="I64" s="100"/>
      <c r="J64" s="29">
        <v>44599</v>
      </c>
      <c r="K64" s="30">
        <v>83.83</v>
      </c>
      <c r="L64" s="26">
        <v>0</v>
      </c>
      <c r="M64" s="31">
        <v>39085</v>
      </c>
      <c r="N64" s="32">
        <v>4.4400000000000004</v>
      </c>
      <c r="O64" s="26">
        <v>0</v>
      </c>
      <c r="P64" s="33">
        <v>39085</v>
      </c>
      <c r="Q64" s="34">
        <v>5.55</v>
      </c>
      <c r="R64" s="26">
        <v>0</v>
      </c>
      <c r="S64" s="107">
        <v>40934</v>
      </c>
      <c r="T64" s="108">
        <v>36.729999999999997</v>
      </c>
      <c r="U64" s="26">
        <v>0</v>
      </c>
      <c r="V64" s="111">
        <v>40899</v>
      </c>
      <c r="W64" s="112">
        <v>3.24</v>
      </c>
      <c r="X64" s="62">
        <v>1</v>
      </c>
      <c r="Y64" s="40">
        <v>38364</v>
      </c>
      <c r="Z64" s="41">
        <v>31.9</v>
      </c>
      <c r="AA64" s="26">
        <v>0</v>
      </c>
      <c r="AB64" s="42">
        <v>38364</v>
      </c>
      <c r="AC64" s="56">
        <v>6.9</v>
      </c>
      <c r="AD64" s="26">
        <v>0</v>
      </c>
      <c r="AE64" s="44">
        <v>42353</v>
      </c>
      <c r="AF64" s="45">
        <v>97.1</v>
      </c>
      <c r="AG64" s="26">
        <v>0</v>
      </c>
      <c r="AH64" s="44">
        <v>40529</v>
      </c>
      <c r="AI64" s="45">
        <v>58.94</v>
      </c>
      <c r="AJ64" s="46">
        <v>0</v>
      </c>
      <c r="AK64" s="47">
        <v>43011</v>
      </c>
      <c r="AL64" s="70">
        <v>39.57</v>
      </c>
      <c r="AM64" s="48">
        <v>0</v>
      </c>
      <c r="AN64" s="92">
        <v>43048</v>
      </c>
      <c r="AO64" s="93">
        <v>73.37</v>
      </c>
      <c r="AP64" s="26">
        <v>0</v>
      </c>
      <c r="AT64" s="106">
        <v>44460</v>
      </c>
      <c r="AU64" s="60">
        <v>80.790000000000006</v>
      </c>
      <c r="AV64" s="26">
        <v>1</v>
      </c>
      <c r="AW64" s="122">
        <v>43928</v>
      </c>
      <c r="AX64" s="66">
        <v>42.81</v>
      </c>
      <c r="AY64" s="48">
        <v>0</v>
      </c>
    </row>
    <row r="65" spans="1:51" x14ac:dyDescent="0.3">
      <c r="A65" s="96">
        <v>44600</v>
      </c>
      <c r="B65" s="123">
        <v>47.17</v>
      </c>
      <c r="C65" s="23">
        <v>0</v>
      </c>
      <c r="D65" s="119"/>
      <c r="F65" s="100"/>
      <c r="I65" s="100"/>
      <c r="J65" s="124">
        <v>44846</v>
      </c>
      <c r="K65" s="125">
        <v>82.078147199999989</v>
      </c>
      <c r="L65" s="26">
        <v>1</v>
      </c>
      <c r="M65" s="31">
        <v>39140</v>
      </c>
      <c r="N65" s="32">
        <v>4.57</v>
      </c>
      <c r="O65" s="26">
        <v>0</v>
      </c>
      <c r="P65" s="33">
        <v>39140</v>
      </c>
      <c r="Q65" s="34">
        <v>5.55</v>
      </c>
      <c r="R65" s="26">
        <v>0</v>
      </c>
      <c r="S65" s="107">
        <v>41025</v>
      </c>
      <c r="T65" s="108">
        <v>37.83</v>
      </c>
      <c r="U65" s="26">
        <v>0</v>
      </c>
      <c r="V65" s="120">
        <v>40934</v>
      </c>
      <c r="W65" s="126">
        <v>3.11</v>
      </c>
      <c r="X65" s="127">
        <v>0</v>
      </c>
      <c r="Y65" s="40">
        <v>38378</v>
      </c>
      <c r="Z65" s="41">
        <v>32.5</v>
      </c>
      <c r="AA65" s="26">
        <v>0</v>
      </c>
      <c r="AB65" s="42">
        <v>38378</v>
      </c>
      <c r="AC65" s="56">
        <v>6.91</v>
      </c>
      <c r="AD65" s="26">
        <v>0</v>
      </c>
      <c r="AE65" s="44">
        <v>42387</v>
      </c>
      <c r="AF65" s="45">
        <v>97.4</v>
      </c>
      <c r="AG65" s="26">
        <v>0</v>
      </c>
      <c r="AH65" s="44">
        <v>40530</v>
      </c>
      <c r="AI65" s="45">
        <v>58.94</v>
      </c>
      <c r="AJ65" s="46">
        <v>0</v>
      </c>
      <c r="AK65" s="128">
        <v>43123</v>
      </c>
      <c r="AL65" s="129">
        <v>39.409999999999997</v>
      </c>
      <c r="AM65" s="48">
        <v>0</v>
      </c>
      <c r="AN65" s="92">
        <v>43123</v>
      </c>
      <c r="AO65" s="93">
        <v>73.819999999999993</v>
      </c>
      <c r="AP65" s="26">
        <v>0</v>
      </c>
      <c r="AT65" s="49">
        <v>44606</v>
      </c>
      <c r="AU65" s="28">
        <v>82.75</v>
      </c>
      <c r="AV65" s="26">
        <v>0</v>
      </c>
      <c r="AW65" s="118">
        <v>44085</v>
      </c>
      <c r="AX65" s="62">
        <v>42.95</v>
      </c>
      <c r="AY65" s="48">
        <v>1</v>
      </c>
    </row>
    <row r="66" spans="1:51" x14ac:dyDescent="0.3">
      <c r="A66" s="130">
        <v>44697</v>
      </c>
      <c r="B66" s="86">
        <v>47.152342456998404</v>
      </c>
      <c r="C66" s="23">
        <v>1</v>
      </c>
      <c r="D66" s="119"/>
      <c r="F66" s="100"/>
      <c r="I66" s="100"/>
      <c r="J66" s="44">
        <v>44900</v>
      </c>
      <c r="K66" s="131">
        <v>80.88698789999998</v>
      </c>
      <c r="L66" s="26">
        <v>0</v>
      </c>
      <c r="M66" s="31">
        <v>39184</v>
      </c>
      <c r="N66" s="32">
        <v>4.82</v>
      </c>
      <c r="O66" s="26">
        <v>0</v>
      </c>
      <c r="P66" s="33">
        <v>39184</v>
      </c>
      <c r="Q66" s="34">
        <v>5.67</v>
      </c>
      <c r="R66" s="26">
        <v>0</v>
      </c>
      <c r="S66" s="107">
        <v>41059</v>
      </c>
      <c r="T66" s="108">
        <v>38.799999999999997</v>
      </c>
      <c r="U66" s="26">
        <v>0</v>
      </c>
      <c r="V66" s="120">
        <v>41025</v>
      </c>
      <c r="W66" s="126">
        <v>3.05</v>
      </c>
      <c r="X66" s="127">
        <v>0</v>
      </c>
      <c r="Y66" s="40">
        <v>38391</v>
      </c>
      <c r="Z66" s="41">
        <v>32.6</v>
      </c>
      <c r="AA66" s="26">
        <v>0</v>
      </c>
      <c r="AB66" s="42">
        <v>38391</v>
      </c>
      <c r="AC66" s="56">
        <v>6.88</v>
      </c>
      <c r="AD66" s="26">
        <v>0</v>
      </c>
      <c r="AE66" s="44">
        <v>42429</v>
      </c>
      <c r="AF66" s="45">
        <v>97.6</v>
      </c>
      <c r="AG66" s="26">
        <v>0</v>
      </c>
      <c r="AH66" s="44">
        <v>40531</v>
      </c>
      <c r="AI66" s="45">
        <v>58.93</v>
      </c>
      <c r="AJ66" s="46">
        <v>0</v>
      </c>
      <c r="AK66" s="132">
        <v>43323</v>
      </c>
      <c r="AL66" s="62">
        <v>39.5</v>
      </c>
      <c r="AM66" s="48">
        <v>1</v>
      </c>
      <c r="AN66" s="92">
        <v>43263</v>
      </c>
      <c r="AO66" s="93">
        <v>74.75</v>
      </c>
      <c r="AP66" s="26">
        <v>0</v>
      </c>
      <c r="AT66" s="49">
        <v>44809</v>
      </c>
      <c r="AU66" s="28">
        <v>83.41</v>
      </c>
      <c r="AV66" s="26">
        <v>0</v>
      </c>
      <c r="AW66" s="122">
        <v>44213</v>
      </c>
      <c r="AX66" s="66">
        <v>43.21</v>
      </c>
      <c r="AY66" s="48">
        <v>0</v>
      </c>
    </row>
    <row r="67" spans="1:51" x14ac:dyDescent="0.3">
      <c r="A67" s="133">
        <v>44821</v>
      </c>
      <c r="B67" s="88">
        <v>47.451890647646238</v>
      </c>
      <c r="C67" s="23">
        <v>0</v>
      </c>
      <c r="D67" s="119"/>
      <c r="F67" s="100"/>
      <c r="I67" s="100"/>
      <c r="J67" s="124">
        <v>45008</v>
      </c>
      <c r="K67" s="125">
        <v>79.794049599999994</v>
      </c>
      <c r="L67" s="26">
        <v>1</v>
      </c>
      <c r="M67" s="31">
        <v>39213</v>
      </c>
      <c r="N67" s="32">
        <v>4.6100000000000003</v>
      </c>
      <c r="O67" s="26">
        <v>0</v>
      </c>
      <c r="P67" s="33">
        <v>39213</v>
      </c>
      <c r="Q67" s="34">
        <v>5.41</v>
      </c>
      <c r="R67" s="26">
        <v>0</v>
      </c>
      <c r="S67" s="107">
        <v>41072</v>
      </c>
      <c r="T67" s="108">
        <v>39.04</v>
      </c>
      <c r="U67" s="26">
        <v>0</v>
      </c>
      <c r="V67" s="120">
        <v>41059</v>
      </c>
      <c r="W67" s="126">
        <v>2.84</v>
      </c>
      <c r="X67" s="127">
        <v>0</v>
      </c>
      <c r="Y67" s="40">
        <v>38404</v>
      </c>
      <c r="Z67" s="41">
        <v>32.619999999999997</v>
      </c>
      <c r="AA67" s="26">
        <v>0</v>
      </c>
      <c r="AB67" s="42">
        <v>38404</v>
      </c>
      <c r="AC67" s="56">
        <v>7</v>
      </c>
      <c r="AD67" s="26">
        <v>0</v>
      </c>
      <c r="AE67" s="44">
        <v>42471</v>
      </c>
      <c r="AF67" s="45">
        <v>97.71</v>
      </c>
      <c r="AG67" s="26">
        <v>0</v>
      </c>
      <c r="AH67" s="44">
        <v>40532</v>
      </c>
      <c r="AI67" s="45">
        <v>58.93</v>
      </c>
      <c r="AJ67" s="46">
        <v>0</v>
      </c>
      <c r="AK67" s="132">
        <v>43419</v>
      </c>
      <c r="AL67" s="62">
        <v>39.700000000000003</v>
      </c>
      <c r="AM67" s="48">
        <v>1</v>
      </c>
      <c r="AN67" s="49">
        <v>43348</v>
      </c>
      <c r="AO67" s="93">
        <v>75.08</v>
      </c>
      <c r="AP67" s="26">
        <v>0</v>
      </c>
      <c r="AT67" s="106">
        <v>44929</v>
      </c>
      <c r="AU67" s="60">
        <v>84.7</v>
      </c>
      <c r="AV67" s="26">
        <v>1</v>
      </c>
      <c r="AW67" s="118">
        <v>44481</v>
      </c>
      <c r="AX67" s="62">
        <v>43.44</v>
      </c>
      <c r="AY67" s="48">
        <v>1</v>
      </c>
    </row>
    <row r="68" spans="1:51" x14ac:dyDescent="0.3">
      <c r="A68" s="133">
        <v>45038</v>
      </c>
      <c r="B68" s="88">
        <v>47.756301290436348</v>
      </c>
      <c r="C68" s="23">
        <v>0</v>
      </c>
      <c r="D68" s="119"/>
      <c r="F68" s="100"/>
      <c r="I68" s="100"/>
      <c r="J68" s="124">
        <v>45210</v>
      </c>
      <c r="K68" s="125">
        <v>78.793515299999996</v>
      </c>
      <c r="L68" s="26">
        <v>1</v>
      </c>
      <c r="M68" s="31">
        <v>39231</v>
      </c>
      <c r="N68" s="32">
        <v>4.7699999999999996</v>
      </c>
      <c r="O68" s="26">
        <v>0</v>
      </c>
      <c r="P68" s="33">
        <v>39231</v>
      </c>
      <c r="Q68" s="34">
        <v>5.36</v>
      </c>
      <c r="R68" s="26">
        <v>0</v>
      </c>
      <c r="S68" s="107">
        <v>41171</v>
      </c>
      <c r="T68" s="108">
        <v>40.35</v>
      </c>
      <c r="U68" s="26">
        <v>0</v>
      </c>
      <c r="V68" s="120">
        <v>41072</v>
      </c>
      <c r="W68" s="126">
        <v>2.8</v>
      </c>
      <c r="X68" s="127">
        <v>0</v>
      </c>
      <c r="Y68" s="40">
        <v>38453</v>
      </c>
      <c r="Z68" s="41">
        <v>33.42</v>
      </c>
      <c r="AA68" s="26">
        <v>0</v>
      </c>
      <c r="AB68" s="42">
        <v>38427</v>
      </c>
      <c r="AC68" s="56">
        <v>6.91</v>
      </c>
      <c r="AD68" s="26">
        <v>0</v>
      </c>
      <c r="AE68" s="44">
        <v>42494</v>
      </c>
      <c r="AF68" s="45">
        <v>97.82</v>
      </c>
      <c r="AG68" s="26">
        <v>0</v>
      </c>
      <c r="AH68" s="44">
        <v>40533</v>
      </c>
      <c r="AI68" s="45">
        <v>58.92</v>
      </c>
      <c r="AJ68" s="46">
        <v>0</v>
      </c>
      <c r="AK68" s="134">
        <v>43558</v>
      </c>
      <c r="AL68" s="135">
        <v>40.090000000000003</v>
      </c>
      <c r="AM68" s="48">
        <v>0</v>
      </c>
      <c r="AN68" s="49">
        <v>43263</v>
      </c>
      <c r="AO68" s="93">
        <v>74.75</v>
      </c>
      <c r="AP68" s="26">
        <v>0</v>
      </c>
      <c r="AT68" s="106">
        <v>45155</v>
      </c>
      <c r="AU68" s="60">
        <v>85.98</v>
      </c>
      <c r="AV68" s="26">
        <v>1</v>
      </c>
      <c r="AW68" s="65">
        <v>44600</v>
      </c>
      <c r="AX68" s="69">
        <v>43.57</v>
      </c>
      <c r="AY68" s="48">
        <v>0</v>
      </c>
    </row>
    <row r="69" spans="1:51" x14ac:dyDescent="0.3">
      <c r="A69" s="130">
        <v>45241</v>
      </c>
      <c r="B69" s="86">
        <v>48.06563814222951</v>
      </c>
      <c r="C69" s="23">
        <v>1</v>
      </c>
      <c r="D69" s="119"/>
      <c r="F69" s="100"/>
      <c r="I69" s="100"/>
      <c r="J69" s="44">
        <v>45302</v>
      </c>
      <c r="K69" s="131">
        <v>77.88</v>
      </c>
      <c r="L69" s="26">
        <v>0</v>
      </c>
      <c r="M69" s="31">
        <v>39253</v>
      </c>
      <c r="N69" s="32">
        <v>4.7</v>
      </c>
      <c r="O69" s="26">
        <v>0</v>
      </c>
      <c r="P69" s="33">
        <v>39253</v>
      </c>
      <c r="Q69" s="34">
        <v>5.0999999999999996</v>
      </c>
      <c r="R69" s="26">
        <v>0</v>
      </c>
      <c r="S69" s="107">
        <v>41228</v>
      </c>
      <c r="T69" s="108">
        <v>45.58</v>
      </c>
      <c r="U69" s="26">
        <v>0</v>
      </c>
      <c r="V69" s="120">
        <v>41171</v>
      </c>
      <c r="W69" s="126">
        <v>2.63</v>
      </c>
      <c r="X69" s="127">
        <v>0</v>
      </c>
      <c r="Y69" s="40">
        <v>38461</v>
      </c>
      <c r="Z69" s="41">
        <v>33.270000000000003</v>
      </c>
      <c r="AA69" s="26">
        <v>0</v>
      </c>
      <c r="AB69" s="42">
        <v>38442</v>
      </c>
      <c r="AC69" s="56">
        <v>7.01</v>
      </c>
      <c r="AD69" s="26">
        <v>0</v>
      </c>
      <c r="AE69" s="44">
        <v>42591</v>
      </c>
      <c r="AF69" s="45">
        <v>98.1</v>
      </c>
      <c r="AG69" s="26">
        <v>0</v>
      </c>
      <c r="AH69" s="44">
        <v>40534</v>
      </c>
      <c r="AI69" s="45">
        <v>58.92</v>
      </c>
      <c r="AJ69" s="46">
        <v>0</v>
      </c>
      <c r="AK69" s="128">
        <v>43697</v>
      </c>
      <c r="AL69" s="129">
        <v>40.4</v>
      </c>
      <c r="AM69" s="48">
        <v>0</v>
      </c>
      <c r="AN69" s="113">
        <v>43348</v>
      </c>
      <c r="AO69" s="93">
        <v>75.08</v>
      </c>
      <c r="AP69" s="26">
        <v>0</v>
      </c>
      <c r="AT69" s="49">
        <v>45356</v>
      </c>
      <c r="AU69" s="28">
        <v>86.11</v>
      </c>
      <c r="AV69" s="26">
        <v>0</v>
      </c>
      <c r="AW69" s="65">
        <v>44785</v>
      </c>
      <c r="AX69" s="22">
        <v>44.04</v>
      </c>
      <c r="AY69" s="48">
        <v>0</v>
      </c>
    </row>
    <row r="70" spans="1:51" x14ac:dyDescent="0.3">
      <c r="A70" s="133">
        <v>45327</v>
      </c>
      <c r="B70" s="88">
        <v>48.379965742895884</v>
      </c>
      <c r="C70" s="23">
        <v>0</v>
      </c>
      <c r="D70" s="119"/>
      <c r="F70" s="100"/>
      <c r="I70" s="100"/>
      <c r="J70" s="124">
        <v>45544</v>
      </c>
      <c r="K70" s="125">
        <v>77.048514699999984</v>
      </c>
      <c r="L70" s="26">
        <v>1</v>
      </c>
      <c r="M70" s="31">
        <v>39346</v>
      </c>
      <c r="N70" s="32">
        <v>4.54</v>
      </c>
      <c r="O70" s="26">
        <v>0</v>
      </c>
      <c r="P70" s="33">
        <v>39346</v>
      </c>
      <c r="Q70" s="34">
        <v>4.9000000000000004</v>
      </c>
      <c r="R70" s="26">
        <v>0</v>
      </c>
      <c r="S70" s="107">
        <v>41235</v>
      </c>
      <c r="T70" s="108">
        <v>40.44</v>
      </c>
      <c r="U70" s="26">
        <v>0</v>
      </c>
      <c r="V70" s="120">
        <v>41235</v>
      </c>
      <c r="W70" s="126">
        <v>2.78</v>
      </c>
      <c r="X70" s="127">
        <v>0</v>
      </c>
      <c r="Y70" s="40">
        <v>38467</v>
      </c>
      <c r="Z70" s="41">
        <v>33.32</v>
      </c>
      <c r="AA70" s="26">
        <v>0</v>
      </c>
      <c r="AB70" s="42">
        <v>38453</v>
      </c>
      <c r="AC70" s="56">
        <v>7.03</v>
      </c>
      <c r="AD70" s="26">
        <v>0</v>
      </c>
      <c r="AE70" s="44">
        <v>42686</v>
      </c>
      <c r="AF70" s="45">
        <v>98.6</v>
      </c>
      <c r="AG70" s="26">
        <v>0</v>
      </c>
      <c r="AH70" s="44">
        <v>40535</v>
      </c>
      <c r="AI70" s="45">
        <v>58.98</v>
      </c>
      <c r="AJ70" s="46">
        <v>0</v>
      </c>
      <c r="AK70" s="47">
        <v>43921</v>
      </c>
      <c r="AL70" s="127">
        <v>41.01</v>
      </c>
      <c r="AM70" s="48">
        <v>0</v>
      </c>
      <c r="AN70" s="49">
        <v>43559</v>
      </c>
      <c r="AO70" s="50">
        <v>76.040000000000006</v>
      </c>
      <c r="AP70" s="26">
        <v>0</v>
      </c>
      <c r="AT70" s="49">
        <v>45599</v>
      </c>
      <c r="AU70" s="28">
        <v>87.75</v>
      </c>
      <c r="AV70" s="26">
        <v>0</v>
      </c>
      <c r="AW70" s="136">
        <v>44844</v>
      </c>
      <c r="AX70" s="58">
        <v>44.86</v>
      </c>
      <c r="AY70" s="48">
        <v>0</v>
      </c>
    </row>
    <row r="71" spans="1:51" x14ac:dyDescent="0.3">
      <c r="A71" s="133">
        <v>45557</v>
      </c>
      <c r="B71" s="88">
        <v>48.699349415314984</v>
      </c>
      <c r="C71" s="23">
        <v>0</v>
      </c>
      <c r="D71" s="119"/>
      <c r="F71" s="100"/>
      <c r="I71" s="100"/>
      <c r="J71" s="124">
        <v>45647</v>
      </c>
      <c r="K71" s="125">
        <v>76.294430399999996</v>
      </c>
      <c r="L71" s="26">
        <v>1</v>
      </c>
      <c r="M71" s="31">
        <v>39377</v>
      </c>
      <c r="N71" s="32">
        <v>5.16</v>
      </c>
      <c r="O71" s="26">
        <v>0</v>
      </c>
      <c r="P71" s="33">
        <v>39377</v>
      </c>
      <c r="Q71" s="34">
        <v>5.67</v>
      </c>
      <c r="R71" s="26">
        <v>0</v>
      </c>
      <c r="S71" s="107">
        <v>41278</v>
      </c>
      <c r="T71" s="108">
        <v>40.61</v>
      </c>
      <c r="U71" s="26">
        <v>0</v>
      </c>
      <c r="V71" s="120">
        <v>41278</v>
      </c>
      <c r="W71" s="126">
        <v>3.16</v>
      </c>
      <c r="X71" s="127">
        <v>0</v>
      </c>
      <c r="Y71" s="40">
        <v>38474</v>
      </c>
      <c r="Z71" s="41">
        <v>33.47</v>
      </c>
      <c r="AA71" s="26">
        <v>0</v>
      </c>
      <c r="AB71" s="42">
        <v>38461</v>
      </c>
      <c r="AC71" s="56">
        <v>6.55</v>
      </c>
      <c r="AD71" s="26">
        <v>0</v>
      </c>
      <c r="AE71" s="44">
        <v>42784</v>
      </c>
      <c r="AF71" s="45">
        <v>98.93</v>
      </c>
      <c r="AG71" s="26">
        <v>0</v>
      </c>
      <c r="AH71" s="44">
        <v>40536</v>
      </c>
      <c r="AI71" s="45">
        <v>58.95</v>
      </c>
      <c r="AJ71" s="46">
        <v>0</v>
      </c>
      <c r="AK71" s="47">
        <v>43964</v>
      </c>
      <c r="AL71" s="127">
        <v>41</v>
      </c>
      <c r="AM71" s="48">
        <v>0</v>
      </c>
      <c r="AN71" s="49">
        <v>43697</v>
      </c>
      <c r="AO71" s="93">
        <v>76.95</v>
      </c>
      <c r="AP71" s="26">
        <v>0</v>
      </c>
      <c r="AT71" s="106">
        <v>45626</v>
      </c>
      <c r="AU71" s="60">
        <v>88.1</v>
      </c>
      <c r="AV71" s="26">
        <v>1</v>
      </c>
      <c r="AW71" s="118">
        <v>45068</v>
      </c>
      <c r="AX71" s="62">
        <v>43.67</v>
      </c>
      <c r="AY71" s="48">
        <v>1</v>
      </c>
    </row>
    <row r="72" spans="1:51" x14ac:dyDescent="0.3">
      <c r="A72" s="130">
        <v>45753</v>
      </c>
      <c r="B72" s="86">
        <v>49.023855265375715</v>
      </c>
      <c r="C72" s="23">
        <v>1</v>
      </c>
      <c r="D72" s="119"/>
      <c r="F72" s="100"/>
      <c r="I72" s="100"/>
      <c r="J72" s="44">
        <v>45787</v>
      </c>
      <c r="K72" s="131">
        <v>75.613442099999986</v>
      </c>
      <c r="L72" s="26">
        <v>0</v>
      </c>
      <c r="M72" s="31">
        <v>39492</v>
      </c>
      <c r="N72" s="32">
        <v>4.6900000000000004</v>
      </c>
      <c r="O72" s="26">
        <v>0</v>
      </c>
      <c r="P72" s="33">
        <v>39471</v>
      </c>
      <c r="Q72" s="34">
        <v>6.46</v>
      </c>
      <c r="R72" s="26">
        <v>0</v>
      </c>
      <c r="S72" s="107">
        <v>41401</v>
      </c>
      <c r="T72" s="108">
        <v>40.700000000000003</v>
      </c>
      <c r="U72" s="26">
        <v>0</v>
      </c>
      <c r="V72" s="120">
        <v>41401</v>
      </c>
      <c r="W72" s="126">
        <v>3.13</v>
      </c>
      <c r="X72" s="127">
        <v>0</v>
      </c>
      <c r="Y72" s="40">
        <v>38485</v>
      </c>
      <c r="Z72" s="41">
        <v>32.61</v>
      </c>
      <c r="AA72" s="26">
        <v>0</v>
      </c>
      <c r="AB72" s="42">
        <v>38467</v>
      </c>
      <c r="AC72" s="56">
        <v>6.95</v>
      </c>
      <c r="AD72" s="26">
        <v>0</v>
      </c>
      <c r="AE72" s="44">
        <v>42852</v>
      </c>
      <c r="AF72" s="45">
        <v>99.56</v>
      </c>
      <c r="AG72" s="26">
        <v>0</v>
      </c>
      <c r="AH72" s="44">
        <v>40537</v>
      </c>
      <c r="AI72" s="45">
        <v>58.94</v>
      </c>
      <c r="AJ72" s="46">
        <v>0</v>
      </c>
      <c r="AK72" s="47">
        <v>44008</v>
      </c>
      <c r="AL72" s="127">
        <v>41.47</v>
      </c>
      <c r="AM72" s="48">
        <v>0</v>
      </c>
      <c r="AN72" s="101">
        <v>43810</v>
      </c>
      <c r="AO72" s="137">
        <v>77.12</v>
      </c>
      <c r="AP72" s="26">
        <v>1</v>
      </c>
      <c r="AT72" s="106">
        <v>45727</v>
      </c>
      <c r="AU72" s="60">
        <v>88.45</v>
      </c>
      <c r="AV72" s="26">
        <v>1</v>
      </c>
      <c r="AW72" s="122">
        <v>45205</v>
      </c>
      <c r="AX72" s="66">
        <v>44.92</v>
      </c>
      <c r="AY72" s="48">
        <v>0</v>
      </c>
    </row>
    <row r="73" spans="1:51" x14ac:dyDescent="0.3">
      <c r="A73" s="133">
        <v>45972</v>
      </c>
      <c r="B73" s="67">
        <v>49.13</v>
      </c>
      <c r="C73" s="23">
        <v>0</v>
      </c>
      <c r="D73" s="119"/>
      <c r="F73" s="100"/>
      <c r="I73" s="100"/>
      <c r="J73" s="124">
        <v>45894</v>
      </c>
      <c r="K73" s="125">
        <v>75.001532799999993</v>
      </c>
      <c r="L73" s="26">
        <v>1</v>
      </c>
      <c r="M73" s="31">
        <v>39538</v>
      </c>
      <c r="N73" s="32">
        <v>4.8099999999999996</v>
      </c>
      <c r="O73" s="26">
        <v>0</v>
      </c>
      <c r="P73" s="33">
        <v>39538</v>
      </c>
      <c r="Q73" s="34">
        <v>5.51</v>
      </c>
      <c r="R73" s="26">
        <v>0</v>
      </c>
      <c r="S73" s="107">
        <v>41436</v>
      </c>
      <c r="T73" s="108">
        <v>40.78</v>
      </c>
      <c r="U73" s="26">
        <v>0</v>
      </c>
      <c r="V73" s="120">
        <v>41436</v>
      </c>
      <c r="W73" s="126">
        <v>3</v>
      </c>
      <c r="X73" s="127">
        <v>0</v>
      </c>
      <c r="Y73" s="40">
        <v>38524</v>
      </c>
      <c r="Z73" s="41">
        <v>33.9</v>
      </c>
      <c r="AA73" s="26">
        <v>0</v>
      </c>
      <c r="AB73" s="42">
        <v>38474</v>
      </c>
      <c r="AC73" s="56">
        <v>6.79</v>
      </c>
      <c r="AD73" s="26">
        <v>0</v>
      </c>
      <c r="AE73" s="44">
        <v>42888</v>
      </c>
      <c r="AF73" s="45">
        <v>99.69</v>
      </c>
      <c r="AG73" s="26">
        <v>0</v>
      </c>
      <c r="AH73" s="44">
        <v>40538</v>
      </c>
      <c r="AI73" s="45">
        <v>58.93</v>
      </c>
      <c r="AJ73" s="46">
        <v>0</v>
      </c>
      <c r="AK73" s="138">
        <v>44211</v>
      </c>
      <c r="AL73" s="62">
        <v>41.87</v>
      </c>
      <c r="AM73" s="48">
        <v>1</v>
      </c>
      <c r="AN73" s="101">
        <v>43897</v>
      </c>
      <c r="AO73" s="137">
        <v>77.25</v>
      </c>
      <c r="AP73" s="26">
        <v>1</v>
      </c>
      <c r="AT73" s="49">
        <v>45916</v>
      </c>
      <c r="AU73" s="28">
        <v>89.76</v>
      </c>
      <c r="AV73" s="26">
        <v>0</v>
      </c>
      <c r="AW73" s="118">
        <v>45293</v>
      </c>
      <c r="AX73" s="62">
        <v>44.97</v>
      </c>
      <c r="AY73" s="48">
        <v>1</v>
      </c>
    </row>
    <row r="74" spans="1:51" x14ac:dyDescent="0.3">
      <c r="B74" s="139"/>
      <c r="C74" s="140"/>
      <c r="D74" s="119"/>
      <c r="F74" s="100"/>
      <c r="I74" s="100"/>
      <c r="J74" s="44">
        <v>45971</v>
      </c>
      <c r="K74" s="131">
        <v>74.4549375</v>
      </c>
      <c r="L74" s="26">
        <v>0</v>
      </c>
      <c r="M74" s="31">
        <v>39612</v>
      </c>
      <c r="N74" s="32">
        <v>5.79</v>
      </c>
      <c r="O74" s="26">
        <v>0</v>
      </c>
      <c r="P74" s="33">
        <v>39612</v>
      </c>
      <c r="Q74" s="34">
        <v>6.28</v>
      </c>
      <c r="R74" s="26">
        <v>0</v>
      </c>
      <c r="S74" s="107">
        <v>41471</v>
      </c>
      <c r="T74" s="108">
        <v>40.89</v>
      </c>
      <c r="U74" s="26">
        <v>0</v>
      </c>
      <c r="V74" s="120">
        <v>41471</v>
      </c>
      <c r="W74" s="126">
        <v>2.8</v>
      </c>
      <c r="X74" s="127">
        <v>0</v>
      </c>
      <c r="Y74" s="40">
        <v>38538</v>
      </c>
      <c r="Z74" s="41">
        <v>34.15</v>
      </c>
      <c r="AA74" s="26">
        <v>0</v>
      </c>
      <c r="AB74" s="42">
        <v>38485</v>
      </c>
      <c r="AC74" s="56">
        <v>6.16</v>
      </c>
      <c r="AD74" s="26">
        <v>0</v>
      </c>
      <c r="AE74" s="44">
        <v>42955</v>
      </c>
      <c r="AF74" s="45">
        <v>99.99</v>
      </c>
      <c r="AG74" s="26">
        <v>0</v>
      </c>
      <c r="AH74" s="44">
        <v>40539</v>
      </c>
      <c r="AI74" s="45">
        <v>58.93</v>
      </c>
      <c r="AJ74" s="46">
        <v>0</v>
      </c>
      <c r="AK74" s="141">
        <v>44325</v>
      </c>
      <c r="AL74" s="66">
        <v>41.45</v>
      </c>
      <c r="AM74" s="48">
        <v>0</v>
      </c>
      <c r="AN74" s="142">
        <v>44022</v>
      </c>
      <c r="AO74" s="143">
        <v>78.56</v>
      </c>
      <c r="AP74" s="26">
        <v>0</v>
      </c>
      <c r="AU74" s="139"/>
      <c r="AW74" s="133">
        <v>45575</v>
      </c>
      <c r="AX74" s="67">
        <v>45</v>
      </c>
      <c r="AY74" s="48">
        <v>0</v>
      </c>
    </row>
    <row r="75" spans="1:51" x14ac:dyDescent="0.3">
      <c r="B75" s="139"/>
      <c r="C75" s="140"/>
      <c r="D75" s="119"/>
      <c r="F75" s="100"/>
      <c r="I75" s="100"/>
      <c r="J75" s="144"/>
      <c r="K75" s="145"/>
      <c r="L75" s="100"/>
      <c r="M75" s="31">
        <v>39643</v>
      </c>
      <c r="N75" s="32">
        <v>4.72</v>
      </c>
      <c r="O75" s="26">
        <v>0</v>
      </c>
      <c r="P75" s="33">
        <v>39643</v>
      </c>
      <c r="Q75" s="34">
        <v>5.26</v>
      </c>
      <c r="R75" s="26">
        <v>0</v>
      </c>
      <c r="S75" s="107">
        <v>41506</v>
      </c>
      <c r="T75" s="108">
        <v>40.78</v>
      </c>
      <c r="U75" s="26">
        <v>0</v>
      </c>
      <c r="V75" s="120">
        <v>41506</v>
      </c>
      <c r="W75" s="126">
        <v>2.87</v>
      </c>
      <c r="X75" s="127">
        <v>0</v>
      </c>
      <c r="Y75" s="40">
        <v>38583</v>
      </c>
      <c r="Z75" s="41">
        <v>34</v>
      </c>
      <c r="AA75" s="26">
        <v>0</v>
      </c>
      <c r="AB75" s="42">
        <v>38740</v>
      </c>
      <c r="AC75" s="56">
        <v>6.86</v>
      </c>
      <c r="AD75" s="26">
        <v>0</v>
      </c>
      <c r="AE75" s="146">
        <v>42557</v>
      </c>
      <c r="AF75" s="45">
        <v>98.61</v>
      </c>
      <c r="AG75" s="26">
        <v>0</v>
      </c>
      <c r="AH75" s="44">
        <v>40540</v>
      </c>
      <c r="AI75" s="45">
        <v>58.93</v>
      </c>
      <c r="AJ75" s="46">
        <v>0</v>
      </c>
      <c r="AK75" s="138">
        <v>44411</v>
      </c>
      <c r="AL75" s="62">
        <v>42.1</v>
      </c>
      <c r="AM75" s="48">
        <v>1</v>
      </c>
      <c r="AN75" s="142">
        <v>44155</v>
      </c>
      <c r="AO75" s="143">
        <v>78.900000000000006</v>
      </c>
      <c r="AP75" s="26">
        <v>0</v>
      </c>
      <c r="AU75" s="139"/>
      <c r="AW75" s="85">
        <v>45689</v>
      </c>
      <c r="AX75" s="60">
        <v>45.22</v>
      </c>
      <c r="AY75" s="48">
        <v>1</v>
      </c>
    </row>
    <row r="76" spans="1:51" x14ac:dyDescent="0.3">
      <c r="B76" s="139"/>
      <c r="C76" s="140"/>
      <c r="D76" s="119"/>
      <c r="F76" s="100"/>
      <c r="I76" s="100"/>
      <c r="J76" s="144"/>
      <c r="K76" s="145"/>
      <c r="L76" s="100"/>
      <c r="M76" s="31">
        <v>39714</v>
      </c>
      <c r="N76" s="32">
        <v>4.7300000000000004</v>
      </c>
      <c r="O76" s="26">
        <v>0</v>
      </c>
      <c r="P76" s="33">
        <v>39714</v>
      </c>
      <c r="Q76" s="34">
        <v>4.83</v>
      </c>
      <c r="R76" s="26">
        <v>0</v>
      </c>
      <c r="S76" s="107">
        <v>41556</v>
      </c>
      <c r="T76" s="108">
        <v>40.9</v>
      </c>
      <c r="U76" s="26">
        <v>0</v>
      </c>
      <c r="V76" s="120">
        <v>41556</v>
      </c>
      <c r="W76" s="126">
        <v>2.92</v>
      </c>
      <c r="X76" s="127">
        <v>0</v>
      </c>
      <c r="Y76" s="40">
        <v>38596</v>
      </c>
      <c r="Z76" s="41">
        <v>33.53</v>
      </c>
      <c r="AA76" s="26">
        <v>0</v>
      </c>
      <c r="AB76" s="42">
        <v>38754</v>
      </c>
      <c r="AC76" s="56">
        <v>6.87</v>
      </c>
      <c r="AD76" s="26">
        <v>0</v>
      </c>
      <c r="AE76" s="146">
        <v>42663</v>
      </c>
      <c r="AF76" s="45">
        <v>98.43</v>
      </c>
      <c r="AG76" s="26">
        <v>0</v>
      </c>
      <c r="AH76" s="44">
        <v>40541</v>
      </c>
      <c r="AI76" s="45">
        <v>58.92</v>
      </c>
      <c r="AJ76" s="46">
        <v>0</v>
      </c>
      <c r="AK76" s="47">
        <v>44440</v>
      </c>
      <c r="AL76" s="127">
        <v>42.14</v>
      </c>
      <c r="AM76" s="48">
        <v>0</v>
      </c>
      <c r="AN76" s="101">
        <v>44235</v>
      </c>
      <c r="AO76" s="137">
        <v>79.150000000000006</v>
      </c>
      <c r="AP76" s="26">
        <v>1</v>
      </c>
      <c r="AU76" s="139"/>
      <c r="AW76" s="85">
        <v>45892</v>
      </c>
      <c r="AX76" s="62">
        <v>45.74</v>
      </c>
      <c r="AY76" s="48">
        <v>1</v>
      </c>
    </row>
    <row r="77" spans="1:51" x14ac:dyDescent="0.3">
      <c r="A77" s="147"/>
      <c r="B77" s="139"/>
      <c r="F77" s="100"/>
      <c r="I77" s="100"/>
      <c r="L77" s="100"/>
      <c r="M77" s="31">
        <v>39847</v>
      </c>
      <c r="N77" s="32">
        <v>4.6399999999999997</v>
      </c>
      <c r="O77" s="26">
        <v>0</v>
      </c>
      <c r="P77" s="33">
        <v>39847</v>
      </c>
      <c r="Q77" s="34">
        <v>5.3</v>
      </c>
      <c r="R77" s="26">
        <v>0</v>
      </c>
      <c r="S77" s="107">
        <v>41617</v>
      </c>
      <c r="T77" s="108">
        <v>41.04</v>
      </c>
      <c r="U77" s="26">
        <v>0</v>
      </c>
      <c r="V77" s="120">
        <v>41617</v>
      </c>
      <c r="W77" s="126">
        <v>2.62</v>
      </c>
      <c r="X77" s="127">
        <v>0</v>
      </c>
      <c r="Y77" s="40">
        <v>38629</v>
      </c>
      <c r="Z77" s="41">
        <v>35.35</v>
      </c>
      <c r="AA77" s="26">
        <v>0</v>
      </c>
      <c r="AB77" s="148">
        <v>40227</v>
      </c>
      <c r="AC77" s="137">
        <v>6.94</v>
      </c>
      <c r="AD77" s="26">
        <v>1</v>
      </c>
      <c r="AE77" s="146">
        <v>42774</v>
      </c>
      <c r="AF77" s="45">
        <v>98.93</v>
      </c>
      <c r="AG77" s="26">
        <v>0</v>
      </c>
      <c r="AH77" s="44">
        <v>40542</v>
      </c>
      <c r="AI77" s="45">
        <v>58.88</v>
      </c>
      <c r="AJ77" s="46">
        <v>0</v>
      </c>
      <c r="AK77" s="138">
        <v>44662</v>
      </c>
      <c r="AL77" s="62">
        <v>42.25</v>
      </c>
      <c r="AM77" s="48">
        <v>1</v>
      </c>
      <c r="AN77" s="142">
        <v>44361</v>
      </c>
      <c r="AO77" s="143">
        <v>80.11</v>
      </c>
      <c r="AP77" s="26">
        <v>0</v>
      </c>
      <c r="AU77" s="139"/>
      <c r="AW77" s="133">
        <v>45972</v>
      </c>
      <c r="AX77" s="67">
        <v>45.94</v>
      </c>
      <c r="AY77" s="48">
        <v>0</v>
      </c>
    </row>
    <row r="78" spans="1:51" x14ac:dyDescent="0.3">
      <c r="A78" s="149"/>
      <c r="B78" s="139"/>
      <c r="D78" s="119"/>
      <c r="F78" s="100"/>
      <c r="I78" s="100"/>
      <c r="L78" s="100"/>
      <c r="M78" s="31">
        <v>39881</v>
      </c>
      <c r="N78" s="32">
        <v>4.72</v>
      </c>
      <c r="O78" s="26">
        <v>0</v>
      </c>
      <c r="P78" s="33">
        <v>39881</v>
      </c>
      <c r="Q78" s="34">
        <v>5.44</v>
      </c>
      <c r="R78" s="26">
        <v>0</v>
      </c>
      <c r="S78" s="107">
        <v>41647</v>
      </c>
      <c r="T78" s="108">
        <v>41.1</v>
      </c>
      <c r="U78" s="26">
        <v>0</v>
      </c>
      <c r="V78" s="120">
        <v>41647</v>
      </c>
      <c r="W78" s="126">
        <v>2.7</v>
      </c>
      <c r="X78" s="127">
        <v>0</v>
      </c>
      <c r="Y78" s="40">
        <v>38653</v>
      </c>
      <c r="Z78" s="41">
        <v>35.17</v>
      </c>
      <c r="AA78" s="26">
        <v>0</v>
      </c>
      <c r="AB78" s="47">
        <v>40372</v>
      </c>
      <c r="AC78" s="143">
        <v>7.3</v>
      </c>
      <c r="AD78" s="26">
        <v>0</v>
      </c>
      <c r="AE78" s="146">
        <v>43048</v>
      </c>
      <c r="AF78" s="45">
        <v>100.45</v>
      </c>
      <c r="AG78" s="26">
        <v>0</v>
      </c>
      <c r="AH78" s="44">
        <v>40543</v>
      </c>
      <c r="AI78" s="45">
        <v>58.85</v>
      </c>
      <c r="AJ78" s="46">
        <v>0</v>
      </c>
      <c r="AK78" s="141">
        <v>44766</v>
      </c>
      <c r="AL78" s="66">
        <v>42.39</v>
      </c>
      <c r="AM78" s="48">
        <v>0</v>
      </c>
      <c r="AN78" s="113">
        <v>44440</v>
      </c>
      <c r="AO78" s="93">
        <v>80.97</v>
      </c>
      <c r="AP78" s="26">
        <v>0</v>
      </c>
      <c r="AU78" s="139"/>
    </row>
    <row r="79" spans="1:51" x14ac:dyDescent="0.3">
      <c r="A79" s="149"/>
      <c r="B79" s="139"/>
      <c r="D79" s="119"/>
      <c r="F79" s="100"/>
      <c r="I79" s="100"/>
      <c r="L79" s="100"/>
      <c r="M79" s="31">
        <v>39939</v>
      </c>
      <c r="N79" s="32">
        <v>5.03</v>
      </c>
      <c r="O79" s="26">
        <v>0</v>
      </c>
      <c r="P79" s="33">
        <v>39939</v>
      </c>
      <c r="Q79" s="34">
        <v>5.41</v>
      </c>
      <c r="R79" s="26">
        <v>0</v>
      </c>
      <c r="S79" s="107">
        <v>41683</v>
      </c>
      <c r="T79" s="108">
        <v>41.19</v>
      </c>
      <c r="U79" s="26">
        <v>0</v>
      </c>
      <c r="V79" s="120">
        <v>41683</v>
      </c>
      <c r="W79" s="126">
        <v>3.06</v>
      </c>
      <c r="X79" s="127">
        <v>0</v>
      </c>
      <c r="Y79" s="40">
        <v>38665</v>
      </c>
      <c r="Z79" s="41">
        <v>35.67</v>
      </c>
      <c r="AA79" s="26">
        <v>0</v>
      </c>
      <c r="AB79" s="148">
        <v>40540</v>
      </c>
      <c r="AC79" s="137">
        <v>7.49</v>
      </c>
      <c r="AD79" s="26">
        <v>1</v>
      </c>
      <c r="AE79" s="146">
        <v>43069</v>
      </c>
      <c r="AF79" s="45">
        <v>101.03</v>
      </c>
      <c r="AG79" s="26">
        <v>0</v>
      </c>
      <c r="AH79" s="44">
        <v>40544</v>
      </c>
      <c r="AI79" s="45">
        <v>58.9</v>
      </c>
      <c r="AJ79" s="46">
        <v>0</v>
      </c>
      <c r="AK79" s="138">
        <v>44837</v>
      </c>
      <c r="AL79" s="62">
        <v>41.21</v>
      </c>
      <c r="AM79" s="48">
        <v>1</v>
      </c>
      <c r="AN79" s="101">
        <v>44671</v>
      </c>
      <c r="AO79" s="137">
        <v>80.47</v>
      </c>
      <c r="AP79" s="26">
        <v>1</v>
      </c>
      <c r="AU79" s="139"/>
    </row>
    <row r="80" spans="1:51" x14ac:dyDescent="0.3">
      <c r="A80" s="149"/>
      <c r="B80" s="139"/>
      <c r="D80" s="119"/>
      <c r="F80" s="100"/>
      <c r="I80" s="100"/>
      <c r="L80" s="100"/>
      <c r="M80" s="31">
        <v>40011</v>
      </c>
      <c r="N80" s="32">
        <v>4.9000000000000004</v>
      </c>
      <c r="O80" s="26">
        <v>0</v>
      </c>
      <c r="P80" s="33">
        <v>40011</v>
      </c>
      <c r="Q80" s="34">
        <v>5.1100000000000003</v>
      </c>
      <c r="R80" s="26">
        <v>0</v>
      </c>
      <c r="S80" s="107">
        <v>41731</v>
      </c>
      <c r="T80" s="108">
        <v>41.1</v>
      </c>
      <c r="U80" s="26">
        <v>0</v>
      </c>
      <c r="V80" s="120">
        <v>41731</v>
      </c>
      <c r="W80" s="126">
        <v>3.31</v>
      </c>
      <c r="X80" s="127">
        <v>0</v>
      </c>
      <c r="Y80" s="40">
        <v>38687</v>
      </c>
      <c r="Z80" s="41">
        <v>35.58</v>
      </c>
      <c r="AA80" s="26">
        <v>0</v>
      </c>
      <c r="AB80" s="150">
        <v>40575</v>
      </c>
      <c r="AC80" s="23">
        <v>7.6</v>
      </c>
      <c r="AD80" s="26">
        <v>0</v>
      </c>
      <c r="AE80" s="146">
        <v>43123</v>
      </c>
      <c r="AF80" s="45">
        <v>100.79</v>
      </c>
      <c r="AG80" s="26">
        <v>0</v>
      </c>
      <c r="AH80" s="44">
        <v>40545</v>
      </c>
      <c r="AI80" s="45">
        <v>57.5</v>
      </c>
      <c r="AJ80" s="46">
        <v>0</v>
      </c>
      <c r="AK80" s="141">
        <v>44960</v>
      </c>
      <c r="AL80" s="66">
        <v>42.12</v>
      </c>
      <c r="AM80" s="48">
        <v>0</v>
      </c>
      <c r="AN80" s="101">
        <v>44784</v>
      </c>
      <c r="AO80" s="137">
        <v>81.11</v>
      </c>
      <c r="AP80" s="26">
        <v>1</v>
      </c>
      <c r="AU80" s="139"/>
    </row>
    <row r="81" spans="1:47" x14ac:dyDescent="0.3">
      <c r="A81" s="149"/>
      <c r="B81" s="139"/>
      <c r="D81" s="119"/>
      <c r="F81" s="100"/>
      <c r="I81" s="100"/>
      <c r="L81" s="100"/>
      <c r="M81" s="31">
        <v>40049</v>
      </c>
      <c r="N81" s="32">
        <v>4.8600000000000003</v>
      </c>
      <c r="O81" s="26">
        <v>0</v>
      </c>
      <c r="P81" s="33">
        <v>40049</v>
      </c>
      <c r="Q81" s="34">
        <v>5</v>
      </c>
      <c r="R81" s="26">
        <v>0</v>
      </c>
      <c r="S81" s="107">
        <v>41764</v>
      </c>
      <c r="T81" s="108">
        <v>41.44</v>
      </c>
      <c r="U81" s="26">
        <v>0</v>
      </c>
      <c r="V81" s="120">
        <v>41764</v>
      </c>
      <c r="W81" s="126">
        <v>2.96</v>
      </c>
      <c r="X81" s="127">
        <v>0</v>
      </c>
      <c r="Y81" s="40">
        <v>38740</v>
      </c>
      <c r="Z81" s="41">
        <v>36</v>
      </c>
      <c r="AA81" s="26">
        <v>0</v>
      </c>
      <c r="AB81" s="150">
        <v>40679</v>
      </c>
      <c r="AC81" s="23">
        <v>7.65</v>
      </c>
      <c r="AD81" s="26">
        <v>0</v>
      </c>
      <c r="AE81" s="146">
        <v>43263</v>
      </c>
      <c r="AF81" s="45">
        <v>101.74</v>
      </c>
      <c r="AG81" s="26">
        <v>0</v>
      </c>
      <c r="AH81" s="44">
        <v>40546</v>
      </c>
      <c r="AI81" s="45">
        <v>57.95</v>
      </c>
      <c r="AJ81" s="46">
        <v>0</v>
      </c>
      <c r="AK81" s="141">
        <v>45210</v>
      </c>
      <c r="AL81" s="66">
        <v>42.33</v>
      </c>
      <c r="AM81" s="48">
        <v>0</v>
      </c>
      <c r="AN81" s="142">
        <v>44894</v>
      </c>
      <c r="AO81" s="143">
        <v>82.1</v>
      </c>
      <c r="AP81" s="26">
        <v>0</v>
      </c>
      <c r="AU81" s="139"/>
    </row>
    <row r="82" spans="1:47" x14ac:dyDescent="0.3">
      <c r="B82" s="139"/>
      <c r="D82" s="119"/>
      <c r="F82" s="100"/>
      <c r="I82" s="100"/>
      <c r="L82" s="100"/>
      <c r="M82" s="31">
        <v>40190</v>
      </c>
      <c r="N82" s="32">
        <v>4.59</v>
      </c>
      <c r="O82" s="26">
        <v>0</v>
      </c>
      <c r="P82" s="33">
        <v>40190</v>
      </c>
      <c r="Q82" s="34">
        <v>4.59</v>
      </c>
      <c r="R82" s="26">
        <v>0</v>
      </c>
      <c r="S82" s="107">
        <v>41793</v>
      </c>
      <c r="T82" s="108">
        <v>41.56</v>
      </c>
      <c r="U82" s="26">
        <v>0</v>
      </c>
      <c r="V82" s="120">
        <v>41793</v>
      </c>
      <c r="W82" s="126">
        <v>2.94</v>
      </c>
      <c r="X82" s="127">
        <v>0</v>
      </c>
      <c r="Y82" s="40">
        <v>38754</v>
      </c>
      <c r="Z82" s="41">
        <v>34.93</v>
      </c>
      <c r="AA82" s="26">
        <v>0</v>
      </c>
      <c r="AB82" s="150">
        <v>40745</v>
      </c>
      <c r="AC82" s="23">
        <v>7.69</v>
      </c>
      <c r="AD82" s="26">
        <v>0</v>
      </c>
      <c r="AE82" s="146">
        <v>43297</v>
      </c>
      <c r="AF82" s="45">
        <v>101.85</v>
      </c>
      <c r="AG82" s="26">
        <v>0</v>
      </c>
      <c r="AH82" s="44">
        <v>40547</v>
      </c>
      <c r="AI82" s="45">
        <v>56.5</v>
      </c>
      <c r="AJ82" s="46">
        <v>0</v>
      </c>
      <c r="AK82" s="138">
        <v>45343</v>
      </c>
      <c r="AL82" s="62">
        <v>42.78</v>
      </c>
      <c r="AM82" s="48">
        <v>1</v>
      </c>
      <c r="AN82" s="142">
        <v>45060</v>
      </c>
      <c r="AO82" s="143">
        <v>82.31</v>
      </c>
      <c r="AP82" s="26">
        <v>0</v>
      </c>
      <c r="AU82" s="139"/>
    </row>
    <row r="83" spans="1:47" x14ac:dyDescent="0.3">
      <c r="B83" s="139"/>
      <c r="D83" s="119"/>
      <c r="F83" s="100"/>
      <c r="I83" s="100"/>
      <c r="L83" s="100"/>
      <c r="M83" s="151">
        <v>40190</v>
      </c>
      <c r="N83" s="143">
        <v>4.59</v>
      </c>
      <c r="O83" s="26">
        <v>0</v>
      </c>
      <c r="P83" s="152">
        <v>40190</v>
      </c>
      <c r="Q83" s="153">
        <v>4.59</v>
      </c>
      <c r="R83" s="26">
        <v>0</v>
      </c>
      <c r="S83" s="107">
        <v>41877</v>
      </c>
      <c r="T83" s="108">
        <v>41.96</v>
      </c>
      <c r="U83" s="26">
        <v>0</v>
      </c>
      <c r="V83" s="120">
        <v>41877</v>
      </c>
      <c r="W83" s="126">
        <v>2.77</v>
      </c>
      <c r="X83" s="127">
        <v>0</v>
      </c>
      <c r="Y83" s="40">
        <v>38779</v>
      </c>
      <c r="Z83" s="41">
        <v>35.94</v>
      </c>
      <c r="AA83" s="26">
        <v>0</v>
      </c>
      <c r="AB83" s="150">
        <v>40777</v>
      </c>
      <c r="AC83" s="23">
        <v>7.65</v>
      </c>
      <c r="AD83" s="26">
        <v>0</v>
      </c>
      <c r="AE83" s="146">
        <v>43348</v>
      </c>
      <c r="AF83" s="45">
        <v>102.19</v>
      </c>
      <c r="AG83" s="26">
        <v>0</v>
      </c>
      <c r="AH83" s="44">
        <v>40548</v>
      </c>
      <c r="AI83" s="45">
        <v>55.9</v>
      </c>
      <c r="AJ83" s="46">
        <v>0</v>
      </c>
      <c r="AK83" s="154">
        <v>45449</v>
      </c>
      <c r="AL83" s="127">
        <v>42.87</v>
      </c>
      <c r="AM83" s="48">
        <v>0</v>
      </c>
      <c r="AN83" s="101">
        <v>45187</v>
      </c>
      <c r="AO83" s="137">
        <v>82.55</v>
      </c>
      <c r="AP83" s="26">
        <v>1</v>
      </c>
      <c r="AU83" s="139"/>
    </row>
    <row r="84" spans="1:47" x14ac:dyDescent="0.3">
      <c r="B84" s="139"/>
      <c r="D84" s="119"/>
      <c r="F84" s="100"/>
      <c r="I84" s="100"/>
      <c r="L84" s="100"/>
      <c r="M84" s="151">
        <v>40238</v>
      </c>
      <c r="N84" s="143">
        <v>6.4</v>
      </c>
      <c r="O84" s="26">
        <v>0</v>
      </c>
      <c r="P84" s="152">
        <v>40238</v>
      </c>
      <c r="Q84" s="153">
        <v>6.96</v>
      </c>
      <c r="R84" s="26">
        <v>0</v>
      </c>
      <c r="S84" s="107">
        <v>41936</v>
      </c>
      <c r="T84" s="108">
        <v>42.11</v>
      </c>
      <c r="U84" s="26">
        <v>0</v>
      </c>
      <c r="V84" s="120">
        <v>41936</v>
      </c>
      <c r="W84" s="126">
        <v>2.5299999999999998</v>
      </c>
      <c r="X84" s="127">
        <v>0</v>
      </c>
      <c r="Y84" s="40">
        <v>38817</v>
      </c>
      <c r="Z84" s="155">
        <f>(Z83+Z85)/2</f>
        <v>35.575000000000003</v>
      </c>
      <c r="AA84" s="26">
        <v>0</v>
      </c>
      <c r="AB84" s="150">
        <v>40800</v>
      </c>
      <c r="AC84" s="23">
        <v>7.68</v>
      </c>
      <c r="AD84" s="26">
        <v>0</v>
      </c>
      <c r="AE84" s="146">
        <v>43558</v>
      </c>
      <c r="AF84" s="45">
        <v>103.08</v>
      </c>
      <c r="AG84" s="26">
        <v>0</v>
      </c>
      <c r="AH84" s="44">
        <v>40549</v>
      </c>
      <c r="AI84" s="45">
        <v>55.95</v>
      </c>
      <c r="AJ84" s="46">
        <v>0</v>
      </c>
      <c r="AK84" s="138">
        <v>45558</v>
      </c>
      <c r="AL84" s="62">
        <v>43.7</v>
      </c>
      <c r="AM84" s="48">
        <v>1</v>
      </c>
      <c r="AN84" s="142">
        <v>45461</v>
      </c>
      <c r="AO84" s="143">
        <v>83.78</v>
      </c>
      <c r="AP84" s="26">
        <v>0</v>
      </c>
      <c r="AU84" s="139"/>
    </row>
    <row r="85" spans="1:47" x14ac:dyDescent="0.3">
      <c r="B85" s="139"/>
      <c r="F85" s="100"/>
      <c r="I85" s="100"/>
      <c r="L85" s="100"/>
      <c r="M85" s="151">
        <v>40287</v>
      </c>
      <c r="N85" s="143">
        <v>5.76</v>
      </c>
      <c r="O85" s="26">
        <v>0</v>
      </c>
      <c r="P85" s="152">
        <v>40287</v>
      </c>
      <c r="Q85" s="153">
        <v>5.54</v>
      </c>
      <c r="R85" s="26">
        <v>0</v>
      </c>
      <c r="S85" s="107">
        <v>42009</v>
      </c>
      <c r="T85" s="108">
        <v>42.1</v>
      </c>
      <c r="U85" s="26">
        <v>0</v>
      </c>
      <c r="V85" s="120">
        <v>42009</v>
      </c>
      <c r="W85" s="126">
        <v>3</v>
      </c>
      <c r="X85" s="127">
        <v>0</v>
      </c>
      <c r="Y85" s="40">
        <v>38825</v>
      </c>
      <c r="Z85" s="41">
        <v>35.21</v>
      </c>
      <c r="AA85" s="26">
        <v>0</v>
      </c>
      <c r="AB85" s="150">
        <v>40814</v>
      </c>
      <c r="AC85" s="23">
        <v>7.7</v>
      </c>
      <c r="AD85" s="26">
        <v>0</v>
      </c>
      <c r="AE85" s="44">
        <v>43697</v>
      </c>
      <c r="AF85" s="45">
        <v>103.9</v>
      </c>
      <c r="AG85" s="26">
        <v>0</v>
      </c>
      <c r="AH85" s="44">
        <v>40745</v>
      </c>
      <c r="AI85" s="45">
        <v>57.99</v>
      </c>
      <c r="AJ85" s="46">
        <v>0</v>
      </c>
      <c r="AK85" s="138">
        <v>45818</v>
      </c>
      <c r="AL85" s="62">
        <v>43.54</v>
      </c>
      <c r="AM85" s="48">
        <v>1</v>
      </c>
      <c r="AN85" s="156">
        <v>45575</v>
      </c>
      <c r="AO85" s="93">
        <v>84.4</v>
      </c>
      <c r="AP85" s="26">
        <v>0</v>
      </c>
      <c r="AU85" s="139"/>
    </row>
    <row r="86" spans="1:47" x14ac:dyDescent="0.3">
      <c r="B86" s="139"/>
      <c r="F86" s="100"/>
      <c r="I86" s="100"/>
      <c r="L86" s="100"/>
      <c r="M86" s="151">
        <v>40331</v>
      </c>
      <c r="N86" s="143">
        <v>5.71</v>
      </c>
      <c r="O86" s="26">
        <v>0</v>
      </c>
      <c r="P86" s="152">
        <v>40331</v>
      </c>
      <c r="Q86" s="153">
        <v>5.61</v>
      </c>
      <c r="R86" s="26">
        <v>0</v>
      </c>
      <c r="S86" s="107">
        <v>42109</v>
      </c>
      <c r="T86" s="108">
        <v>42.37</v>
      </c>
      <c r="U86" s="26">
        <v>0</v>
      </c>
      <c r="V86" s="120">
        <v>42109</v>
      </c>
      <c r="W86" s="126">
        <v>2.65</v>
      </c>
      <c r="X86" s="127">
        <v>0</v>
      </c>
      <c r="Y86" s="40">
        <v>38833</v>
      </c>
      <c r="Z86" s="41">
        <v>35.119999999999997</v>
      </c>
      <c r="AA86" s="26">
        <v>0</v>
      </c>
      <c r="AB86" s="150">
        <v>40834</v>
      </c>
      <c r="AC86" s="23">
        <v>7.7</v>
      </c>
      <c r="AD86" s="26">
        <v>0</v>
      </c>
      <c r="AE86" s="44">
        <v>43759</v>
      </c>
      <c r="AF86" s="45">
        <v>105.76</v>
      </c>
      <c r="AG86" s="26">
        <v>0</v>
      </c>
      <c r="AH86" s="44">
        <v>40777</v>
      </c>
      <c r="AI86" s="45">
        <v>55.8</v>
      </c>
      <c r="AJ86" s="46">
        <v>0</v>
      </c>
      <c r="AK86" s="154">
        <v>45972</v>
      </c>
      <c r="AL86" s="127">
        <v>43.72</v>
      </c>
      <c r="AM86" s="48">
        <v>0</v>
      </c>
      <c r="AN86" s="101">
        <v>45759</v>
      </c>
      <c r="AO86" s="137">
        <v>85.31</v>
      </c>
      <c r="AP86" s="26">
        <v>1</v>
      </c>
      <c r="AU86" s="139"/>
    </row>
    <row r="87" spans="1:47" x14ac:dyDescent="0.3">
      <c r="B87" s="139"/>
      <c r="F87" s="100"/>
      <c r="I87" s="100"/>
      <c r="L87" s="100"/>
      <c r="M87" s="151">
        <v>40393</v>
      </c>
      <c r="N87" s="143">
        <v>5.65</v>
      </c>
      <c r="O87" s="26">
        <v>0</v>
      </c>
      <c r="P87" s="152">
        <v>40393</v>
      </c>
      <c r="Q87" s="153">
        <v>5.3</v>
      </c>
      <c r="R87" s="26">
        <v>0</v>
      </c>
      <c r="S87" s="107">
        <v>42220</v>
      </c>
      <c r="T87" s="108">
        <v>42.51</v>
      </c>
      <c r="U87" s="26">
        <v>0</v>
      </c>
      <c r="V87" s="120">
        <v>42220</v>
      </c>
      <c r="W87" s="126">
        <v>3.3</v>
      </c>
      <c r="X87" s="127">
        <v>0</v>
      </c>
      <c r="Y87" s="40">
        <v>38844</v>
      </c>
      <c r="Z87" s="41">
        <v>35.979999999999997</v>
      </c>
      <c r="AA87" s="26">
        <v>0</v>
      </c>
      <c r="AB87" s="150">
        <v>40911</v>
      </c>
      <c r="AC87" s="23">
        <v>6.75</v>
      </c>
      <c r="AD87" s="26">
        <v>0</v>
      </c>
      <c r="AE87" s="44">
        <v>43914</v>
      </c>
      <c r="AF87" s="45">
        <v>105.38</v>
      </c>
      <c r="AG87" s="26">
        <v>0</v>
      </c>
      <c r="AH87" s="44">
        <v>40814</v>
      </c>
      <c r="AI87" s="45">
        <v>56.4</v>
      </c>
      <c r="AJ87" s="46">
        <v>0</v>
      </c>
      <c r="AK87" s="139"/>
      <c r="AN87" s="142">
        <v>45941</v>
      </c>
      <c r="AO87" s="143">
        <v>86.08</v>
      </c>
      <c r="AP87" s="26">
        <v>0</v>
      </c>
      <c r="AU87" s="139"/>
    </row>
    <row r="88" spans="1:47" x14ac:dyDescent="0.3">
      <c r="B88" s="139"/>
      <c r="F88" s="100"/>
      <c r="I88" s="100"/>
      <c r="L88" s="100"/>
      <c r="M88" s="151">
        <v>40498</v>
      </c>
      <c r="N88" s="143">
        <v>5.18</v>
      </c>
      <c r="O88" s="26">
        <v>0</v>
      </c>
      <c r="P88" s="152">
        <v>40498</v>
      </c>
      <c r="Q88" s="153">
        <v>4.66</v>
      </c>
      <c r="R88" s="26">
        <v>0</v>
      </c>
      <c r="S88" s="107">
        <v>42306</v>
      </c>
      <c r="T88" s="108">
        <v>42.79</v>
      </c>
      <c r="U88" s="26">
        <v>0</v>
      </c>
      <c r="V88" s="120">
        <v>42306</v>
      </c>
      <c r="W88" s="126">
        <v>2.72</v>
      </c>
      <c r="X88" s="127">
        <v>0</v>
      </c>
      <c r="Y88" s="40">
        <v>38849</v>
      </c>
      <c r="Z88" s="41">
        <v>35.44</v>
      </c>
      <c r="AA88" s="26">
        <v>0</v>
      </c>
      <c r="AB88" s="150">
        <v>40934</v>
      </c>
      <c r="AC88" s="23">
        <v>6.94</v>
      </c>
      <c r="AD88" s="26">
        <v>0</v>
      </c>
      <c r="AE88" s="101">
        <v>43963</v>
      </c>
      <c r="AF88" s="137">
        <v>106.46</v>
      </c>
      <c r="AG88" s="26">
        <v>1</v>
      </c>
      <c r="AH88" s="44">
        <v>40834</v>
      </c>
      <c r="AI88" s="45">
        <v>55.25</v>
      </c>
      <c r="AJ88" s="46">
        <v>0</v>
      </c>
      <c r="AK88" s="139"/>
      <c r="AU88" s="139"/>
    </row>
    <row r="89" spans="1:47" x14ac:dyDescent="0.3">
      <c r="B89" s="139"/>
      <c r="F89" s="100"/>
      <c r="I89" s="100"/>
      <c r="L89" s="100"/>
      <c r="M89" s="151">
        <v>40777</v>
      </c>
      <c r="N89" s="143">
        <v>4.7699999999999996</v>
      </c>
      <c r="O89" s="26">
        <v>0</v>
      </c>
      <c r="P89" s="152">
        <v>40777</v>
      </c>
      <c r="Q89" s="153">
        <v>4.8499999999999996</v>
      </c>
      <c r="R89" s="26">
        <v>0</v>
      </c>
      <c r="S89" s="107">
        <v>42353</v>
      </c>
      <c r="T89" s="157">
        <f>(T88+T90)/2</f>
        <v>42.844999999999999</v>
      </c>
      <c r="U89" s="26">
        <v>0</v>
      </c>
      <c r="V89" s="120">
        <v>42353</v>
      </c>
      <c r="W89" s="126">
        <v>3.26</v>
      </c>
      <c r="X89" s="127">
        <v>0</v>
      </c>
      <c r="Y89" s="40">
        <v>38860</v>
      </c>
      <c r="Z89" s="41">
        <v>35.81</v>
      </c>
      <c r="AA89" s="26">
        <v>0</v>
      </c>
      <c r="AB89" s="150">
        <v>40963</v>
      </c>
      <c r="AC89" s="23">
        <v>7.34</v>
      </c>
      <c r="AD89" s="26">
        <v>0</v>
      </c>
      <c r="AE89" s="142">
        <v>44012</v>
      </c>
      <c r="AF89" s="143">
        <v>106.77</v>
      </c>
      <c r="AG89" s="26">
        <v>0</v>
      </c>
      <c r="AH89" s="44">
        <v>40864</v>
      </c>
      <c r="AI89" s="45">
        <v>50.9</v>
      </c>
      <c r="AJ89" s="46">
        <v>0</v>
      </c>
      <c r="AK89" s="139"/>
      <c r="AU89" s="139"/>
    </row>
    <row r="90" spans="1:47" x14ac:dyDescent="0.3">
      <c r="B90" s="139"/>
      <c r="F90" s="100"/>
      <c r="I90" s="100"/>
      <c r="L90" s="100"/>
      <c r="M90" s="151">
        <v>40814</v>
      </c>
      <c r="N90" s="143">
        <v>4.6100000000000003</v>
      </c>
      <c r="O90" s="26">
        <v>0</v>
      </c>
      <c r="P90" s="152">
        <v>40814</v>
      </c>
      <c r="Q90" s="153">
        <v>4.6500000000000004</v>
      </c>
      <c r="R90" s="26">
        <v>0</v>
      </c>
      <c r="S90" s="107">
        <v>42387</v>
      </c>
      <c r="T90" s="108">
        <v>42.9</v>
      </c>
      <c r="U90" s="26">
        <v>0</v>
      </c>
      <c r="V90" s="120">
        <v>42387</v>
      </c>
      <c r="W90" s="126">
        <v>3.36</v>
      </c>
      <c r="X90" s="127">
        <v>0</v>
      </c>
      <c r="Y90" s="40">
        <v>38909</v>
      </c>
      <c r="Z90" s="41">
        <v>35.42</v>
      </c>
      <c r="AA90" s="26">
        <v>0</v>
      </c>
      <c r="AB90" s="150">
        <v>41059</v>
      </c>
      <c r="AC90" s="23">
        <v>6.85</v>
      </c>
      <c r="AD90" s="26">
        <v>0</v>
      </c>
      <c r="AE90" s="101">
        <v>44160</v>
      </c>
      <c r="AF90" s="137">
        <v>107.11</v>
      </c>
      <c r="AG90" s="26">
        <v>1</v>
      </c>
      <c r="AH90" s="44">
        <v>40889</v>
      </c>
      <c r="AI90" s="45">
        <v>49.7</v>
      </c>
      <c r="AJ90" s="46">
        <v>0</v>
      </c>
      <c r="AK90" s="139"/>
      <c r="AU90" s="139"/>
    </row>
    <row r="91" spans="1:47" x14ac:dyDescent="0.3">
      <c r="B91" s="139"/>
      <c r="F91" s="100"/>
      <c r="I91" s="100"/>
      <c r="L91" s="100"/>
      <c r="M91" s="151">
        <v>40834</v>
      </c>
      <c r="N91" s="143">
        <v>4.6500000000000004</v>
      </c>
      <c r="O91" s="26">
        <v>0</v>
      </c>
      <c r="P91" s="152">
        <v>40834</v>
      </c>
      <c r="Q91" s="153">
        <v>4.76</v>
      </c>
      <c r="R91" s="26">
        <v>0</v>
      </c>
      <c r="S91" s="107">
        <v>42429</v>
      </c>
      <c r="T91" s="108">
        <v>42.98</v>
      </c>
      <c r="U91" s="26">
        <v>0</v>
      </c>
      <c r="V91" s="120">
        <v>42429</v>
      </c>
      <c r="W91" s="126">
        <v>3.36</v>
      </c>
      <c r="X91" s="127">
        <v>0</v>
      </c>
      <c r="Y91" s="40">
        <v>38929</v>
      </c>
      <c r="Z91" s="41">
        <v>36.18</v>
      </c>
      <c r="AA91" s="26">
        <v>0</v>
      </c>
      <c r="AB91" s="150">
        <v>41368</v>
      </c>
      <c r="AC91" s="23">
        <v>7.17</v>
      </c>
      <c r="AD91" s="26">
        <v>0</v>
      </c>
      <c r="AE91" s="49">
        <v>44489</v>
      </c>
      <c r="AF91" s="50">
        <v>107.32</v>
      </c>
      <c r="AG91" s="26">
        <v>0</v>
      </c>
      <c r="AH91" s="44">
        <v>40911</v>
      </c>
      <c r="AI91" s="45">
        <v>52.6</v>
      </c>
      <c r="AJ91" s="46">
        <v>0</v>
      </c>
      <c r="AK91" s="139"/>
      <c r="AU91" s="139"/>
    </row>
    <row r="92" spans="1:47" x14ac:dyDescent="0.3">
      <c r="B92" s="139"/>
      <c r="F92" s="100"/>
      <c r="I92" s="100"/>
      <c r="L92" s="100"/>
      <c r="M92" s="151">
        <v>40911</v>
      </c>
      <c r="N92" s="143">
        <v>4.5999999999999996</v>
      </c>
      <c r="O92" s="26">
        <v>0</v>
      </c>
      <c r="P92" s="152">
        <v>40911</v>
      </c>
      <c r="Q92" s="153">
        <v>4.7</v>
      </c>
      <c r="R92" s="26">
        <v>0</v>
      </c>
      <c r="S92" s="107">
        <v>42471</v>
      </c>
      <c r="T92" s="108">
        <v>43.27</v>
      </c>
      <c r="U92" s="26">
        <v>0</v>
      </c>
      <c r="V92" s="120">
        <v>42471</v>
      </c>
      <c r="W92" s="126">
        <v>3.55</v>
      </c>
      <c r="X92" s="127">
        <v>0</v>
      </c>
      <c r="Y92" s="40">
        <v>38960</v>
      </c>
      <c r="Z92" s="41">
        <v>35.92</v>
      </c>
      <c r="AA92" s="26">
        <v>0</v>
      </c>
      <c r="AB92" s="150">
        <v>41401</v>
      </c>
      <c r="AC92" s="23">
        <v>7.26</v>
      </c>
      <c r="AD92" s="26">
        <v>0</v>
      </c>
      <c r="AE92" s="44">
        <v>44525</v>
      </c>
      <c r="AF92" s="45">
        <v>109.36</v>
      </c>
      <c r="AG92" s="26">
        <v>0</v>
      </c>
      <c r="AH92" s="44">
        <v>40967</v>
      </c>
      <c r="AI92" s="45">
        <v>54.3</v>
      </c>
      <c r="AJ92" s="46">
        <v>0</v>
      </c>
      <c r="AK92" s="139"/>
      <c r="AU92" s="139"/>
    </row>
    <row r="93" spans="1:47" x14ac:dyDescent="0.3">
      <c r="B93" s="139"/>
      <c r="F93" s="100"/>
      <c r="I93" s="100"/>
      <c r="L93" s="100"/>
      <c r="M93" s="151">
        <v>40967</v>
      </c>
      <c r="N93" s="143">
        <v>4.95</v>
      </c>
      <c r="O93" s="26">
        <v>0</v>
      </c>
      <c r="P93" s="152">
        <v>40967</v>
      </c>
      <c r="Q93" s="153">
        <v>5.2</v>
      </c>
      <c r="R93" s="26">
        <v>0</v>
      </c>
      <c r="S93" s="107">
        <v>42611</v>
      </c>
      <c r="T93" s="108">
        <v>43.65</v>
      </c>
      <c r="U93" s="26">
        <v>0</v>
      </c>
      <c r="V93" s="120">
        <v>42611</v>
      </c>
      <c r="W93" s="126">
        <v>3.04</v>
      </c>
      <c r="X93" s="127">
        <v>0</v>
      </c>
      <c r="Y93" s="40">
        <v>38974</v>
      </c>
      <c r="Z93" s="41">
        <v>36.35</v>
      </c>
      <c r="AA93" s="26">
        <v>0</v>
      </c>
      <c r="AB93" s="150">
        <v>41437</v>
      </c>
      <c r="AC93" s="23">
        <v>7.03</v>
      </c>
      <c r="AD93" s="26">
        <v>0</v>
      </c>
      <c r="AE93" s="44">
        <v>44526</v>
      </c>
      <c r="AF93" s="45">
        <v>109.36</v>
      </c>
      <c r="AG93" s="26">
        <v>0</v>
      </c>
      <c r="AH93" s="44">
        <v>41017</v>
      </c>
      <c r="AI93" s="45">
        <v>58.18</v>
      </c>
      <c r="AJ93" s="46">
        <v>0</v>
      </c>
      <c r="AK93" s="139"/>
      <c r="AU93" s="139"/>
    </row>
    <row r="94" spans="1:47" x14ac:dyDescent="0.3">
      <c r="B94" s="139"/>
      <c r="F94" s="100"/>
      <c r="I94" s="100"/>
      <c r="L94" s="100"/>
      <c r="M94" s="151">
        <v>41011</v>
      </c>
      <c r="N94" s="143">
        <v>5.0999999999999996</v>
      </c>
      <c r="O94" s="26">
        <v>0</v>
      </c>
      <c r="P94" s="152">
        <v>41011</v>
      </c>
      <c r="Q94" s="153">
        <v>5.35</v>
      </c>
      <c r="R94" s="26">
        <v>0</v>
      </c>
      <c r="S94" s="107">
        <v>42781</v>
      </c>
      <c r="T94" s="108">
        <v>43.64</v>
      </c>
      <c r="U94" s="26">
        <v>0</v>
      </c>
      <c r="V94" s="120">
        <v>42781</v>
      </c>
      <c r="W94" s="126">
        <v>3.33</v>
      </c>
      <c r="X94" s="127">
        <v>0</v>
      </c>
      <c r="Y94" s="40">
        <v>38999</v>
      </c>
      <c r="Z94" s="41">
        <v>36.85</v>
      </c>
      <c r="AA94" s="26">
        <v>0</v>
      </c>
      <c r="AB94" s="150">
        <v>42220</v>
      </c>
      <c r="AC94" s="23">
        <v>7.63</v>
      </c>
      <c r="AD94" s="26">
        <v>0</v>
      </c>
      <c r="AE94" s="44">
        <v>44609</v>
      </c>
      <c r="AF94" s="45">
        <v>108.6</v>
      </c>
      <c r="AG94" s="26">
        <v>0</v>
      </c>
      <c r="AH94" s="44">
        <v>41041</v>
      </c>
      <c r="AI94" s="45">
        <v>58.05</v>
      </c>
      <c r="AJ94" s="46">
        <v>0</v>
      </c>
      <c r="AK94" s="139"/>
      <c r="AU94" s="139"/>
    </row>
    <row r="95" spans="1:47" x14ac:dyDescent="0.3">
      <c r="B95" s="139"/>
      <c r="F95" s="100"/>
      <c r="I95" s="100"/>
      <c r="L95" s="100"/>
      <c r="M95" s="151">
        <v>41072</v>
      </c>
      <c r="N95" s="143">
        <v>4.6500000000000004</v>
      </c>
      <c r="O95" s="26">
        <v>0</v>
      </c>
      <c r="P95" s="152">
        <v>41072</v>
      </c>
      <c r="Q95" s="153">
        <v>5.22</v>
      </c>
      <c r="R95" s="26">
        <v>0</v>
      </c>
      <c r="S95" s="107">
        <v>42794</v>
      </c>
      <c r="T95" s="108">
        <v>43.45</v>
      </c>
      <c r="U95" s="26">
        <v>0</v>
      </c>
      <c r="V95" s="120">
        <v>42794</v>
      </c>
      <c r="W95" s="126">
        <v>3.06</v>
      </c>
      <c r="X95" s="127">
        <v>0</v>
      </c>
      <c r="Y95" s="40">
        <v>39085</v>
      </c>
      <c r="Z95" s="41">
        <v>37.090000000000003</v>
      </c>
      <c r="AA95" s="26">
        <v>0</v>
      </c>
      <c r="AB95" s="148">
        <v>42306</v>
      </c>
      <c r="AC95" s="158">
        <v>7.4</v>
      </c>
      <c r="AD95" s="26">
        <v>1</v>
      </c>
      <c r="AE95" s="44">
        <v>44768</v>
      </c>
      <c r="AF95" s="45">
        <v>110.17</v>
      </c>
      <c r="AG95" s="26">
        <v>0</v>
      </c>
      <c r="AH95" s="44">
        <v>41191</v>
      </c>
      <c r="AI95" s="45">
        <v>57.26</v>
      </c>
      <c r="AJ95" s="46">
        <v>0</v>
      </c>
      <c r="AK95" s="139"/>
      <c r="AU95" s="139"/>
    </row>
    <row r="96" spans="1:47" x14ac:dyDescent="0.3">
      <c r="B96" s="139"/>
      <c r="F96" s="100"/>
      <c r="I96" s="100"/>
      <c r="L96" s="100"/>
      <c r="M96" s="151">
        <v>41278</v>
      </c>
      <c r="N96" s="143">
        <v>4.3499999999999996</v>
      </c>
      <c r="O96" s="26">
        <v>0</v>
      </c>
      <c r="P96" s="152">
        <v>41278</v>
      </c>
      <c r="Q96" s="153">
        <v>4.9400000000000004</v>
      </c>
      <c r="R96" s="26">
        <v>0</v>
      </c>
      <c r="S96" s="107">
        <v>43559</v>
      </c>
      <c r="T96" s="108">
        <v>44.47</v>
      </c>
      <c r="U96" s="26">
        <v>0</v>
      </c>
      <c r="V96" s="111">
        <v>42867</v>
      </c>
      <c r="W96" s="112">
        <v>3.11</v>
      </c>
      <c r="X96" s="62">
        <v>1</v>
      </c>
      <c r="Y96" s="40">
        <v>39107</v>
      </c>
      <c r="Z96" s="41">
        <v>36.979999999999997</v>
      </c>
      <c r="AA96" s="26">
        <v>0</v>
      </c>
      <c r="AB96" s="47">
        <v>42353</v>
      </c>
      <c r="AC96" s="23">
        <v>7.1</v>
      </c>
      <c r="AD96" s="26">
        <v>0</v>
      </c>
      <c r="AE96" s="44">
        <v>44778</v>
      </c>
      <c r="AF96" s="45">
        <v>110.41</v>
      </c>
      <c r="AG96" s="26">
        <v>0</v>
      </c>
      <c r="AH96" s="44">
        <v>41235</v>
      </c>
      <c r="AI96" s="45">
        <v>58.05</v>
      </c>
      <c r="AJ96" s="46">
        <v>0</v>
      </c>
      <c r="AK96" s="139"/>
      <c r="AU96" s="139"/>
    </row>
    <row r="97" spans="2:47" x14ac:dyDescent="0.3">
      <c r="B97" s="139"/>
      <c r="F97" s="100"/>
      <c r="I97" s="100"/>
      <c r="L97" s="100"/>
      <c r="M97" s="151">
        <v>41401</v>
      </c>
      <c r="N97" s="143">
        <v>4.9000000000000004</v>
      </c>
      <c r="O97" s="26">
        <v>0</v>
      </c>
      <c r="P97" s="152">
        <v>41401</v>
      </c>
      <c r="Q97" s="153">
        <v>5.47</v>
      </c>
      <c r="R97" s="26">
        <v>0</v>
      </c>
      <c r="S97" s="107">
        <v>43763</v>
      </c>
      <c r="T97" s="108">
        <v>53.37</v>
      </c>
      <c r="U97" s="26">
        <v>0</v>
      </c>
      <c r="V97" s="120">
        <v>43064</v>
      </c>
      <c r="W97" s="121">
        <v>3.15</v>
      </c>
      <c r="X97" s="62">
        <v>0</v>
      </c>
      <c r="Y97" s="40">
        <v>39140</v>
      </c>
      <c r="Z97" s="41">
        <v>36.9</v>
      </c>
      <c r="AA97" s="26">
        <v>0</v>
      </c>
      <c r="AB97" s="148">
        <v>42512</v>
      </c>
      <c r="AC97" s="158">
        <v>6.7</v>
      </c>
      <c r="AD97" s="26">
        <v>1</v>
      </c>
      <c r="AE97" s="44">
        <v>44785</v>
      </c>
      <c r="AF97" s="50">
        <v>110.33</v>
      </c>
      <c r="AG97" s="26">
        <v>0</v>
      </c>
      <c r="AH97" s="44">
        <v>41278</v>
      </c>
      <c r="AI97" s="45">
        <v>58.32</v>
      </c>
      <c r="AJ97" s="46">
        <v>0</v>
      </c>
      <c r="AK97" s="139"/>
      <c r="AU97" s="139"/>
    </row>
    <row r="98" spans="2:47" x14ac:dyDescent="0.3">
      <c r="B98" s="139"/>
      <c r="F98" s="100"/>
      <c r="I98" s="100"/>
      <c r="L98" s="100"/>
      <c r="M98" s="151">
        <v>41438</v>
      </c>
      <c r="N98" s="143">
        <v>4.8499999999999996</v>
      </c>
      <c r="O98" s="26">
        <v>0</v>
      </c>
      <c r="P98" s="152">
        <v>41438</v>
      </c>
      <c r="Q98" s="153">
        <v>5.36</v>
      </c>
      <c r="R98" s="26">
        <v>0</v>
      </c>
      <c r="S98" s="107">
        <v>43971</v>
      </c>
      <c r="T98" s="108">
        <v>45.17</v>
      </c>
      <c r="U98" s="26">
        <v>0</v>
      </c>
      <c r="V98" s="120">
        <v>43181</v>
      </c>
      <c r="W98" s="121">
        <v>3.19</v>
      </c>
      <c r="X98" s="62">
        <v>0</v>
      </c>
      <c r="Y98" s="40">
        <v>39184</v>
      </c>
      <c r="Z98" s="41">
        <v>37.29</v>
      </c>
      <c r="AA98" s="26">
        <v>0</v>
      </c>
      <c r="AB98" s="150">
        <v>42702</v>
      </c>
      <c r="AC98" s="23">
        <v>6.58</v>
      </c>
      <c r="AD98" s="26">
        <v>0</v>
      </c>
      <c r="AE98" s="44">
        <v>44791</v>
      </c>
      <c r="AF98" s="45">
        <v>110.49</v>
      </c>
      <c r="AG98" s="26">
        <v>0</v>
      </c>
      <c r="AH98" s="44">
        <v>41368</v>
      </c>
      <c r="AI98" s="45">
        <v>58.57</v>
      </c>
      <c r="AJ98" s="46">
        <v>0</v>
      </c>
      <c r="AK98" s="139"/>
      <c r="AU98" s="139"/>
    </row>
    <row r="99" spans="2:47" x14ac:dyDescent="0.3">
      <c r="B99" s="139"/>
      <c r="F99" s="100"/>
      <c r="I99" s="100"/>
      <c r="L99" s="100"/>
      <c r="M99" s="151">
        <v>41472</v>
      </c>
      <c r="N99" s="143">
        <v>4.7</v>
      </c>
      <c r="O99" s="26">
        <v>0</v>
      </c>
      <c r="P99" s="152">
        <v>41472</v>
      </c>
      <c r="Q99" s="153">
        <v>5.18</v>
      </c>
      <c r="R99" s="26">
        <v>0</v>
      </c>
      <c r="S99" s="159">
        <v>44087</v>
      </c>
      <c r="T99" s="110">
        <v>46.2</v>
      </c>
      <c r="U99" s="26">
        <v>1</v>
      </c>
      <c r="V99" s="111">
        <v>43295</v>
      </c>
      <c r="W99" s="112">
        <v>3.22</v>
      </c>
      <c r="X99" s="62">
        <v>1</v>
      </c>
      <c r="Y99" s="40">
        <v>39213</v>
      </c>
      <c r="Z99" s="41">
        <v>37.11</v>
      </c>
      <c r="AA99" s="26">
        <v>0</v>
      </c>
      <c r="AB99" s="150">
        <v>42865</v>
      </c>
      <c r="AC99" s="23">
        <v>5.83</v>
      </c>
      <c r="AD99" s="26">
        <v>0</v>
      </c>
      <c r="AE99" s="44">
        <v>44797</v>
      </c>
      <c r="AF99" s="45">
        <v>110.23</v>
      </c>
      <c r="AG99" s="26">
        <v>0</v>
      </c>
      <c r="AH99" s="44">
        <v>41401</v>
      </c>
      <c r="AI99" s="45">
        <v>58.55</v>
      </c>
      <c r="AJ99" s="46">
        <v>0</v>
      </c>
      <c r="AK99" s="139"/>
      <c r="AU99" s="139"/>
    </row>
    <row r="100" spans="2:47" x14ac:dyDescent="0.3">
      <c r="B100" s="139"/>
      <c r="F100" s="100"/>
      <c r="I100" s="100"/>
      <c r="L100" s="100"/>
      <c r="M100" s="151">
        <v>41506</v>
      </c>
      <c r="N100" s="143">
        <v>4.5599999999999996</v>
      </c>
      <c r="O100" s="26">
        <v>0</v>
      </c>
      <c r="P100" s="152">
        <v>41506</v>
      </c>
      <c r="Q100" s="153">
        <v>5.1100000000000003</v>
      </c>
      <c r="R100" s="26">
        <v>0</v>
      </c>
      <c r="S100" s="160">
        <v>44308</v>
      </c>
      <c r="T100" s="117">
        <v>47</v>
      </c>
      <c r="U100" s="26">
        <v>0</v>
      </c>
      <c r="V100" s="111">
        <v>43445</v>
      </c>
      <c r="W100" s="112">
        <v>3.17</v>
      </c>
      <c r="X100" s="62">
        <v>1</v>
      </c>
      <c r="Y100" s="40">
        <v>39253</v>
      </c>
      <c r="Z100" s="41">
        <v>37.18</v>
      </c>
      <c r="AA100" s="26">
        <v>0</v>
      </c>
      <c r="AB100" s="150">
        <v>42887</v>
      </c>
      <c r="AC100" s="23">
        <v>6.9</v>
      </c>
      <c r="AD100" s="26">
        <v>0</v>
      </c>
      <c r="AE100" s="44">
        <v>44802</v>
      </c>
      <c r="AF100" s="45">
        <v>110.5</v>
      </c>
      <c r="AG100" s="26">
        <v>0</v>
      </c>
      <c r="AH100" s="44">
        <v>41432</v>
      </c>
      <c r="AI100" s="45">
        <v>59.36</v>
      </c>
      <c r="AJ100" s="46">
        <v>0</v>
      </c>
      <c r="AK100" s="139"/>
      <c r="AU100" s="139"/>
    </row>
    <row r="101" spans="2:47" x14ac:dyDescent="0.3">
      <c r="B101" s="139"/>
      <c r="F101" s="100"/>
      <c r="I101" s="100"/>
      <c r="L101" s="100"/>
      <c r="M101" s="151">
        <v>41617</v>
      </c>
      <c r="N101" s="143">
        <v>4.49</v>
      </c>
      <c r="O101" s="26">
        <v>0</v>
      </c>
      <c r="P101" s="152">
        <v>41617</v>
      </c>
      <c r="Q101" s="153">
        <v>4.7300000000000004</v>
      </c>
      <c r="R101" s="26">
        <v>0</v>
      </c>
      <c r="S101" s="161">
        <v>44522</v>
      </c>
      <c r="T101" s="117">
        <v>47.5</v>
      </c>
      <c r="U101" s="26">
        <v>0</v>
      </c>
      <c r="V101" s="120">
        <v>43559</v>
      </c>
      <c r="W101" s="126">
        <v>3.23</v>
      </c>
      <c r="X101" s="126">
        <v>0</v>
      </c>
      <c r="Y101" s="40">
        <v>39346</v>
      </c>
      <c r="Z101" s="41">
        <v>37.340000000000003</v>
      </c>
      <c r="AA101" s="26">
        <v>0</v>
      </c>
      <c r="AB101" s="150">
        <v>43011</v>
      </c>
      <c r="AC101" s="23">
        <v>5.18</v>
      </c>
      <c r="AD101" s="26">
        <v>0</v>
      </c>
      <c r="AE101" s="44">
        <v>44844</v>
      </c>
      <c r="AF101" s="45">
        <v>110.78</v>
      </c>
      <c r="AG101" s="26">
        <v>0</v>
      </c>
      <c r="AH101" s="44">
        <v>41471</v>
      </c>
      <c r="AI101" s="45">
        <v>58.24</v>
      </c>
      <c r="AJ101" s="46">
        <v>0</v>
      </c>
      <c r="AK101" s="139"/>
      <c r="AU101" s="139"/>
    </row>
    <row r="102" spans="2:47" x14ac:dyDescent="0.3">
      <c r="B102" s="139"/>
      <c r="F102" s="100"/>
      <c r="I102" s="100"/>
      <c r="L102" s="100"/>
      <c r="M102" s="151">
        <v>41647</v>
      </c>
      <c r="N102" s="143">
        <v>4.63</v>
      </c>
      <c r="O102" s="26">
        <v>0</v>
      </c>
      <c r="P102" s="152">
        <v>41647</v>
      </c>
      <c r="Q102" s="153">
        <v>5.04</v>
      </c>
      <c r="R102" s="26">
        <v>0</v>
      </c>
      <c r="S102" s="159">
        <v>44600</v>
      </c>
      <c r="T102" s="110">
        <v>47.7</v>
      </c>
      <c r="U102" s="26">
        <v>1</v>
      </c>
      <c r="V102" s="120">
        <v>43763</v>
      </c>
      <c r="W102" s="126">
        <v>3.38</v>
      </c>
      <c r="X102" s="126">
        <v>0</v>
      </c>
      <c r="Y102" s="40">
        <v>39374</v>
      </c>
      <c r="Z102" s="41">
        <v>37.6</v>
      </c>
      <c r="AA102" s="26">
        <v>0</v>
      </c>
      <c r="AB102" s="150">
        <v>43123</v>
      </c>
      <c r="AC102" s="23">
        <v>6.91</v>
      </c>
      <c r="AD102" s="26">
        <v>0</v>
      </c>
      <c r="AE102" s="101">
        <v>44964</v>
      </c>
      <c r="AF102" s="137">
        <v>111.03</v>
      </c>
      <c r="AG102" s="26">
        <v>1</v>
      </c>
      <c r="AH102" s="44">
        <v>41506</v>
      </c>
      <c r="AI102" s="45">
        <v>56.83</v>
      </c>
      <c r="AJ102" s="46">
        <v>0</v>
      </c>
      <c r="AK102" s="139"/>
      <c r="AU102" s="139"/>
    </row>
    <row r="103" spans="2:47" x14ac:dyDescent="0.3">
      <c r="B103" s="139"/>
      <c r="F103" s="100"/>
      <c r="I103" s="100"/>
      <c r="L103" s="100"/>
      <c r="M103" s="151">
        <v>41683</v>
      </c>
      <c r="N103" s="143">
        <v>4.91</v>
      </c>
      <c r="O103" s="26">
        <v>0</v>
      </c>
      <c r="P103" s="152">
        <v>41683</v>
      </c>
      <c r="Q103" s="153">
        <v>5.26</v>
      </c>
      <c r="R103" s="26">
        <v>0</v>
      </c>
      <c r="S103" s="159">
        <v>44906</v>
      </c>
      <c r="T103" s="110">
        <v>47.9</v>
      </c>
      <c r="U103" s="26">
        <v>1</v>
      </c>
      <c r="V103" s="120">
        <v>43971</v>
      </c>
      <c r="W103" s="126">
        <v>3.1</v>
      </c>
      <c r="X103" s="126">
        <v>0</v>
      </c>
      <c r="Y103" s="40">
        <v>39471</v>
      </c>
      <c r="Z103" s="41">
        <v>40.76</v>
      </c>
      <c r="AA103" s="26">
        <v>0</v>
      </c>
      <c r="AB103" s="150">
        <v>43558</v>
      </c>
      <c r="AC103" s="23">
        <v>6.95</v>
      </c>
      <c r="AD103" s="26">
        <v>0</v>
      </c>
      <c r="AE103" s="142">
        <v>45088</v>
      </c>
      <c r="AF103" s="143">
        <v>111.79</v>
      </c>
      <c r="AG103" s="26">
        <v>0</v>
      </c>
      <c r="AH103" s="44">
        <v>41537</v>
      </c>
      <c r="AI103" s="45">
        <v>57.45</v>
      </c>
      <c r="AJ103" s="46">
        <v>0</v>
      </c>
      <c r="AK103" s="139"/>
      <c r="AU103" s="139"/>
    </row>
    <row r="104" spans="2:47" x14ac:dyDescent="0.3">
      <c r="B104" s="139"/>
      <c r="F104" s="100"/>
      <c r="I104" s="100"/>
      <c r="L104" s="100"/>
      <c r="M104" s="151">
        <v>41744</v>
      </c>
      <c r="N104" s="143">
        <v>5.56</v>
      </c>
      <c r="O104" s="26">
        <v>0</v>
      </c>
      <c r="P104" s="152">
        <v>41744</v>
      </c>
      <c r="Q104" s="153">
        <v>5.52</v>
      </c>
      <c r="R104" s="26">
        <v>0</v>
      </c>
      <c r="S104" s="160">
        <v>45078</v>
      </c>
      <c r="T104" s="117">
        <v>48.11</v>
      </c>
      <c r="U104" s="26">
        <v>0</v>
      </c>
      <c r="V104" s="162">
        <v>44087</v>
      </c>
      <c r="W104" s="112">
        <v>3.22</v>
      </c>
      <c r="X104" s="62">
        <v>1</v>
      </c>
      <c r="Y104" s="40">
        <v>39492</v>
      </c>
      <c r="Z104" s="41">
        <v>40.229999999999997</v>
      </c>
      <c r="AA104" s="26">
        <v>0</v>
      </c>
      <c r="AB104" s="150">
        <v>44008</v>
      </c>
      <c r="AC104" s="45">
        <v>7.27</v>
      </c>
      <c r="AD104" s="26">
        <v>0</v>
      </c>
      <c r="AE104" s="101">
        <v>45256</v>
      </c>
      <c r="AF104" s="137">
        <v>112.2</v>
      </c>
      <c r="AG104" s="26">
        <v>1</v>
      </c>
      <c r="AH104" s="44">
        <v>41555</v>
      </c>
      <c r="AI104" s="45">
        <v>55.9</v>
      </c>
      <c r="AJ104" s="46">
        <v>0</v>
      </c>
      <c r="AK104" s="139"/>
      <c r="AU104" s="139"/>
    </row>
    <row r="105" spans="2:47" x14ac:dyDescent="0.3">
      <c r="B105" s="139"/>
      <c r="F105" s="100"/>
      <c r="I105" s="100"/>
      <c r="L105" s="100"/>
      <c r="M105" s="151">
        <v>41764</v>
      </c>
      <c r="N105" s="143">
        <v>5.09</v>
      </c>
      <c r="O105" s="26">
        <v>0</v>
      </c>
      <c r="P105" s="152">
        <v>41764</v>
      </c>
      <c r="Q105" s="153">
        <v>5.48</v>
      </c>
      <c r="R105" s="26">
        <v>0</v>
      </c>
      <c r="S105" s="159">
        <v>45268</v>
      </c>
      <c r="T105" s="110">
        <v>49.82</v>
      </c>
      <c r="U105" s="26">
        <v>1</v>
      </c>
      <c r="V105" s="163">
        <v>44308</v>
      </c>
      <c r="W105" s="121">
        <v>3.34</v>
      </c>
      <c r="X105" s="62">
        <v>0</v>
      </c>
      <c r="Y105" s="40">
        <v>39507</v>
      </c>
      <c r="Z105" s="41">
        <v>40.26</v>
      </c>
      <c r="AA105" s="26">
        <v>0</v>
      </c>
      <c r="AB105" s="150">
        <v>43952</v>
      </c>
      <c r="AC105" s="45">
        <v>7.38</v>
      </c>
      <c r="AD105" s="26">
        <v>0</v>
      </c>
      <c r="AE105" s="87">
        <v>45292</v>
      </c>
      <c r="AF105" s="143">
        <v>112.5</v>
      </c>
      <c r="AG105" s="26">
        <v>0</v>
      </c>
      <c r="AH105" s="44">
        <v>41556</v>
      </c>
      <c r="AI105" s="45">
        <v>55.93</v>
      </c>
      <c r="AJ105" s="46">
        <v>0</v>
      </c>
      <c r="AK105" s="139"/>
      <c r="AU105" s="139"/>
    </row>
    <row r="106" spans="2:47" x14ac:dyDescent="0.3">
      <c r="B106" s="139"/>
      <c r="F106" s="100"/>
      <c r="I106" s="100"/>
      <c r="L106" s="100"/>
      <c r="M106" s="151">
        <v>41793</v>
      </c>
      <c r="N106" s="143">
        <v>5.05</v>
      </c>
      <c r="O106" s="26">
        <v>0</v>
      </c>
      <c r="P106" s="152">
        <v>41793</v>
      </c>
      <c r="Q106" s="153">
        <v>5.48</v>
      </c>
      <c r="R106" s="26">
        <v>0</v>
      </c>
      <c r="S106" s="164">
        <v>45595</v>
      </c>
      <c r="T106" s="110">
        <v>48.11</v>
      </c>
      <c r="U106" s="26">
        <v>1</v>
      </c>
      <c r="V106" s="165">
        <v>44522</v>
      </c>
      <c r="W106" s="112">
        <v>3.45</v>
      </c>
      <c r="X106" s="62">
        <v>1</v>
      </c>
      <c r="Y106" s="40">
        <v>39538</v>
      </c>
      <c r="Z106" s="41">
        <v>40.15</v>
      </c>
      <c r="AA106" s="26">
        <v>0</v>
      </c>
      <c r="AB106" s="150">
        <v>44440</v>
      </c>
      <c r="AC106" s="23">
        <v>6.89</v>
      </c>
      <c r="AD106" s="26">
        <v>0</v>
      </c>
      <c r="AE106" s="87">
        <v>45449</v>
      </c>
      <c r="AF106" s="143">
        <v>113.6</v>
      </c>
      <c r="AG106" s="26">
        <v>0</v>
      </c>
      <c r="AH106" s="44">
        <v>41604</v>
      </c>
      <c r="AI106" s="45">
        <v>54.14</v>
      </c>
      <c r="AJ106" s="46">
        <v>0</v>
      </c>
      <c r="AK106" s="139"/>
      <c r="AU106" s="139"/>
    </row>
    <row r="107" spans="2:47" x14ac:dyDescent="0.3">
      <c r="B107" s="139"/>
      <c r="F107" s="100"/>
      <c r="I107" s="100"/>
      <c r="L107" s="100"/>
      <c r="M107" s="151">
        <v>42221</v>
      </c>
      <c r="N107" s="143">
        <v>5.89</v>
      </c>
      <c r="O107" s="26">
        <v>0</v>
      </c>
      <c r="P107" s="152">
        <v>42221</v>
      </c>
      <c r="Q107" s="153">
        <v>5.73</v>
      </c>
      <c r="R107" s="26">
        <v>0</v>
      </c>
      <c r="S107" s="107">
        <v>45787</v>
      </c>
      <c r="T107" s="117">
        <v>49.79</v>
      </c>
      <c r="U107" s="26">
        <v>0</v>
      </c>
      <c r="V107" s="163">
        <v>44600</v>
      </c>
      <c r="W107" s="121">
        <v>3.37</v>
      </c>
      <c r="X107" s="62">
        <v>0</v>
      </c>
      <c r="Y107" s="40">
        <v>39612</v>
      </c>
      <c r="Z107" s="41">
        <v>40.46</v>
      </c>
      <c r="AA107" s="26">
        <v>0</v>
      </c>
      <c r="AB107" s="150">
        <v>44600</v>
      </c>
      <c r="AC107" s="23">
        <v>7.43</v>
      </c>
      <c r="AD107" s="26">
        <v>0</v>
      </c>
      <c r="AE107" s="87">
        <v>45638</v>
      </c>
      <c r="AF107" s="143">
        <v>112.44</v>
      </c>
      <c r="AG107" s="26">
        <v>0</v>
      </c>
      <c r="AH107" s="44">
        <v>41617</v>
      </c>
      <c r="AI107" s="45">
        <v>55.1</v>
      </c>
      <c r="AJ107" s="46">
        <v>0</v>
      </c>
      <c r="AK107" s="139"/>
      <c r="AU107" s="139"/>
    </row>
    <row r="108" spans="2:47" x14ac:dyDescent="0.3">
      <c r="B108" s="139"/>
      <c r="F108" s="100"/>
      <c r="I108" s="100"/>
      <c r="L108" s="100"/>
      <c r="M108" s="151">
        <v>42306</v>
      </c>
      <c r="N108" s="143">
        <v>5.36</v>
      </c>
      <c r="O108" s="26">
        <v>0</v>
      </c>
      <c r="P108" s="152">
        <v>42306</v>
      </c>
      <c r="Q108" s="153">
        <v>5.38</v>
      </c>
      <c r="R108" s="26">
        <v>0</v>
      </c>
      <c r="S108" s="109">
        <v>45894</v>
      </c>
      <c r="T108" s="110">
        <v>50.45</v>
      </c>
      <c r="U108" s="26">
        <v>1</v>
      </c>
      <c r="V108" s="163">
        <v>44906</v>
      </c>
      <c r="W108" s="121">
        <v>3.59</v>
      </c>
      <c r="X108" s="62">
        <v>0</v>
      </c>
      <c r="Y108" s="40">
        <v>39643</v>
      </c>
      <c r="Z108" s="41">
        <v>40.22</v>
      </c>
      <c r="AA108" s="26">
        <v>0</v>
      </c>
      <c r="AB108" s="150">
        <v>44845</v>
      </c>
      <c r="AC108" s="23">
        <v>8.6300000000000008</v>
      </c>
      <c r="AD108" s="26">
        <v>0</v>
      </c>
      <c r="AE108" s="85">
        <v>45751</v>
      </c>
      <c r="AF108" s="137">
        <v>114.39</v>
      </c>
      <c r="AG108" s="26">
        <v>1</v>
      </c>
      <c r="AH108" s="44">
        <v>41647</v>
      </c>
      <c r="AI108" s="45">
        <v>58.1</v>
      </c>
      <c r="AJ108" s="46">
        <v>0</v>
      </c>
      <c r="AK108" s="139"/>
      <c r="AU108" s="139"/>
    </row>
    <row r="109" spans="2:47" x14ac:dyDescent="0.3">
      <c r="B109" s="139"/>
      <c r="F109" s="100"/>
      <c r="I109" s="100"/>
      <c r="L109" s="100"/>
      <c r="M109" s="151">
        <v>42387</v>
      </c>
      <c r="N109" s="143">
        <v>5.78</v>
      </c>
      <c r="O109" s="26">
        <v>0</v>
      </c>
      <c r="P109" s="152">
        <v>42387</v>
      </c>
      <c r="Q109" s="153">
        <v>5.61</v>
      </c>
      <c r="R109" s="26">
        <v>0</v>
      </c>
      <c r="S109" s="107">
        <v>45971</v>
      </c>
      <c r="T109" s="117">
        <v>51.95</v>
      </c>
      <c r="U109" s="26">
        <v>0</v>
      </c>
      <c r="V109" s="162">
        <v>45078</v>
      </c>
      <c r="W109" s="112">
        <v>3.88</v>
      </c>
      <c r="X109" s="62">
        <v>1</v>
      </c>
      <c r="Y109" s="40">
        <v>39714</v>
      </c>
      <c r="Z109" s="41">
        <v>41.12</v>
      </c>
      <c r="AA109" s="26">
        <v>0</v>
      </c>
      <c r="AB109" s="166">
        <v>45078</v>
      </c>
      <c r="AC109" s="158">
        <v>8.98</v>
      </c>
      <c r="AD109" s="26">
        <v>1</v>
      </c>
      <c r="AE109" s="87">
        <v>45948</v>
      </c>
      <c r="AF109" s="143">
        <v>115.37</v>
      </c>
      <c r="AG109" s="26">
        <v>0</v>
      </c>
      <c r="AH109" s="44">
        <v>41683</v>
      </c>
      <c r="AI109" s="45">
        <v>58.82</v>
      </c>
      <c r="AJ109" s="46">
        <v>0</v>
      </c>
      <c r="AK109" s="139"/>
      <c r="AU109" s="139"/>
    </row>
    <row r="110" spans="2:47" x14ac:dyDescent="0.3">
      <c r="B110" s="139"/>
      <c r="F110" s="100"/>
      <c r="I110" s="100"/>
      <c r="L110" s="100"/>
      <c r="M110" s="151">
        <v>42429</v>
      </c>
      <c r="N110" s="143">
        <v>5.63</v>
      </c>
      <c r="O110" s="26">
        <v>0</v>
      </c>
      <c r="P110" s="152">
        <v>42429</v>
      </c>
      <c r="Q110" s="153">
        <v>5.67</v>
      </c>
      <c r="R110" s="26">
        <v>0</v>
      </c>
      <c r="U110" s="100"/>
      <c r="V110" s="163">
        <v>45268</v>
      </c>
      <c r="W110" s="121">
        <v>3.65</v>
      </c>
      <c r="X110" s="62">
        <v>0</v>
      </c>
      <c r="Y110" s="40">
        <v>39805</v>
      </c>
      <c r="Z110" s="41">
        <v>42.37</v>
      </c>
      <c r="AA110" s="26">
        <v>0</v>
      </c>
      <c r="AB110" s="150">
        <v>45177</v>
      </c>
      <c r="AC110" s="23">
        <v>7.9</v>
      </c>
      <c r="AD110" s="26">
        <v>0</v>
      </c>
      <c r="AE110" s="167"/>
      <c r="AF110" s="168"/>
      <c r="AH110" s="44">
        <v>41731</v>
      </c>
      <c r="AI110" s="45">
        <v>59.12</v>
      </c>
      <c r="AJ110" s="46">
        <v>0</v>
      </c>
      <c r="AK110" s="139"/>
      <c r="AU110" s="139"/>
    </row>
    <row r="111" spans="2:47" x14ac:dyDescent="0.3">
      <c r="B111" s="139"/>
      <c r="F111" s="100"/>
      <c r="I111" s="100"/>
      <c r="L111" s="100"/>
      <c r="M111" s="151">
        <v>42471</v>
      </c>
      <c r="N111" s="143">
        <v>5.77</v>
      </c>
      <c r="O111" s="26">
        <v>0</v>
      </c>
      <c r="P111" s="152">
        <v>42471</v>
      </c>
      <c r="Q111" s="153">
        <v>6</v>
      </c>
      <c r="R111" s="26">
        <v>0</v>
      </c>
      <c r="U111" s="100"/>
      <c r="V111" s="169">
        <v>45595</v>
      </c>
      <c r="W111" s="121">
        <v>3.9</v>
      </c>
      <c r="X111" s="62">
        <v>0</v>
      </c>
      <c r="Y111" s="40">
        <v>39847</v>
      </c>
      <c r="Z111" s="41">
        <v>41.9</v>
      </c>
      <c r="AA111" s="26">
        <v>0</v>
      </c>
      <c r="AB111" s="166">
        <v>45286</v>
      </c>
      <c r="AC111" s="158">
        <v>7.75</v>
      </c>
      <c r="AD111" s="26">
        <v>1</v>
      </c>
      <c r="AE111" s="167"/>
      <c r="AF111" s="168"/>
      <c r="AH111" s="44">
        <v>41764</v>
      </c>
      <c r="AI111" s="45">
        <v>59.13</v>
      </c>
      <c r="AJ111" s="46">
        <v>0</v>
      </c>
      <c r="AK111" s="139"/>
      <c r="AU111" s="139"/>
    </row>
    <row r="112" spans="2:47" x14ac:dyDescent="0.3">
      <c r="B112" s="139"/>
      <c r="F112" s="100"/>
      <c r="I112" s="100"/>
      <c r="L112" s="100"/>
      <c r="M112" s="151">
        <v>42611</v>
      </c>
      <c r="N112" s="143">
        <v>5.63</v>
      </c>
      <c r="O112" s="26">
        <v>0</v>
      </c>
      <c r="P112" s="152">
        <v>42611</v>
      </c>
      <c r="Q112" s="153">
        <v>6.68</v>
      </c>
      <c r="R112" s="26">
        <v>0</v>
      </c>
      <c r="U112" s="100"/>
      <c r="V112" s="111">
        <v>45787</v>
      </c>
      <c r="W112" s="112">
        <v>4.0999999999999996</v>
      </c>
      <c r="X112" s="62">
        <v>1</v>
      </c>
      <c r="Y112" s="40">
        <v>39881</v>
      </c>
      <c r="Z112" s="41">
        <v>41.71</v>
      </c>
      <c r="AA112" s="26">
        <v>0</v>
      </c>
      <c r="AB112" s="150">
        <v>45595</v>
      </c>
      <c r="AC112" s="23">
        <v>7.51</v>
      </c>
      <c r="AD112" s="26">
        <v>0</v>
      </c>
      <c r="AE112" s="167"/>
      <c r="AF112" s="168"/>
      <c r="AH112" s="44">
        <v>41793</v>
      </c>
      <c r="AI112" s="45">
        <v>59.2</v>
      </c>
      <c r="AJ112" s="46">
        <v>0</v>
      </c>
      <c r="AK112" s="139"/>
      <c r="AU112" s="139"/>
    </row>
    <row r="113" spans="2:47" x14ac:dyDescent="0.3">
      <c r="B113" s="139"/>
      <c r="F113" s="100"/>
      <c r="I113" s="100"/>
      <c r="L113" s="100"/>
      <c r="M113" s="151">
        <v>42781</v>
      </c>
      <c r="N113" s="143">
        <v>5.86</v>
      </c>
      <c r="O113" s="26">
        <v>0</v>
      </c>
      <c r="P113" s="152">
        <v>42781</v>
      </c>
      <c r="Q113" s="153">
        <v>6.96</v>
      </c>
      <c r="R113" s="26">
        <v>0</v>
      </c>
      <c r="U113" s="100"/>
      <c r="V113" s="111">
        <v>45894</v>
      </c>
      <c r="W113" s="112">
        <v>4.22</v>
      </c>
      <c r="X113" s="62">
        <v>1</v>
      </c>
      <c r="Y113" s="40">
        <v>39939</v>
      </c>
      <c r="Z113" s="41">
        <v>42.1</v>
      </c>
      <c r="AA113" s="26">
        <v>0</v>
      </c>
      <c r="AB113" s="150">
        <v>45633</v>
      </c>
      <c r="AC113" s="26">
        <v>7.78</v>
      </c>
      <c r="AD113" s="26">
        <v>0</v>
      </c>
      <c r="AE113" s="167"/>
      <c r="AF113" s="168"/>
      <c r="AH113" s="44">
        <v>41830</v>
      </c>
      <c r="AI113" s="45">
        <v>59.14</v>
      </c>
      <c r="AJ113" s="46">
        <v>0</v>
      </c>
      <c r="AK113" s="139"/>
      <c r="AU113" s="139"/>
    </row>
    <row r="114" spans="2:47" x14ac:dyDescent="0.3">
      <c r="B114" s="139"/>
      <c r="F114" s="100"/>
      <c r="I114" s="100"/>
      <c r="L114" s="100"/>
      <c r="M114" s="151">
        <v>42888</v>
      </c>
      <c r="N114" s="143">
        <v>5.92</v>
      </c>
      <c r="O114" s="26">
        <v>0</v>
      </c>
      <c r="P114" s="152">
        <v>42888</v>
      </c>
      <c r="Q114" s="153">
        <v>5.33</v>
      </c>
      <c r="R114" s="26">
        <v>0</v>
      </c>
      <c r="U114" s="100"/>
      <c r="V114" s="120">
        <v>45971</v>
      </c>
      <c r="W114" s="121">
        <v>4.5599999999999996</v>
      </c>
      <c r="X114" s="62">
        <v>0</v>
      </c>
      <c r="Y114" s="40">
        <v>40011</v>
      </c>
      <c r="Z114" s="41">
        <v>41.49</v>
      </c>
      <c r="AA114" s="26">
        <v>0</v>
      </c>
      <c r="AB114" s="150">
        <v>45750</v>
      </c>
      <c r="AC114" s="26">
        <v>8.27</v>
      </c>
      <c r="AD114" s="26">
        <v>0</v>
      </c>
      <c r="AE114" s="167"/>
      <c r="AF114" s="168"/>
      <c r="AH114" s="44">
        <v>41877</v>
      </c>
      <c r="AI114" s="45">
        <v>59.46</v>
      </c>
      <c r="AJ114" s="46">
        <v>0</v>
      </c>
      <c r="AK114" s="139"/>
      <c r="AU114" s="139"/>
    </row>
    <row r="115" spans="2:47" x14ac:dyDescent="0.3">
      <c r="B115" s="139"/>
      <c r="F115" s="100"/>
      <c r="I115" s="100"/>
      <c r="L115" s="100"/>
      <c r="M115" s="151">
        <v>43011</v>
      </c>
      <c r="N115" s="143">
        <v>5.4</v>
      </c>
      <c r="O115" s="26">
        <v>0</v>
      </c>
      <c r="P115" s="152">
        <v>43011</v>
      </c>
      <c r="Q115" s="153">
        <v>4.71</v>
      </c>
      <c r="R115" s="26">
        <v>0</v>
      </c>
      <c r="U115" s="100"/>
      <c r="Y115" s="40">
        <v>40049</v>
      </c>
      <c r="Z115" s="41">
        <v>41.36</v>
      </c>
      <c r="AA115" s="26">
        <v>0</v>
      </c>
      <c r="AB115" s="150">
        <v>45960</v>
      </c>
      <c r="AC115" s="26">
        <v>8.85</v>
      </c>
      <c r="AD115" s="26">
        <v>0</v>
      </c>
      <c r="AE115" s="167"/>
      <c r="AF115" s="168"/>
      <c r="AH115" s="44">
        <v>41906</v>
      </c>
      <c r="AI115" s="45">
        <v>60.86</v>
      </c>
      <c r="AJ115" s="46">
        <v>0</v>
      </c>
      <c r="AK115" s="139"/>
      <c r="AU115" s="139"/>
    </row>
    <row r="116" spans="2:47" x14ac:dyDescent="0.3">
      <c r="B116" s="139"/>
      <c r="F116" s="100"/>
      <c r="I116" s="100"/>
      <c r="L116" s="100"/>
      <c r="M116" s="151">
        <v>43558</v>
      </c>
      <c r="N116" s="143">
        <v>5.58</v>
      </c>
      <c r="O116" s="26">
        <v>0</v>
      </c>
      <c r="P116" s="152">
        <v>43558</v>
      </c>
      <c r="Q116" s="153">
        <v>5.85</v>
      </c>
      <c r="R116" s="26">
        <v>0</v>
      </c>
      <c r="U116" s="100"/>
      <c r="Y116" s="40">
        <v>40049</v>
      </c>
      <c r="Z116" s="41">
        <v>41.36</v>
      </c>
      <c r="AA116" s="26">
        <v>0</v>
      </c>
      <c r="AB116" s="150">
        <v>46011</v>
      </c>
      <c r="AC116" s="26">
        <v>9.14</v>
      </c>
      <c r="AD116" s="26">
        <v>0</v>
      </c>
      <c r="AE116" s="167"/>
      <c r="AF116" s="168"/>
      <c r="AH116" s="44">
        <v>41976</v>
      </c>
      <c r="AI116" s="45">
        <v>56.4</v>
      </c>
      <c r="AJ116" s="46">
        <v>0</v>
      </c>
      <c r="AK116" s="139"/>
      <c r="AU116" s="139"/>
    </row>
    <row r="117" spans="2:47" x14ac:dyDescent="0.3">
      <c r="B117" s="139"/>
      <c r="F117" s="100"/>
      <c r="I117" s="100"/>
      <c r="L117" s="100"/>
      <c r="M117" s="151">
        <v>43763</v>
      </c>
      <c r="N117" s="143">
        <v>6.18</v>
      </c>
      <c r="O117" s="26">
        <v>0</v>
      </c>
      <c r="P117" s="152">
        <v>43763</v>
      </c>
      <c r="Q117" s="153">
        <v>6.4</v>
      </c>
      <c r="R117" s="26">
        <v>0</v>
      </c>
      <c r="U117" s="100"/>
      <c r="Y117" s="40">
        <v>40099</v>
      </c>
      <c r="Z117" s="41">
        <v>43.52</v>
      </c>
      <c r="AA117" s="26">
        <v>0</v>
      </c>
      <c r="AD117" s="100"/>
      <c r="AE117" s="167"/>
      <c r="AF117" s="168"/>
      <c r="AH117" s="44">
        <v>42157</v>
      </c>
      <c r="AI117" s="45">
        <v>59.58</v>
      </c>
      <c r="AJ117" s="46">
        <v>0</v>
      </c>
      <c r="AK117" s="139"/>
      <c r="AU117" s="139"/>
    </row>
    <row r="118" spans="2:47" x14ac:dyDescent="0.3">
      <c r="B118" s="139"/>
      <c r="F118" s="100"/>
      <c r="I118" s="100"/>
      <c r="L118" s="100"/>
      <c r="M118" s="151">
        <v>43952</v>
      </c>
      <c r="N118" s="143">
        <v>5.49</v>
      </c>
      <c r="O118" s="26">
        <v>0</v>
      </c>
      <c r="P118" s="152">
        <v>43952</v>
      </c>
      <c r="Q118" s="153">
        <v>5.6</v>
      </c>
      <c r="R118" s="26">
        <v>0</v>
      </c>
      <c r="U118" s="100"/>
      <c r="Y118" s="40">
        <v>40176</v>
      </c>
      <c r="Z118" s="41">
        <v>43.24</v>
      </c>
      <c r="AA118" s="26">
        <v>0</v>
      </c>
      <c r="AD118" s="100"/>
      <c r="AE118" s="167"/>
      <c r="AF118" s="168"/>
      <c r="AH118" s="120">
        <v>42220</v>
      </c>
      <c r="AI118" s="108">
        <v>59.78</v>
      </c>
      <c r="AJ118" s="46">
        <v>0</v>
      </c>
      <c r="AK118" s="139"/>
      <c r="AU118" s="139"/>
    </row>
    <row r="119" spans="2:47" x14ac:dyDescent="0.3">
      <c r="B119" s="139"/>
      <c r="F119" s="100"/>
      <c r="I119" s="100"/>
      <c r="L119" s="100"/>
      <c r="M119" s="170">
        <v>44087</v>
      </c>
      <c r="N119" s="143">
        <v>5.52</v>
      </c>
      <c r="O119" s="26">
        <v>0</v>
      </c>
      <c r="P119" s="171">
        <v>43964</v>
      </c>
      <c r="Q119" s="172">
        <v>4.57</v>
      </c>
      <c r="R119" s="26">
        <v>0</v>
      </c>
      <c r="U119" s="100"/>
      <c r="Y119" s="173">
        <v>40214</v>
      </c>
      <c r="Z119" s="174">
        <v>43.56</v>
      </c>
      <c r="AA119" s="26">
        <v>0</v>
      </c>
      <c r="AD119" s="100"/>
      <c r="AE119" s="167"/>
      <c r="AF119" s="168"/>
      <c r="AH119" s="44">
        <v>42255</v>
      </c>
      <c r="AI119" s="45">
        <v>59.95</v>
      </c>
      <c r="AJ119" s="46">
        <v>0</v>
      </c>
      <c r="AK119" s="139"/>
      <c r="AU119" s="139"/>
    </row>
    <row r="120" spans="2:47" x14ac:dyDescent="0.3">
      <c r="B120" s="139"/>
      <c r="F120" s="100"/>
      <c r="I120" s="100"/>
      <c r="L120" s="100"/>
      <c r="M120" s="175">
        <v>44308</v>
      </c>
      <c r="N120" s="137">
        <v>5.47</v>
      </c>
      <c r="O120" s="26">
        <v>1</v>
      </c>
      <c r="P120" s="176">
        <v>44308</v>
      </c>
      <c r="Q120" s="86">
        <v>4.4400000000000004</v>
      </c>
      <c r="R120" s="26">
        <v>1</v>
      </c>
      <c r="U120" s="100"/>
      <c r="Y120" s="173">
        <v>40235</v>
      </c>
      <c r="Z120" s="174">
        <v>44.35</v>
      </c>
      <c r="AA120" s="26">
        <v>0</v>
      </c>
      <c r="AD120" s="100"/>
      <c r="AE120" s="167"/>
      <c r="AF120" s="168"/>
      <c r="AH120" s="44">
        <v>42292</v>
      </c>
      <c r="AI120" s="45">
        <v>60.02</v>
      </c>
      <c r="AJ120" s="46">
        <v>0</v>
      </c>
      <c r="AK120" s="139"/>
      <c r="AU120" s="139"/>
    </row>
    <row r="121" spans="2:47" x14ac:dyDescent="0.3">
      <c r="B121" s="139"/>
      <c r="F121" s="100"/>
      <c r="I121" s="100"/>
      <c r="L121" s="100"/>
      <c r="M121" s="177">
        <v>44522</v>
      </c>
      <c r="N121" s="137">
        <v>5.88</v>
      </c>
      <c r="O121" s="26">
        <v>1</v>
      </c>
      <c r="P121" s="122">
        <v>44522</v>
      </c>
      <c r="Q121" s="88">
        <v>4.78</v>
      </c>
      <c r="R121" s="26">
        <v>0</v>
      </c>
      <c r="U121" s="100"/>
      <c r="Y121" s="173">
        <v>40287</v>
      </c>
      <c r="Z121" s="174">
        <v>43.86</v>
      </c>
      <c r="AA121" s="26">
        <v>0</v>
      </c>
      <c r="AD121" s="100"/>
      <c r="AE121" s="167"/>
      <c r="AF121" s="168"/>
      <c r="AH121" s="44">
        <v>42353</v>
      </c>
      <c r="AI121" s="45">
        <v>60.12</v>
      </c>
      <c r="AJ121" s="46">
        <v>0</v>
      </c>
      <c r="AK121" s="139"/>
      <c r="AU121" s="139"/>
    </row>
    <row r="122" spans="2:47" x14ac:dyDescent="0.3">
      <c r="B122" s="139"/>
      <c r="F122" s="100"/>
      <c r="I122" s="100"/>
      <c r="L122" s="100"/>
      <c r="M122" s="170">
        <v>44600</v>
      </c>
      <c r="N122" s="143">
        <v>5.95</v>
      </c>
      <c r="O122" s="26">
        <v>0</v>
      </c>
      <c r="P122" s="178">
        <v>44600</v>
      </c>
      <c r="Q122" s="86">
        <v>4.82</v>
      </c>
      <c r="R122" s="26">
        <v>1</v>
      </c>
      <c r="U122" s="100"/>
      <c r="Y122" s="173">
        <v>40305</v>
      </c>
      <c r="Z122" s="174">
        <v>43.57</v>
      </c>
      <c r="AA122" s="26">
        <v>0</v>
      </c>
      <c r="AD122" s="100"/>
      <c r="AE122" s="167"/>
      <c r="AF122" s="168"/>
      <c r="AH122" s="44">
        <v>42387</v>
      </c>
      <c r="AI122" s="45">
        <v>60.38</v>
      </c>
      <c r="AJ122" s="46">
        <v>0</v>
      </c>
      <c r="AK122" s="139"/>
      <c r="AU122" s="139"/>
    </row>
    <row r="123" spans="2:47" x14ac:dyDescent="0.3">
      <c r="B123" s="139"/>
      <c r="F123" s="100"/>
      <c r="I123" s="100"/>
      <c r="L123" s="100"/>
      <c r="M123" s="175">
        <v>44906</v>
      </c>
      <c r="N123" s="137">
        <v>5.77</v>
      </c>
      <c r="O123" s="26">
        <v>1</v>
      </c>
      <c r="P123" s="178">
        <v>44906</v>
      </c>
      <c r="Q123" s="86">
        <v>4.97</v>
      </c>
      <c r="R123" s="26">
        <v>1</v>
      </c>
      <c r="U123" s="100"/>
      <c r="Y123" s="173">
        <v>40331</v>
      </c>
      <c r="Z123" s="174">
        <v>43.63</v>
      </c>
      <c r="AA123" s="26">
        <v>0</v>
      </c>
      <c r="AD123" s="100"/>
      <c r="AE123" s="167"/>
      <c r="AF123" s="168"/>
      <c r="AH123" s="44">
        <v>42429</v>
      </c>
      <c r="AI123" s="45">
        <v>62.31</v>
      </c>
      <c r="AJ123" s="46">
        <v>0</v>
      </c>
      <c r="AK123" s="139"/>
      <c r="AU123" s="139"/>
    </row>
    <row r="124" spans="2:47" x14ac:dyDescent="0.3">
      <c r="B124" s="139"/>
      <c r="F124" s="100"/>
      <c r="I124" s="100"/>
      <c r="L124" s="100"/>
      <c r="M124" s="170">
        <v>45078</v>
      </c>
      <c r="N124" s="143">
        <v>5.88</v>
      </c>
      <c r="O124" s="26">
        <v>0</v>
      </c>
      <c r="P124" s="179">
        <v>45078</v>
      </c>
      <c r="Q124" s="88">
        <v>5.0999999999999996</v>
      </c>
      <c r="R124" s="26">
        <v>0</v>
      </c>
      <c r="U124" s="100"/>
      <c r="Y124" s="173">
        <v>40393</v>
      </c>
      <c r="Z124" s="174">
        <v>44.25</v>
      </c>
      <c r="AA124" s="26">
        <v>0</v>
      </c>
      <c r="AD124" s="100"/>
      <c r="AE124" s="167"/>
      <c r="AF124" s="168"/>
      <c r="AH124" s="44">
        <v>42494</v>
      </c>
      <c r="AI124" s="45">
        <v>61.07</v>
      </c>
      <c r="AJ124" s="46">
        <v>0</v>
      </c>
      <c r="AK124" s="139"/>
      <c r="AU124" s="139"/>
    </row>
    <row r="125" spans="2:47" x14ac:dyDescent="0.3">
      <c r="B125" s="139"/>
      <c r="F125" s="100"/>
      <c r="I125" s="100"/>
      <c r="L125" s="100"/>
      <c r="M125" s="175">
        <v>45268</v>
      </c>
      <c r="N125" s="137">
        <v>5.41</v>
      </c>
      <c r="O125" s="26">
        <v>1</v>
      </c>
      <c r="P125" s="178">
        <v>45268</v>
      </c>
      <c r="Q125" s="86">
        <v>5.33</v>
      </c>
      <c r="R125" s="26">
        <v>1</v>
      </c>
      <c r="U125" s="100"/>
      <c r="Y125" s="173">
        <v>40417</v>
      </c>
      <c r="Z125" s="174">
        <v>43.93</v>
      </c>
      <c r="AA125" s="26">
        <v>0</v>
      </c>
      <c r="AD125" s="100"/>
      <c r="AE125" s="167"/>
      <c r="AF125" s="168"/>
      <c r="AH125" s="44">
        <v>42557</v>
      </c>
      <c r="AI125" s="45">
        <v>60.73</v>
      </c>
      <c r="AJ125" s="46">
        <v>0</v>
      </c>
      <c r="AK125" s="139"/>
      <c r="AU125" s="139"/>
    </row>
    <row r="126" spans="2:47" x14ac:dyDescent="0.3">
      <c r="B126" s="139"/>
      <c r="F126" s="100"/>
      <c r="I126" s="100"/>
      <c r="L126" s="100"/>
      <c r="M126" s="180">
        <v>45595</v>
      </c>
      <c r="N126" s="143">
        <v>5.24</v>
      </c>
      <c r="O126" s="26">
        <v>0</v>
      </c>
      <c r="P126" s="181">
        <v>45595</v>
      </c>
      <c r="Q126" s="127">
        <v>5.94</v>
      </c>
      <c r="R126" s="26">
        <v>0</v>
      </c>
      <c r="U126" s="100"/>
      <c r="Y126" s="173">
        <v>40498</v>
      </c>
      <c r="Z126" s="174">
        <v>44.1</v>
      </c>
      <c r="AA126" s="26">
        <v>0</v>
      </c>
      <c r="AD126" s="100"/>
      <c r="AE126" s="167"/>
      <c r="AF126" s="168"/>
      <c r="AH126" s="44">
        <v>42591</v>
      </c>
      <c r="AI126" s="45">
        <v>60.98</v>
      </c>
      <c r="AJ126" s="46">
        <v>0</v>
      </c>
      <c r="AK126" s="139"/>
      <c r="AU126" s="139"/>
    </row>
    <row r="127" spans="2:47" x14ac:dyDescent="0.3">
      <c r="B127" s="139"/>
      <c r="F127" s="100"/>
      <c r="I127" s="100"/>
      <c r="L127" s="100"/>
      <c r="M127" s="182">
        <v>45787</v>
      </c>
      <c r="N127" s="137">
        <v>5.33</v>
      </c>
      <c r="O127" s="26">
        <v>1</v>
      </c>
      <c r="P127" s="148">
        <v>45787</v>
      </c>
      <c r="Q127" s="86">
        <v>6.09</v>
      </c>
      <c r="R127" s="26">
        <v>1</v>
      </c>
      <c r="U127" s="100"/>
      <c r="Y127" s="173">
        <v>40575</v>
      </c>
      <c r="Z127" s="174">
        <v>44.21</v>
      </c>
      <c r="AA127" s="26">
        <v>0</v>
      </c>
      <c r="AD127" s="100"/>
      <c r="AE127" s="167"/>
      <c r="AF127" s="168"/>
      <c r="AH127" s="44">
        <v>42663</v>
      </c>
      <c r="AI127" s="45">
        <v>60.83</v>
      </c>
      <c r="AJ127" s="46">
        <v>0</v>
      </c>
      <c r="AK127" s="139"/>
      <c r="AU127" s="139"/>
    </row>
    <row r="128" spans="2:47" x14ac:dyDescent="0.3">
      <c r="B128" s="139"/>
      <c r="F128" s="100"/>
      <c r="I128" s="100"/>
      <c r="L128" s="100"/>
      <c r="M128" s="182">
        <v>45894</v>
      </c>
      <c r="N128" s="137">
        <v>5.46</v>
      </c>
      <c r="O128" s="26">
        <v>1</v>
      </c>
      <c r="P128" s="148">
        <v>45894</v>
      </c>
      <c r="Q128" s="86">
        <v>6.25</v>
      </c>
      <c r="R128" s="26">
        <v>1</v>
      </c>
      <c r="U128" s="100"/>
      <c r="Y128" s="173">
        <v>40679</v>
      </c>
      <c r="Z128" s="174">
        <v>44.49</v>
      </c>
      <c r="AA128" s="26">
        <v>0</v>
      </c>
      <c r="AD128" s="100"/>
      <c r="AE128" s="167"/>
      <c r="AF128" s="168"/>
      <c r="AH128" s="44">
        <v>42774</v>
      </c>
      <c r="AI128" s="45">
        <v>61.12</v>
      </c>
      <c r="AJ128" s="46">
        <v>0</v>
      </c>
      <c r="AK128" s="139"/>
      <c r="AU128" s="139"/>
    </row>
    <row r="129" spans="2:47" x14ac:dyDescent="0.3">
      <c r="B129" s="139"/>
      <c r="F129" s="100"/>
      <c r="I129" s="100"/>
      <c r="L129" s="100"/>
      <c r="M129" s="183">
        <v>45971</v>
      </c>
      <c r="N129" s="143">
        <v>5.65</v>
      </c>
      <c r="O129" s="26">
        <v>0</v>
      </c>
      <c r="P129" s="47">
        <v>45971</v>
      </c>
      <c r="Q129" s="88">
        <v>6.34</v>
      </c>
      <c r="R129" s="26">
        <v>0</v>
      </c>
      <c r="U129" s="100"/>
      <c r="Y129" s="173">
        <v>40745</v>
      </c>
      <c r="Z129" s="174">
        <v>44.79</v>
      </c>
      <c r="AA129" s="26">
        <v>0</v>
      </c>
      <c r="AD129" s="100"/>
      <c r="AE129" s="167"/>
      <c r="AF129" s="168"/>
      <c r="AH129" s="44">
        <v>42852</v>
      </c>
      <c r="AI129" s="45">
        <v>61.32</v>
      </c>
      <c r="AJ129" s="46">
        <v>0</v>
      </c>
      <c r="AK129" s="139"/>
      <c r="AU129" s="139"/>
    </row>
    <row r="130" spans="2:47" x14ac:dyDescent="0.3">
      <c r="B130" s="139"/>
      <c r="F130" s="100"/>
      <c r="I130" s="100"/>
      <c r="L130" s="100"/>
      <c r="O130" s="100"/>
      <c r="R130" s="100"/>
      <c r="U130" s="100"/>
      <c r="Y130" s="173">
        <v>40777</v>
      </c>
      <c r="Z130" s="174">
        <v>44.49</v>
      </c>
      <c r="AA130" s="26">
        <v>0</v>
      </c>
      <c r="AD130" s="100"/>
      <c r="AE130" s="167"/>
      <c r="AF130" s="168"/>
      <c r="AH130" s="44">
        <v>42888</v>
      </c>
      <c r="AI130" s="45">
        <v>61.41</v>
      </c>
      <c r="AJ130" s="46">
        <v>0</v>
      </c>
      <c r="AK130" s="139"/>
      <c r="AU130" s="139"/>
    </row>
    <row r="131" spans="2:47" x14ac:dyDescent="0.3">
      <c r="B131" s="139"/>
      <c r="F131" s="100"/>
      <c r="I131" s="100"/>
      <c r="L131" s="100"/>
      <c r="O131" s="100"/>
      <c r="R131" s="100"/>
      <c r="U131" s="100"/>
      <c r="Y131" s="173">
        <v>40800</v>
      </c>
      <c r="Z131" s="174">
        <v>44.43</v>
      </c>
      <c r="AA131" s="26">
        <v>0</v>
      </c>
      <c r="AD131" s="100"/>
      <c r="AE131" s="167"/>
      <c r="AF131" s="168"/>
      <c r="AH131" s="44">
        <v>42955</v>
      </c>
      <c r="AI131" s="45">
        <v>61.53</v>
      </c>
      <c r="AJ131" s="46">
        <v>0</v>
      </c>
      <c r="AK131" s="139"/>
      <c r="AU131" s="139"/>
    </row>
    <row r="132" spans="2:47" x14ac:dyDescent="0.3">
      <c r="B132" s="139"/>
      <c r="F132" s="100"/>
      <c r="I132" s="100"/>
      <c r="L132" s="100"/>
      <c r="O132" s="100"/>
      <c r="R132" s="100"/>
      <c r="U132" s="100"/>
      <c r="Y132" s="173">
        <v>40814</v>
      </c>
      <c r="Z132" s="174">
        <v>44.44</v>
      </c>
      <c r="AA132" s="26">
        <v>0</v>
      </c>
      <c r="AD132" s="100"/>
      <c r="AE132" s="167"/>
      <c r="AF132" s="168"/>
      <c r="AH132" s="44">
        <v>43048</v>
      </c>
      <c r="AI132" s="45">
        <v>61.72</v>
      </c>
      <c r="AJ132" s="46">
        <v>0</v>
      </c>
      <c r="AK132" s="139"/>
      <c r="AU132" s="139"/>
    </row>
    <row r="133" spans="2:47" x14ac:dyDescent="0.3">
      <c r="B133" s="139"/>
      <c r="F133" s="100"/>
      <c r="I133" s="100"/>
      <c r="L133" s="100"/>
      <c r="O133" s="100"/>
      <c r="R133" s="100"/>
      <c r="U133" s="100"/>
      <c r="Y133" s="173">
        <v>40834</v>
      </c>
      <c r="Z133" s="174">
        <v>44.05</v>
      </c>
      <c r="AA133" s="26">
        <v>0</v>
      </c>
      <c r="AD133" s="100"/>
      <c r="AE133" s="167"/>
      <c r="AF133" s="168"/>
      <c r="AH133" s="44">
        <v>43069</v>
      </c>
      <c r="AI133" s="45">
        <v>62.29</v>
      </c>
      <c r="AJ133" s="46">
        <v>0</v>
      </c>
      <c r="AK133" s="139"/>
      <c r="AU133" s="139"/>
    </row>
    <row r="134" spans="2:47" x14ac:dyDescent="0.3">
      <c r="B134" s="139"/>
      <c r="F134" s="100"/>
      <c r="I134" s="100"/>
      <c r="L134" s="100"/>
      <c r="O134" s="100"/>
      <c r="R134" s="100"/>
      <c r="U134" s="100"/>
      <c r="Y134" s="173">
        <v>40864</v>
      </c>
      <c r="Z134" s="174">
        <v>43.99</v>
      </c>
      <c r="AA134" s="26">
        <v>0</v>
      </c>
      <c r="AD134" s="100"/>
      <c r="AE134" s="184"/>
      <c r="AF134" s="168"/>
      <c r="AH134" s="44">
        <v>43123</v>
      </c>
      <c r="AI134" s="45">
        <v>62.03</v>
      </c>
      <c r="AJ134" s="46">
        <v>0</v>
      </c>
      <c r="AK134" s="139"/>
      <c r="AU134" s="139"/>
    </row>
    <row r="135" spans="2:47" x14ac:dyDescent="0.3">
      <c r="B135" s="139"/>
      <c r="F135" s="100"/>
      <c r="I135" s="100"/>
      <c r="L135" s="100"/>
      <c r="O135" s="100"/>
      <c r="R135" s="100"/>
      <c r="U135" s="100"/>
      <c r="Y135" s="173">
        <v>40911</v>
      </c>
      <c r="Z135" s="174">
        <v>43.95</v>
      </c>
      <c r="AA135" s="26">
        <v>0</v>
      </c>
      <c r="AD135" s="100"/>
      <c r="AE135" s="184"/>
      <c r="AF135" s="168"/>
      <c r="AH135" s="44">
        <v>43263</v>
      </c>
      <c r="AI135" s="45">
        <v>62.26</v>
      </c>
      <c r="AJ135" s="46">
        <v>0</v>
      </c>
      <c r="AK135" s="139"/>
      <c r="AU135" s="139"/>
    </row>
    <row r="136" spans="2:47" x14ac:dyDescent="0.3">
      <c r="B136" s="139"/>
      <c r="F136" s="100"/>
      <c r="I136" s="100"/>
      <c r="L136" s="100"/>
      <c r="O136" s="100"/>
      <c r="R136" s="100"/>
      <c r="U136" s="100"/>
      <c r="Y136" s="173">
        <v>40934</v>
      </c>
      <c r="Z136" s="174">
        <v>44.05</v>
      </c>
      <c r="AA136" s="26">
        <v>0</v>
      </c>
      <c r="AD136" s="100"/>
      <c r="AE136" s="184"/>
      <c r="AF136" s="168"/>
      <c r="AH136" s="44">
        <v>43297</v>
      </c>
      <c r="AI136" s="45">
        <v>62.21</v>
      </c>
      <c r="AJ136" s="46">
        <v>0</v>
      </c>
      <c r="AK136" s="139"/>
      <c r="AU136" s="139"/>
    </row>
    <row r="137" spans="2:47" x14ac:dyDescent="0.3">
      <c r="B137" s="139"/>
      <c r="F137" s="100"/>
      <c r="I137" s="100"/>
      <c r="L137" s="100"/>
      <c r="O137" s="100"/>
      <c r="R137" s="100"/>
      <c r="U137" s="100"/>
      <c r="Y137" s="173">
        <v>40963</v>
      </c>
      <c r="Z137" s="174">
        <v>44</v>
      </c>
      <c r="AA137" s="26">
        <v>0</v>
      </c>
      <c r="AD137" s="100"/>
      <c r="AE137" s="184"/>
      <c r="AF137" s="168"/>
      <c r="AH137" s="44">
        <v>43348</v>
      </c>
      <c r="AI137" s="45">
        <v>62.36</v>
      </c>
      <c r="AJ137" s="46">
        <v>0</v>
      </c>
      <c r="AK137" s="139"/>
      <c r="AU137" s="139"/>
    </row>
    <row r="138" spans="2:47" x14ac:dyDescent="0.3">
      <c r="B138" s="139"/>
      <c r="F138" s="100"/>
      <c r="I138" s="100"/>
      <c r="L138" s="100"/>
      <c r="O138" s="100"/>
      <c r="R138" s="100"/>
      <c r="U138" s="100"/>
      <c r="Y138" s="173">
        <v>41017</v>
      </c>
      <c r="Z138" s="174">
        <v>43.88</v>
      </c>
      <c r="AA138" s="26">
        <v>0</v>
      </c>
      <c r="AD138" s="100"/>
      <c r="AE138" s="184"/>
      <c r="AF138" s="168"/>
      <c r="AH138" s="44">
        <v>43558</v>
      </c>
      <c r="AI138" s="45">
        <v>63.1</v>
      </c>
      <c r="AJ138" s="46">
        <v>0</v>
      </c>
      <c r="AK138" s="139"/>
      <c r="AU138" s="139"/>
    </row>
    <row r="139" spans="2:47" x14ac:dyDescent="0.3">
      <c r="B139" s="139"/>
      <c r="F139" s="100"/>
      <c r="I139" s="100"/>
      <c r="L139" s="100"/>
      <c r="O139" s="100"/>
      <c r="R139" s="100"/>
      <c r="U139" s="100"/>
      <c r="Y139" s="173">
        <v>41059</v>
      </c>
      <c r="Z139" s="174">
        <v>43.95</v>
      </c>
      <c r="AA139" s="26">
        <v>0</v>
      </c>
      <c r="AD139" s="100"/>
      <c r="AE139" s="184"/>
      <c r="AF139" s="168"/>
      <c r="AH139" s="146">
        <v>43697</v>
      </c>
      <c r="AI139" s="45">
        <v>66.06</v>
      </c>
      <c r="AJ139" s="46">
        <v>0</v>
      </c>
      <c r="AK139" s="139"/>
      <c r="AU139" s="139"/>
    </row>
    <row r="140" spans="2:47" x14ac:dyDescent="0.3">
      <c r="B140" s="139"/>
      <c r="F140" s="100"/>
      <c r="I140" s="100"/>
      <c r="L140" s="100"/>
      <c r="O140" s="100"/>
      <c r="R140" s="100"/>
      <c r="U140" s="100"/>
      <c r="Y140" s="173">
        <v>41171</v>
      </c>
      <c r="Z140" s="174">
        <v>45.18</v>
      </c>
      <c r="AA140" s="26">
        <v>0</v>
      </c>
      <c r="AD140" s="100"/>
      <c r="AE140" s="184"/>
      <c r="AF140" s="168"/>
      <c r="AH140" s="146">
        <v>43759</v>
      </c>
      <c r="AI140" s="45">
        <v>65.11</v>
      </c>
      <c r="AJ140" s="46">
        <v>0</v>
      </c>
      <c r="AK140" s="139"/>
      <c r="AU140" s="139"/>
    </row>
    <row r="141" spans="2:47" x14ac:dyDescent="0.3">
      <c r="B141" s="139"/>
      <c r="F141" s="100"/>
      <c r="I141" s="100"/>
      <c r="L141" s="100"/>
      <c r="O141" s="100"/>
      <c r="R141" s="100"/>
      <c r="U141" s="100"/>
      <c r="Y141" s="173">
        <v>41191</v>
      </c>
      <c r="Z141" s="174">
        <v>45.24</v>
      </c>
      <c r="AA141" s="26">
        <v>0</v>
      </c>
      <c r="AD141" s="100"/>
      <c r="AE141" s="184"/>
      <c r="AF141" s="185"/>
      <c r="AH141" s="44">
        <v>43964</v>
      </c>
      <c r="AI141" s="45">
        <v>64.900000000000006</v>
      </c>
      <c r="AJ141" s="46">
        <v>0</v>
      </c>
      <c r="AK141" s="139"/>
      <c r="AU141" s="139"/>
    </row>
    <row r="142" spans="2:47" x14ac:dyDescent="0.3">
      <c r="B142" s="139"/>
      <c r="F142" s="100"/>
      <c r="I142" s="100"/>
      <c r="L142" s="100"/>
      <c r="O142" s="100"/>
      <c r="R142" s="100"/>
      <c r="U142" s="100"/>
      <c r="Y142" s="173">
        <v>41228</v>
      </c>
      <c r="Z142" s="174">
        <v>45.58</v>
      </c>
      <c r="AA142" s="26">
        <v>0</v>
      </c>
      <c r="AD142" s="100"/>
      <c r="AE142" s="184"/>
      <c r="AF142" s="168"/>
      <c r="AH142" s="101">
        <v>44064</v>
      </c>
      <c r="AI142" s="137">
        <v>64.7</v>
      </c>
      <c r="AJ142" s="46">
        <v>1</v>
      </c>
      <c r="AK142" s="139"/>
      <c r="AU142" s="139"/>
    </row>
    <row r="143" spans="2:47" x14ac:dyDescent="0.3">
      <c r="B143" s="139"/>
      <c r="F143" s="100"/>
      <c r="I143" s="100"/>
      <c r="L143" s="100"/>
      <c r="O143" s="100"/>
      <c r="R143" s="100"/>
      <c r="U143" s="100"/>
      <c r="Y143" s="173">
        <v>41235</v>
      </c>
      <c r="Z143" s="174">
        <v>45.41</v>
      </c>
      <c r="AA143" s="26">
        <v>0</v>
      </c>
      <c r="AD143" s="100"/>
      <c r="AE143" s="184"/>
      <c r="AF143" s="168"/>
      <c r="AH143" s="101">
        <v>44329</v>
      </c>
      <c r="AI143" s="137">
        <v>64.8</v>
      </c>
      <c r="AJ143" s="46">
        <v>1</v>
      </c>
      <c r="AK143" s="139"/>
      <c r="AU143" s="139"/>
    </row>
    <row r="144" spans="2:47" x14ac:dyDescent="0.3">
      <c r="B144" s="139"/>
      <c r="F144" s="100"/>
      <c r="I144" s="100"/>
      <c r="L144" s="100"/>
      <c r="O144" s="100"/>
      <c r="R144" s="100"/>
      <c r="U144" s="100"/>
      <c r="Y144" s="173">
        <v>41278</v>
      </c>
      <c r="Z144" s="174">
        <v>45.76</v>
      </c>
      <c r="AA144" s="26">
        <v>0</v>
      </c>
      <c r="AD144" s="100"/>
      <c r="AE144" s="184"/>
      <c r="AF144" s="168"/>
      <c r="AH144" s="44">
        <v>44489</v>
      </c>
      <c r="AI144" s="45">
        <v>64.599999999999994</v>
      </c>
      <c r="AJ144" s="46">
        <v>0</v>
      </c>
      <c r="AK144" s="139"/>
      <c r="AU144" s="139"/>
    </row>
    <row r="145" spans="2:47" x14ac:dyDescent="0.3">
      <c r="B145" s="139"/>
      <c r="F145" s="100"/>
      <c r="I145" s="100"/>
      <c r="L145" s="100"/>
      <c r="O145" s="100"/>
      <c r="R145" s="100"/>
      <c r="U145" s="100"/>
      <c r="Y145" s="173">
        <v>41368</v>
      </c>
      <c r="Z145" s="174">
        <v>46.02</v>
      </c>
      <c r="AA145" s="26">
        <v>0</v>
      </c>
      <c r="AD145" s="100"/>
      <c r="AE145" s="184"/>
      <c r="AF145" s="168"/>
      <c r="AH145" s="44">
        <v>44593</v>
      </c>
      <c r="AI145" s="45">
        <v>65.430000000000007</v>
      </c>
      <c r="AJ145" s="46">
        <v>0</v>
      </c>
      <c r="AK145" s="139"/>
      <c r="AU145" s="139"/>
    </row>
    <row r="146" spans="2:47" x14ac:dyDescent="0.3">
      <c r="B146" s="139"/>
      <c r="F146" s="100"/>
      <c r="I146" s="100"/>
      <c r="L146" s="100"/>
      <c r="O146" s="100"/>
      <c r="R146" s="100"/>
      <c r="U146" s="100"/>
      <c r="Y146" s="173">
        <v>41401</v>
      </c>
      <c r="Z146" s="174">
        <v>46.12</v>
      </c>
      <c r="AA146" s="26">
        <v>0</v>
      </c>
      <c r="AD146" s="100"/>
      <c r="AE146" s="184"/>
      <c r="AF146" s="168"/>
      <c r="AH146" s="146">
        <v>44743</v>
      </c>
      <c r="AI146" s="45">
        <v>65.540000000000006</v>
      </c>
      <c r="AJ146" s="46">
        <v>0</v>
      </c>
      <c r="AK146" s="139"/>
      <c r="AU146" s="139"/>
    </row>
    <row r="147" spans="2:47" x14ac:dyDescent="0.3">
      <c r="B147" s="139"/>
      <c r="F147" s="100"/>
      <c r="I147" s="100"/>
      <c r="L147" s="100"/>
      <c r="O147" s="100"/>
      <c r="R147" s="100"/>
      <c r="U147" s="100"/>
      <c r="Y147" s="173">
        <v>41437</v>
      </c>
      <c r="Z147" s="174">
        <v>46.37</v>
      </c>
      <c r="AA147" s="26">
        <v>0</v>
      </c>
      <c r="AD147" s="100"/>
      <c r="AE147" s="184"/>
      <c r="AF147" s="168"/>
      <c r="AH147" s="44">
        <v>44846</v>
      </c>
      <c r="AI147" s="45">
        <v>67.06</v>
      </c>
      <c r="AJ147" s="46">
        <v>0</v>
      </c>
      <c r="AK147" s="139"/>
      <c r="AU147" s="139"/>
    </row>
    <row r="148" spans="2:47" x14ac:dyDescent="0.3">
      <c r="B148" s="139"/>
      <c r="F148" s="100"/>
      <c r="I148" s="100"/>
      <c r="L148" s="100"/>
      <c r="O148" s="100"/>
      <c r="R148" s="100"/>
      <c r="U148" s="100"/>
      <c r="Y148" s="173">
        <v>41471</v>
      </c>
      <c r="Z148" s="174">
        <v>46.57</v>
      </c>
      <c r="AA148" s="26">
        <v>0</v>
      </c>
      <c r="AD148" s="100"/>
      <c r="AE148" s="167"/>
      <c r="AF148" s="168"/>
      <c r="AH148" s="186">
        <v>44998</v>
      </c>
      <c r="AI148" s="187">
        <v>67.56</v>
      </c>
      <c r="AJ148" s="46">
        <v>1</v>
      </c>
      <c r="AK148" s="139"/>
      <c r="AU148" s="139"/>
    </row>
    <row r="149" spans="2:47" x14ac:dyDescent="0.3">
      <c r="B149" s="139"/>
      <c r="F149" s="100"/>
      <c r="I149" s="100"/>
      <c r="L149" s="100"/>
      <c r="O149" s="100"/>
      <c r="R149" s="100"/>
      <c r="U149" s="100"/>
      <c r="Y149" s="173">
        <v>41506</v>
      </c>
      <c r="Z149" s="174">
        <v>46.46</v>
      </c>
      <c r="AA149" s="26">
        <v>0</v>
      </c>
      <c r="AD149" s="100"/>
      <c r="AE149" s="184"/>
      <c r="AF149" s="168"/>
      <c r="AH149" s="188">
        <v>45146</v>
      </c>
      <c r="AI149" s="189">
        <v>67.290000000000006</v>
      </c>
      <c r="AJ149" s="46">
        <v>0</v>
      </c>
      <c r="AK149" s="139"/>
      <c r="AU149" s="139"/>
    </row>
    <row r="150" spans="2:47" x14ac:dyDescent="0.3">
      <c r="B150" s="139"/>
      <c r="F150" s="100"/>
      <c r="I150" s="100"/>
      <c r="L150" s="100"/>
      <c r="O150" s="100"/>
      <c r="R150" s="100"/>
      <c r="U150" s="100"/>
      <c r="Y150" s="173">
        <v>41555</v>
      </c>
      <c r="Z150" s="174">
        <v>46.6</v>
      </c>
      <c r="AA150" s="26">
        <v>0</v>
      </c>
      <c r="AD150" s="100"/>
      <c r="AE150" s="184"/>
      <c r="AF150" s="168"/>
      <c r="AH150" s="190">
        <v>45267</v>
      </c>
      <c r="AI150" s="187">
        <v>67.66</v>
      </c>
      <c r="AJ150" s="46">
        <v>1</v>
      </c>
      <c r="AK150" s="139"/>
      <c r="AU150" s="139"/>
    </row>
    <row r="151" spans="2:47" x14ac:dyDescent="0.3">
      <c r="B151" s="139"/>
      <c r="F151" s="100"/>
      <c r="I151" s="100"/>
      <c r="L151" s="100"/>
      <c r="O151" s="100"/>
      <c r="R151" s="100"/>
      <c r="U151" s="100"/>
      <c r="Y151" s="173">
        <v>41556</v>
      </c>
      <c r="Z151" s="174">
        <v>46.57</v>
      </c>
      <c r="AA151" s="26">
        <v>0</v>
      </c>
      <c r="AD151" s="100"/>
      <c r="AE151" s="184"/>
      <c r="AF151" s="168"/>
      <c r="AH151" s="146">
        <v>45292</v>
      </c>
      <c r="AI151" s="45">
        <v>67.77</v>
      </c>
      <c r="AJ151" s="46">
        <v>0</v>
      </c>
      <c r="AK151" s="139"/>
      <c r="AU151" s="139"/>
    </row>
    <row r="152" spans="2:47" x14ac:dyDescent="0.3">
      <c r="B152" s="139"/>
      <c r="F152" s="100"/>
      <c r="I152" s="100"/>
      <c r="L152" s="100"/>
      <c r="O152" s="100"/>
      <c r="R152" s="100"/>
      <c r="U152" s="100"/>
      <c r="Y152" s="173">
        <v>41617</v>
      </c>
      <c r="Z152" s="157">
        <f>(Z151+Z153)/2</f>
        <v>46.774999999999999</v>
      </c>
      <c r="AA152" s="26">
        <v>0</v>
      </c>
      <c r="AD152" s="100"/>
      <c r="AE152" s="184"/>
      <c r="AF152" s="168"/>
      <c r="AH152" s="146">
        <v>45449</v>
      </c>
      <c r="AI152" s="45">
        <v>68.680000000000007</v>
      </c>
      <c r="AJ152" s="46">
        <v>0</v>
      </c>
      <c r="AK152" s="139"/>
      <c r="AU152" s="139"/>
    </row>
    <row r="153" spans="2:47" x14ac:dyDescent="0.3">
      <c r="B153" s="139"/>
      <c r="F153" s="100"/>
      <c r="I153" s="100"/>
      <c r="L153" s="100"/>
      <c r="O153" s="100"/>
      <c r="R153" s="100"/>
      <c r="U153" s="100"/>
      <c r="Y153" s="173">
        <v>41647</v>
      </c>
      <c r="Z153" s="174">
        <v>46.98</v>
      </c>
      <c r="AA153" s="26">
        <v>0</v>
      </c>
      <c r="AD153" s="100"/>
      <c r="AE153" s="184"/>
      <c r="AF153" s="168"/>
      <c r="AH153" s="44">
        <v>45638</v>
      </c>
      <c r="AI153" s="45">
        <v>67.61</v>
      </c>
      <c r="AJ153" s="46">
        <v>0</v>
      </c>
      <c r="AK153" s="139"/>
      <c r="AU153" s="139"/>
    </row>
    <row r="154" spans="2:47" x14ac:dyDescent="0.3">
      <c r="B154" s="139"/>
      <c r="F154" s="100"/>
      <c r="I154" s="100"/>
      <c r="L154" s="100"/>
      <c r="O154" s="100"/>
      <c r="R154" s="100"/>
      <c r="U154" s="100"/>
      <c r="Y154" s="173">
        <v>41683</v>
      </c>
      <c r="Z154" s="174">
        <v>47</v>
      </c>
      <c r="AA154" s="26">
        <v>0</v>
      </c>
      <c r="AD154" s="100"/>
      <c r="AE154" s="184"/>
      <c r="AF154" s="168"/>
      <c r="AH154" s="190">
        <v>45709</v>
      </c>
      <c r="AI154" s="187">
        <v>68.12</v>
      </c>
      <c r="AJ154" s="46">
        <v>1</v>
      </c>
      <c r="AK154" s="139"/>
      <c r="AU154" s="139"/>
    </row>
    <row r="155" spans="2:47" x14ac:dyDescent="0.3">
      <c r="B155" s="139"/>
      <c r="F155" s="100"/>
      <c r="I155" s="100"/>
      <c r="L155" s="100"/>
      <c r="O155" s="100"/>
      <c r="R155" s="100"/>
      <c r="U155" s="100"/>
      <c r="Y155" s="173">
        <v>41731</v>
      </c>
      <c r="Z155" s="174">
        <v>47.14</v>
      </c>
      <c r="AA155" s="26">
        <v>0</v>
      </c>
      <c r="AD155" s="100"/>
      <c r="AE155" s="184"/>
      <c r="AF155" s="168"/>
      <c r="AH155" s="146">
        <v>45751</v>
      </c>
      <c r="AI155" s="45">
        <v>68.86</v>
      </c>
      <c r="AJ155" s="46">
        <v>0</v>
      </c>
      <c r="AK155" s="139"/>
      <c r="AU155" s="139"/>
    </row>
    <row r="156" spans="2:47" x14ac:dyDescent="0.3">
      <c r="B156" s="139"/>
      <c r="F156" s="100"/>
      <c r="I156" s="100"/>
      <c r="L156" s="100"/>
      <c r="O156" s="100"/>
      <c r="R156" s="100"/>
      <c r="U156" s="100"/>
      <c r="Y156" s="173">
        <v>41764</v>
      </c>
      <c r="Z156" s="174">
        <v>47.34</v>
      </c>
      <c r="AA156" s="26">
        <v>0</v>
      </c>
      <c r="AD156" s="100"/>
      <c r="AE156" s="167"/>
      <c r="AF156" s="168"/>
      <c r="AH156" s="188">
        <v>45978</v>
      </c>
      <c r="AI156" s="189">
        <v>70.150000000000006</v>
      </c>
      <c r="AJ156" s="46">
        <v>0</v>
      </c>
      <c r="AK156" s="139"/>
      <c r="AU156" s="139"/>
    </row>
    <row r="157" spans="2:47" x14ac:dyDescent="0.3">
      <c r="B157" s="139"/>
      <c r="F157" s="100"/>
      <c r="I157" s="100"/>
      <c r="L157" s="100"/>
      <c r="O157" s="100"/>
      <c r="R157" s="100"/>
      <c r="U157" s="100"/>
      <c r="Y157" s="173">
        <v>41793</v>
      </c>
      <c r="Z157" s="174">
        <v>47.32</v>
      </c>
      <c r="AA157" s="26">
        <v>0</v>
      </c>
      <c r="AD157" s="100"/>
      <c r="AE157" s="167"/>
      <c r="AF157" s="168"/>
      <c r="AK157" s="139"/>
      <c r="AU157" s="139"/>
    </row>
    <row r="158" spans="2:47" x14ac:dyDescent="0.3">
      <c r="B158" s="139"/>
      <c r="F158" s="100"/>
      <c r="I158" s="100"/>
      <c r="L158" s="100"/>
      <c r="O158" s="100"/>
      <c r="R158" s="100"/>
      <c r="U158" s="100"/>
      <c r="Y158" s="173">
        <v>41830</v>
      </c>
      <c r="Z158" s="174">
        <v>47.47</v>
      </c>
      <c r="AA158" s="26">
        <v>0</v>
      </c>
      <c r="AD158" s="100"/>
      <c r="AE158" s="167"/>
      <c r="AF158" s="168"/>
      <c r="AK158" s="139"/>
      <c r="AU158" s="139"/>
    </row>
    <row r="159" spans="2:47" x14ac:dyDescent="0.3">
      <c r="B159" s="139"/>
      <c r="F159" s="100"/>
      <c r="I159" s="100"/>
      <c r="L159" s="100"/>
      <c r="O159" s="100"/>
      <c r="R159" s="100"/>
      <c r="U159" s="100"/>
      <c r="Y159" s="173">
        <v>41877</v>
      </c>
      <c r="Z159" s="174">
        <v>47.52</v>
      </c>
      <c r="AA159" s="26">
        <v>0</v>
      </c>
      <c r="AD159" s="100"/>
      <c r="AE159" s="191"/>
      <c r="AF159" s="192"/>
      <c r="AK159" s="139"/>
      <c r="AU159" s="139"/>
    </row>
    <row r="160" spans="2:47" x14ac:dyDescent="0.3">
      <c r="B160" s="139"/>
      <c r="F160" s="100"/>
      <c r="I160" s="100"/>
      <c r="L160" s="100"/>
      <c r="O160" s="100"/>
      <c r="R160" s="100"/>
      <c r="U160" s="100"/>
      <c r="Y160" s="173">
        <v>41936</v>
      </c>
      <c r="Z160" s="174">
        <v>47.49</v>
      </c>
      <c r="AA160" s="26">
        <v>0</v>
      </c>
      <c r="AD160" s="100"/>
      <c r="AE160" s="191"/>
      <c r="AF160" s="192"/>
      <c r="AK160" s="139"/>
      <c r="AU160" s="139"/>
    </row>
    <row r="161" spans="2:47" x14ac:dyDescent="0.3">
      <c r="B161" s="139"/>
      <c r="F161" s="100"/>
      <c r="I161" s="100"/>
      <c r="L161" s="100"/>
      <c r="O161" s="100"/>
      <c r="R161" s="100"/>
      <c r="U161" s="100"/>
      <c r="Y161" s="173">
        <v>41976</v>
      </c>
      <c r="Z161" s="174">
        <v>47.39</v>
      </c>
      <c r="AA161" s="26">
        <v>0</v>
      </c>
      <c r="AD161" s="100"/>
      <c r="AE161" s="191"/>
      <c r="AF161" s="192"/>
      <c r="AK161" s="139"/>
      <c r="AU161" s="139"/>
    </row>
    <row r="162" spans="2:47" x14ac:dyDescent="0.3">
      <c r="B162" s="139"/>
      <c r="F162" s="100"/>
      <c r="I162" s="100"/>
      <c r="L162" s="100"/>
      <c r="O162" s="100"/>
      <c r="R162" s="100"/>
      <c r="U162" s="100"/>
      <c r="Y162" s="173">
        <v>42009</v>
      </c>
      <c r="Z162" s="174">
        <v>47.66</v>
      </c>
      <c r="AA162" s="26">
        <v>0</v>
      </c>
      <c r="AD162" s="100"/>
      <c r="AE162" s="193"/>
      <c r="AF162" s="194"/>
      <c r="AK162" s="139"/>
      <c r="AU162" s="139"/>
    </row>
    <row r="163" spans="2:47" x14ac:dyDescent="0.3">
      <c r="B163" s="139"/>
      <c r="F163" s="100"/>
      <c r="I163" s="100"/>
      <c r="L163" s="100"/>
      <c r="O163" s="100"/>
      <c r="R163" s="100"/>
      <c r="U163" s="100"/>
      <c r="Y163" s="173">
        <v>42107</v>
      </c>
      <c r="Z163" s="174">
        <v>48.05</v>
      </c>
      <c r="AA163" s="26">
        <v>0</v>
      </c>
      <c r="AD163" s="100"/>
      <c r="AE163" s="167"/>
      <c r="AF163" s="168"/>
      <c r="AK163" s="139"/>
      <c r="AU163" s="139"/>
    </row>
    <row r="164" spans="2:47" x14ac:dyDescent="0.3">
      <c r="B164" s="139"/>
      <c r="F164" s="100"/>
      <c r="I164" s="100"/>
      <c r="L164" s="100"/>
      <c r="O164" s="100"/>
      <c r="R164" s="100"/>
      <c r="U164" s="100"/>
      <c r="Y164" s="173">
        <v>42157</v>
      </c>
      <c r="Z164" s="174">
        <v>47.86</v>
      </c>
      <c r="AA164" s="26">
        <v>0</v>
      </c>
      <c r="AD164" s="100"/>
      <c r="AE164" s="167"/>
      <c r="AF164" s="168"/>
      <c r="AK164" s="139"/>
      <c r="AU164" s="139"/>
    </row>
    <row r="165" spans="2:47" x14ac:dyDescent="0.3">
      <c r="B165" s="139"/>
      <c r="F165" s="100"/>
      <c r="I165" s="100"/>
      <c r="L165" s="100"/>
      <c r="O165" s="100"/>
      <c r="R165" s="100"/>
      <c r="U165" s="100"/>
      <c r="Y165" s="173">
        <v>42220</v>
      </c>
      <c r="Z165" s="174">
        <v>47.96</v>
      </c>
      <c r="AA165" s="26">
        <v>0</v>
      </c>
      <c r="AD165" s="100"/>
      <c r="AE165" s="167"/>
      <c r="AF165" s="168"/>
      <c r="AK165" s="139"/>
      <c r="AU165" s="139"/>
    </row>
    <row r="166" spans="2:47" x14ac:dyDescent="0.3">
      <c r="B166" s="139"/>
      <c r="F166" s="100"/>
      <c r="I166" s="100"/>
      <c r="L166" s="100"/>
      <c r="O166" s="100"/>
      <c r="R166" s="100"/>
      <c r="U166" s="100"/>
      <c r="Y166" s="173">
        <v>42292</v>
      </c>
      <c r="Z166" s="174">
        <v>48.05</v>
      </c>
      <c r="AA166" s="26">
        <v>0</v>
      </c>
      <c r="AD166" s="100"/>
      <c r="AE166" s="167"/>
      <c r="AF166" s="168"/>
      <c r="AK166" s="139"/>
      <c r="AU166" s="139"/>
    </row>
    <row r="167" spans="2:47" x14ac:dyDescent="0.3">
      <c r="B167" s="139"/>
      <c r="F167" s="100"/>
      <c r="I167" s="100"/>
      <c r="L167" s="100"/>
      <c r="O167" s="100"/>
      <c r="R167" s="100"/>
      <c r="U167" s="100"/>
      <c r="Y167" s="173">
        <v>42306</v>
      </c>
      <c r="Z167" s="174">
        <v>48.18</v>
      </c>
      <c r="AA167" s="26">
        <v>0</v>
      </c>
      <c r="AD167" s="100"/>
      <c r="AE167" s="167"/>
      <c r="AF167" s="168"/>
      <c r="AK167" s="139"/>
      <c r="AU167" s="139"/>
    </row>
    <row r="168" spans="2:47" x14ac:dyDescent="0.3">
      <c r="B168" s="139"/>
      <c r="F168" s="100"/>
      <c r="I168" s="100"/>
      <c r="L168" s="100"/>
      <c r="O168" s="100"/>
      <c r="R168" s="100"/>
      <c r="U168" s="100"/>
      <c r="Y168" s="173">
        <v>42353</v>
      </c>
      <c r="Z168" s="174">
        <v>48.43</v>
      </c>
      <c r="AA168" s="26">
        <v>0</v>
      </c>
      <c r="AD168" s="100"/>
      <c r="AE168" s="167"/>
      <c r="AF168" s="194"/>
      <c r="AK168" s="139"/>
      <c r="AU168" s="139"/>
    </row>
    <row r="169" spans="2:47" x14ac:dyDescent="0.3">
      <c r="B169" s="139"/>
      <c r="F169" s="100"/>
      <c r="I169" s="100"/>
      <c r="L169" s="100"/>
      <c r="O169" s="100"/>
      <c r="R169" s="100"/>
      <c r="U169" s="100"/>
      <c r="Y169" s="173">
        <v>42387</v>
      </c>
      <c r="Z169" s="174">
        <v>48.63</v>
      </c>
      <c r="AA169" s="26">
        <v>0</v>
      </c>
      <c r="AD169" s="100"/>
      <c r="AE169" s="167"/>
      <c r="AF169" s="168"/>
      <c r="AK169" s="139"/>
      <c r="AU169" s="139"/>
    </row>
    <row r="170" spans="2:47" x14ac:dyDescent="0.3">
      <c r="B170" s="139"/>
      <c r="F170" s="100"/>
      <c r="I170" s="100"/>
      <c r="L170" s="100"/>
      <c r="O170" s="100"/>
      <c r="R170" s="100"/>
      <c r="U170" s="100"/>
      <c r="Y170" s="173">
        <v>42429</v>
      </c>
      <c r="Z170" s="174">
        <v>48.49</v>
      </c>
      <c r="AA170" s="26">
        <v>0</v>
      </c>
      <c r="AD170" s="100"/>
      <c r="AE170" s="167"/>
      <c r="AF170" s="168"/>
      <c r="AK170" s="139"/>
      <c r="AU170" s="139"/>
    </row>
    <row r="171" spans="2:47" x14ac:dyDescent="0.3">
      <c r="B171" s="139"/>
      <c r="F171" s="100"/>
      <c r="I171" s="100"/>
      <c r="L171" s="100"/>
      <c r="O171" s="100"/>
      <c r="R171" s="100"/>
      <c r="U171" s="100"/>
      <c r="Y171" s="173">
        <v>42471</v>
      </c>
      <c r="Z171" s="174">
        <v>48.89</v>
      </c>
      <c r="AA171" s="26">
        <v>0</v>
      </c>
      <c r="AD171" s="100"/>
      <c r="AE171" s="167"/>
      <c r="AF171" s="168"/>
      <c r="AK171" s="139"/>
      <c r="AU171" s="139"/>
    </row>
    <row r="172" spans="2:47" x14ac:dyDescent="0.3">
      <c r="B172" s="139"/>
      <c r="F172" s="100"/>
      <c r="I172" s="100"/>
      <c r="L172" s="100"/>
      <c r="O172" s="100"/>
      <c r="R172" s="100"/>
      <c r="U172" s="100"/>
      <c r="Y172" s="173">
        <v>42591</v>
      </c>
      <c r="Z172" s="174">
        <v>49.31</v>
      </c>
      <c r="AA172" s="26">
        <v>0</v>
      </c>
      <c r="AD172" s="100"/>
      <c r="AE172" s="167"/>
      <c r="AF172" s="168"/>
      <c r="AK172" s="139"/>
      <c r="AU172" s="139"/>
    </row>
    <row r="173" spans="2:47" x14ac:dyDescent="0.3">
      <c r="B173" s="139"/>
      <c r="F173" s="100"/>
      <c r="I173" s="100"/>
      <c r="L173" s="100"/>
      <c r="O173" s="100"/>
      <c r="R173" s="100"/>
      <c r="U173" s="100"/>
      <c r="Y173" s="173">
        <v>42663</v>
      </c>
      <c r="Z173" s="174">
        <v>49.58</v>
      </c>
      <c r="AA173" s="26">
        <v>0</v>
      </c>
      <c r="AD173" s="100"/>
      <c r="AE173" s="191"/>
      <c r="AF173" s="192"/>
      <c r="AK173" s="139"/>
      <c r="AU173" s="139"/>
    </row>
    <row r="174" spans="2:47" x14ac:dyDescent="0.3">
      <c r="B174" s="139"/>
      <c r="F174" s="100"/>
      <c r="I174" s="100"/>
      <c r="L174" s="100"/>
      <c r="O174" s="100"/>
      <c r="R174" s="100"/>
      <c r="U174" s="100"/>
      <c r="Y174" s="173">
        <v>42702</v>
      </c>
      <c r="Z174" s="174">
        <v>50.07</v>
      </c>
      <c r="AA174" s="26">
        <v>0</v>
      </c>
      <c r="AD174" s="100"/>
      <c r="AE174" s="191"/>
      <c r="AF174" s="192"/>
      <c r="AK174" s="139"/>
      <c r="AU174" s="139"/>
    </row>
    <row r="175" spans="2:47" x14ac:dyDescent="0.3">
      <c r="B175" s="139"/>
      <c r="F175" s="100"/>
      <c r="I175" s="100"/>
      <c r="L175" s="100"/>
      <c r="O175" s="100"/>
      <c r="R175" s="100"/>
      <c r="U175" s="100"/>
      <c r="Y175" s="173">
        <v>42774</v>
      </c>
      <c r="Z175" s="174">
        <v>50.28</v>
      </c>
      <c r="AA175" s="26">
        <v>0</v>
      </c>
      <c r="AD175" s="100"/>
      <c r="AE175" s="191"/>
      <c r="AF175" s="192"/>
      <c r="AK175" s="139"/>
      <c r="AU175" s="139"/>
    </row>
    <row r="176" spans="2:47" x14ac:dyDescent="0.3">
      <c r="B176" s="139"/>
      <c r="F176" s="100"/>
      <c r="I176" s="100"/>
      <c r="L176" s="100"/>
      <c r="O176" s="100"/>
      <c r="R176" s="100"/>
      <c r="U176" s="100"/>
      <c r="Y176" s="173">
        <v>42794</v>
      </c>
      <c r="Z176" s="174">
        <v>50.45</v>
      </c>
      <c r="AA176" s="26">
        <v>0</v>
      </c>
      <c r="AD176" s="100"/>
      <c r="AE176" s="195"/>
      <c r="AF176" s="196"/>
      <c r="AK176" s="139"/>
      <c r="AU176" s="139"/>
    </row>
    <row r="177" spans="2:47" x14ac:dyDescent="0.3">
      <c r="B177" s="139"/>
      <c r="F177" s="100"/>
      <c r="I177" s="100"/>
      <c r="L177" s="100"/>
      <c r="O177" s="100"/>
      <c r="R177" s="100"/>
      <c r="U177" s="100"/>
      <c r="Y177" s="173">
        <v>42865</v>
      </c>
      <c r="Z177" s="174">
        <v>50.78</v>
      </c>
      <c r="AA177" s="26">
        <v>0</v>
      </c>
      <c r="AD177" s="100"/>
      <c r="AE177" s="195"/>
      <c r="AF177" s="196"/>
      <c r="AK177" s="139"/>
      <c r="AU177" s="139"/>
    </row>
    <row r="178" spans="2:47" x14ac:dyDescent="0.3">
      <c r="B178" s="139"/>
      <c r="F178" s="100"/>
      <c r="I178" s="100"/>
      <c r="L178" s="100"/>
      <c r="O178" s="100"/>
      <c r="R178" s="100"/>
      <c r="U178" s="100"/>
      <c r="Y178" s="173">
        <v>42887</v>
      </c>
      <c r="Z178" s="174">
        <v>50.73</v>
      </c>
      <c r="AA178" s="26">
        <v>0</v>
      </c>
      <c r="AD178" s="100"/>
      <c r="AE178" s="195"/>
      <c r="AF178" s="196"/>
      <c r="AK178" s="139"/>
      <c r="AU178" s="139"/>
    </row>
    <row r="179" spans="2:47" x14ac:dyDescent="0.3">
      <c r="B179" s="139"/>
      <c r="F179" s="100"/>
      <c r="I179" s="100"/>
      <c r="L179" s="100"/>
      <c r="O179" s="100"/>
      <c r="R179" s="100"/>
      <c r="U179" s="100"/>
      <c r="Y179" s="173">
        <v>42955</v>
      </c>
      <c r="Z179" s="174">
        <v>50.82</v>
      </c>
      <c r="AA179" s="26">
        <v>0</v>
      </c>
      <c r="AD179" s="100"/>
      <c r="AE179" s="195"/>
      <c r="AF179" s="196"/>
      <c r="AK179" s="139"/>
      <c r="AU179" s="139"/>
    </row>
    <row r="180" spans="2:47" x14ac:dyDescent="0.3">
      <c r="B180" s="139"/>
      <c r="F180" s="100"/>
      <c r="I180" s="100"/>
      <c r="L180" s="100"/>
      <c r="O180" s="100"/>
      <c r="R180" s="100"/>
      <c r="U180" s="100"/>
      <c r="Y180" s="173">
        <v>43011</v>
      </c>
      <c r="Z180" s="174">
        <v>50.92</v>
      </c>
      <c r="AA180" s="26">
        <v>0</v>
      </c>
      <c r="AD180" s="100"/>
      <c r="AE180" s="197"/>
      <c r="AF180" s="192"/>
      <c r="AK180" s="139"/>
      <c r="AU180" s="139"/>
    </row>
    <row r="181" spans="2:47" x14ac:dyDescent="0.3">
      <c r="B181" s="139"/>
      <c r="F181" s="100"/>
      <c r="I181" s="100"/>
      <c r="L181" s="100"/>
      <c r="O181" s="100"/>
      <c r="R181" s="100"/>
      <c r="U181" s="100"/>
      <c r="Y181" s="173">
        <v>43123</v>
      </c>
      <c r="Z181" s="174">
        <v>51.17</v>
      </c>
      <c r="AA181" s="26">
        <v>0</v>
      </c>
      <c r="AD181" s="100"/>
      <c r="AK181" s="139"/>
      <c r="AU181" s="139"/>
    </row>
    <row r="182" spans="2:47" x14ac:dyDescent="0.3">
      <c r="B182" s="139"/>
      <c r="F182" s="100"/>
      <c r="I182" s="100"/>
      <c r="L182" s="100"/>
      <c r="O182" s="100"/>
      <c r="R182" s="100"/>
      <c r="U182" s="100"/>
      <c r="Y182" s="173">
        <v>43558</v>
      </c>
      <c r="Z182" s="174">
        <v>51.89</v>
      </c>
      <c r="AA182" s="26">
        <v>0</v>
      </c>
      <c r="AD182" s="100"/>
      <c r="AK182" s="139"/>
      <c r="AU182" s="139"/>
    </row>
    <row r="183" spans="2:47" x14ac:dyDescent="0.3">
      <c r="B183" s="139"/>
      <c r="F183" s="100"/>
      <c r="I183" s="100"/>
      <c r="L183" s="100"/>
      <c r="O183" s="100"/>
      <c r="R183" s="100"/>
      <c r="U183" s="100"/>
      <c r="Y183" s="173">
        <v>43921</v>
      </c>
      <c r="Z183" s="174">
        <v>53.95</v>
      </c>
      <c r="AA183" s="26">
        <v>0</v>
      </c>
      <c r="AD183" s="100"/>
      <c r="AK183" s="139"/>
      <c r="AU183" s="139"/>
    </row>
    <row r="184" spans="2:47" x14ac:dyDescent="0.3">
      <c r="B184" s="139"/>
      <c r="F184" s="100"/>
      <c r="I184" s="100"/>
      <c r="L184" s="100"/>
      <c r="O184" s="100"/>
      <c r="R184" s="100"/>
      <c r="U184" s="100"/>
      <c r="Y184" s="173">
        <v>44008</v>
      </c>
      <c r="Z184" s="174">
        <v>53.42</v>
      </c>
      <c r="AA184" s="26">
        <v>0</v>
      </c>
      <c r="AD184" s="100"/>
      <c r="AK184" s="139"/>
      <c r="AU184" s="139"/>
    </row>
    <row r="185" spans="2:47" x14ac:dyDescent="0.3">
      <c r="B185" s="139"/>
      <c r="F185" s="100"/>
      <c r="I185" s="100"/>
      <c r="L185" s="100"/>
      <c r="O185" s="100"/>
      <c r="R185" s="100"/>
      <c r="U185" s="100"/>
      <c r="Y185" s="173">
        <v>43952</v>
      </c>
      <c r="Z185" s="174">
        <v>52.75</v>
      </c>
      <c r="AA185" s="26">
        <v>0</v>
      </c>
      <c r="AD185" s="100"/>
      <c r="AK185" s="139"/>
      <c r="AU185" s="139"/>
    </row>
    <row r="186" spans="2:47" x14ac:dyDescent="0.3">
      <c r="B186" s="139"/>
      <c r="F186" s="100"/>
      <c r="I186" s="100"/>
      <c r="L186" s="100"/>
      <c r="O186" s="100"/>
      <c r="R186" s="100"/>
      <c r="U186" s="100"/>
      <c r="Y186" s="173">
        <v>43964</v>
      </c>
      <c r="Z186" s="174">
        <v>52.68</v>
      </c>
      <c r="AA186" s="26">
        <v>0</v>
      </c>
      <c r="AD186" s="100"/>
      <c r="AK186" s="139"/>
      <c r="AU186" s="139"/>
    </row>
    <row r="187" spans="2:47" x14ac:dyDescent="0.3">
      <c r="B187" s="139"/>
      <c r="F187" s="100"/>
      <c r="I187" s="100"/>
      <c r="L187" s="100"/>
      <c r="O187" s="100"/>
      <c r="R187" s="100"/>
      <c r="U187" s="100"/>
      <c r="Y187" s="173">
        <v>43971</v>
      </c>
      <c r="Z187" s="174">
        <v>52.75</v>
      </c>
      <c r="AA187" s="26">
        <v>0</v>
      </c>
      <c r="AD187" s="100"/>
      <c r="AK187" s="139"/>
      <c r="AU187" s="139"/>
    </row>
    <row r="188" spans="2:47" x14ac:dyDescent="0.3">
      <c r="B188" s="139"/>
      <c r="F188" s="100"/>
      <c r="I188" s="100"/>
      <c r="L188" s="100"/>
      <c r="O188" s="100"/>
      <c r="R188" s="100"/>
      <c r="U188" s="100"/>
      <c r="Y188" s="173">
        <v>44440</v>
      </c>
      <c r="Z188" s="174">
        <v>52.87</v>
      </c>
      <c r="AA188" s="26">
        <v>0</v>
      </c>
      <c r="AD188" s="100"/>
      <c r="AK188" s="139"/>
      <c r="AU188" s="139"/>
    </row>
    <row r="189" spans="2:47" x14ac:dyDescent="0.3">
      <c r="B189" s="139"/>
      <c r="F189" s="100"/>
      <c r="I189" s="100"/>
      <c r="L189" s="100"/>
      <c r="O189" s="100"/>
      <c r="R189" s="100"/>
      <c r="U189" s="100"/>
      <c r="Y189" s="173">
        <v>44600</v>
      </c>
      <c r="Z189" s="174">
        <v>54.75</v>
      </c>
      <c r="AA189" s="26">
        <v>0</v>
      </c>
      <c r="AD189" s="100"/>
      <c r="AK189" s="139"/>
      <c r="AU189" s="139"/>
    </row>
    <row r="190" spans="2:47" x14ac:dyDescent="0.3">
      <c r="B190" s="139"/>
      <c r="F190" s="100"/>
      <c r="I190" s="100"/>
      <c r="L190" s="100"/>
      <c r="O190" s="100"/>
      <c r="R190" s="100"/>
      <c r="U190" s="100"/>
      <c r="Y190" s="173">
        <v>44785</v>
      </c>
      <c r="Z190" s="174">
        <v>54.87</v>
      </c>
      <c r="AA190" s="26">
        <v>0</v>
      </c>
      <c r="AD190" s="100"/>
      <c r="AK190" s="139"/>
      <c r="AU190" s="139"/>
    </row>
    <row r="191" spans="2:47" x14ac:dyDescent="0.3">
      <c r="B191" s="139"/>
      <c r="F191" s="100"/>
      <c r="I191" s="100"/>
      <c r="L191" s="100"/>
      <c r="O191" s="100"/>
      <c r="R191" s="100"/>
      <c r="U191" s="100"/>
      <c r="Y191" s="173">
        <v>44845</v>
      </c>
      <c r="Z191" s="174">
        <v>56.76</v>
      </c>
      <c r="AA191" s="26">
        <v>0</v>
      </c>
      <c r="AD191" s="100"/>
      <c r="AK191" s="139"/>
      <c r="AU191" s="139"/>
    </row>
    <row r="192" spans="2:47" x14ac:dyDescent="0.3">
      <c r="B192" s="139"/>
      <c r="F192" s="100"/>
      <c r="I192" s="100"/>
      <c r="L192" s="100"/>
      <c r="O192" s="100"/>
      <c r="R192" s="100"/>
      <c r="U192" s="100"/>
      <c r="Y192" s="198">
        <v>44928</v>
      </c>
      <c r="Z192" s="199">
        <v>56.87</v>
      </c>
      <c r="AA192" s="26">
        <v>1</v>
      </c>
      <c r="AD192" s="100"/>
      <c r="AK192" s="139"/>
      <c r="AU192" s="139"/>
    </row>
    <row r="193" spans="2:47" x14ac:dyDescent="0.3">
      <c r="B193" s="139"/>
      <c r="F193" s="100"/>
      <c r="I193" s="100"/>
      <c r="L193" s="100"/>
      <c r="O193" s="100"/>
      <c r="R193" s="100"/>
      <c r="U193" s="100"/>
      <c r="Y193" s="198">
        <v>45155</v>
      </c>
      <c r="Z193" s="199">
        <v>57.05</v>
      </c>
      <c r="AA193" s="26">
        <v>1</v>
      </c>
      <c r="AD193" s="100"/>
      <c r="AK193" s="139"/>
      <c r="AU193" s="139"/>
    </row>
    <row r="194" spans="2:47" x14ac:dyDescent="0.3">
      <c r="B194" s="139"/>
      <c r="F194" s="100"/>
      <c r="I194" s="100"/>
      <c r="L194" s="100"/>
      <c r="O194" s="100"/>
      <c r="R194" s="100"/>
      <c r="U194" s="100"/>
      <c r="Y194" s="200">
        <v>45281</v>
      </c>
      <c r="Z194" s="201">
        <f>_xlfn.FORECAST.LINEAR(Y194,Z188:Z193,Y188:Y193)</f>
        <v>58.471528689645282</v>
      </c>
      <c r="AA194" s="26">
        <v>0</v>
      </c>
      <c r="AD194" s="100"/>
      <c r="AK194" s="139"/>
      <c r="AU194" s="139"/>
    </row>
    <row r="195" spans="2:47" x14ac:dyDescent="0.3">
      <c r="B195" s="139"/>
      <c r="F195" s="100"/>
      <c r="I195" s="100"/>
      <c r="L195" s="100"/>
      <c r="O195" s="100"/>
      <c r="R195" s="100"/>
      <c r="U195" s="100"/>
      <c r="Y195" s="200">
        <v>45356</v>
      </c>
      <c r="Z195" s="201">
        <f>_xlfn.FORECAST.LINEAR(Y195,Z189:Z194,Y189:Y194)</f>
        <v>58.651872029725979</v>
      </c>
      <c r="AA195" s="26">
        <v>0</v>
      </c>
      <c r="AD195" s="100"/>
      <c r="AK195" s="139"/>
      <c r="AU195" s="139"/>
    </row>
    <row r="196" spans="2:47" x14ac:dyDescent="0.3">
      <c r="B196" s="139"/>
      <c r="F196" s="100"/>
      <c r="I196" s="100"/>
      <c r="L196" s="100"/>
      <c r="O196" s="100"/>
      <c r="R196" s="100"/>
      <c r="U196" s="100"/>
      <c r="Y196" s="198">
        <v>45501</v>
      </c>
      <c r="Z196" s="199">
        <v>57.5</v>
      </c>
      <c r="AA196" s="26">
        <v>1</v>
      </c>
      <c r="AD196" s="100"/>
      <c r="AK196" s="139"/>
      <c r="AU196" s="139"/>
    </row>
    <row r="197" spans="2:47" x14ac:dyDescent="0.3">
      <c r="B197" s="139"/>
      <c r="F197" s="100"/>
      <c r="I197" s="100"/>
      <c r="L197" s="100"/>
      <c r="O197" s="100"/>
      <c r="R197" s="100"/>
      <c r="U197" s="100"/>
      <c r="Y197" s="198" t="s">
        <v>22</v>
      </c>
      <c r="Z197" s="199">
        <v>58.15</v>
      </c>
      <c r="AA197" s="26">
        <v>1</v>
      </c>
      <c r="AD197" s="100"/>
      <c r="AK197" s="139"/>
      <c r="AU197" s="139"/>
    </row>
    <row r="198" spans="2:47" x14ac:dyDescent="0.3">
      <c r="B198" s="139"/>
      <c r="F198" s="100"/>
      <c r="I198" s="100"/>
      <c r="L198" s="100"/>
      <c r="O198" s="100"/>
      <c r="R198" s="100"/>
      <c r="U198" s="100"/>
      <c r="Y198" s="202">
        <v>45595</v>
      </c>
      <c r="Z198" s="174">
        <v>58.32</v>
      </c>
      <c r="AA198" s="26">
        <v>0</v>
      </c>
      <c r="AD198" s="100"/>
      <c r="AK198" s="139"/>
      <c r="AU198" s="139"/>
    </row>
    <row r="199" spans="2:47" x14ac:dyDescent="0.3">
      <c r="B199" s="139"/>
      <c r="F199" s="100"/>
      <c r="I199" s="100"/>
      <c r="L199" s="100"/>
      <c r="O199" s="100"/>
      <c r="R199" s="100"/>
      <c r="U199" s="100"/>
      <c r="Y199" s="198">
        <v>45627</v>
      </c>
      <c r="Z199" s="110">
        <v>59.45</v>
      </c>
      <c r="AA199" s="26">
        <v>1</v>
      </c>
      <c r="AD199" s="100"/>
      <c r="AK199" s="139"/>
      <c r="AU199" s="139"/>
    </row>
    <row r="200" spans="2:47" x14ac:dyDescent="0.3">
      <c r="B200" s="139"/>
      <c r="F200" s="100"/>
      <c r="I200" s="100"/>
      <c r="L200" s="100"/>
      <c r="O200" s="100"/>
      <c r="R200" s="100"/>
      <c r="U200" s="100"/>
      <c r="Y200" s="200">
        <v>45691</v>
      </c>
      <c r="Z200" s="203">
        <v>59.12</v>
      </c>
      <c r="AA200" s="26">
        <v>0</v>
      </c>
      <c r="AD200" s="100"/>
      <c r="AK200" s="139"/>
      <c r="AU200" s="139"/>
    </row>
    <row r="201" spans="2:47" x14ac:dyDescent="0.3">
      <c r="B201" s="139"/>
      <c r="F201" s="100"/>
      <c r="I201" s="100"/>
      <c r="L201" s="100"/>
      <c r="O201" s="100"/>
      <c r="R201" s="100"/>
      <c r="U201" s="100"/>
      <c r="Y201" s="198">
        <v>45895</v>
      </c>
      <c r="Z201" s="110">
        <v>59.58</v>
      </c>
      <c r="AA201" s="26">
        <v>1</v>
      </c>
      <c r="AD201" s="100"/>
      <c r="AK201" s="139"/>
      <c r="AU201" s="139"/>
    </row>
  </sheetData>
  <mergeCells count="17">
    <mergeCell ref="AK1:AM1"/>
    <mergeCell ref="AN1:AP1"/>
    <mergeCell ref="AQ1:AS1"/>
    <mergeCell ref="AT1:AV1"/>
    <mergeCell ref="AW1:AY1"/>
    <mergeCell ref="AH1:AJ1"/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Segundo Cohen Manrique</dc:creator>
  <cp:lastModifiedBy>Carlos Segundo Cohen Manrique</cp:lastModifiedBy>
  <dcterms:created xsi:type="dcterms:W3CDTF">2026-02-13T04:13:32Z</dcterms:created>
  <dcterms:modified xsi:type="dcterms:W3CDTF">2026-07-20T17:29:51Z</dcterms:modified>
</cp:coreProperties>
</file>
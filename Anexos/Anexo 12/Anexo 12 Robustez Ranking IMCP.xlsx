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Anexos Tesis Phd\Anexo 12\"/>
    </mc:Choice>
  </mc:AlternateContent>
  <xr:revisionPtr revIDLastSave="0" documentId="13_ncr:1_{5996C1BB-7B7C-49F1-BEE0-22FF604832A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Portada" sheetId="1" r:id="rId1"/>
    <sheet name="Ranking y consenso" sheetId="2" r:id="rId2"/>
    <sheet name="Correlaciones" sheetId="3" r:id="rId3"/>
    <sheet name="Métricas pareadas" sheetId="4" r:id="rId4"/>
    <sheet name="Extremos y estabilidad" sheetId="5" r:id="rId5"/>
    <sheet name="Diferencias de ranking" sheetId="6" r:id="rId6"/>
    <sheet name="Conclusiones" sheetId="8" r:id="rId7"/>
  </sheets>
  <calcPr calcId="0"/>
</workbook>
</file>

<file path=xl/sharedStrings.xml><?xml version="1.0" encoding="utf-8"?>
<sst xmlns="http://schemas.openxmlformats.org/spreadsheetml/2006/main" count="170" uniqueCount="83">
  <si>
    <t>ANEXO 12. ROBUSTEZ DEL RANKING DEL ÍNDICE MULTICRITERIO DE CRITICIDAD DE POZOS (IMCP)</t>
  </si>
  <si>
    <t>Comparación de escenarios de ponderación: balanceado, magnitud dominante y tasa dominante</t>
  </si>
  <si>
    <t>Objetivo</t>
  </si>
  <si>
    <t>Evaluar la estabilidad de la jerarquización de 17 pozos ante cambios en el esquema de ponderación del IMCP.</t>
  </si>
  <si>
    <t>Escenarios</t>
  </si>
  <si>
    <t>Balanceado; magnitud dominante; tasa dominante.</t>
  </si>
  <si>
    <t>Pruebas</t>
  </si>
  <si>
    <t>Spearman, Kendall, Pearson, coeficiente de concordancia de Kendall W, diferencias absolutas de posición y estabilidad de Top/Bottom.</t>
  </si>
  <si>
    <t>Resultado central</t>
  </si>
  <si>
    <t>ρ de Spearman = 0.9902 entre el escenario balanceado y los otros dos; ρ = 1.000 entre magnitud y tasa. Kendall W = 0.9956.</t>
  </si>
  <si>
    <t>Interpretación</t>
  </si>
  <si>
    <t>La jerarquización es prácticamente invariante; los cambios observados se limitan a intercambios de una posición.</t>
  </si>
  <si>
    <t>Pozo</t>
  </si>
  <si>
    <t>Balanceado</t>
  </si>
  <si>
    <t>Magnitud</t>
  </si>
  <si>
    <t>Tasa</t>
  </si>
  <si>
    <t>Promedio</t>
  </si>
  <si>
    <t>Mediana</t>
  </si>
  <si>
    <t>Rango posiciones</t>
  </si>
  <si>
    <t>DE posiciones</t>
  </si>
  <si>
    <t>Ranking consenso</t>
  </si>
  <si>
    <t>Estabilidad</t>
  </si>
  <si>
    <t>Frec. Top3</t>
  </si>
  <si>
    <t>Frec. Bottom3</t>
  </si>
  <si>
    <t>Frec. Top5</t>
  </si>
  <si>
    <t>Frec. Bottom5</t>
  </si>
  <si>
    <t>Sampues</t>
  </si>
  <si>
    <t>Invariable</t>
  </si>
  <si>
    <t>Finca_Socorro</t>
  </si>
  <si>
    <t>Ovejas</t>
  </si>
  <si>
    <t>Los_Palmitos</t>
  </si>
  <si>
    <t>Muy alta</t>
  </si>
  <si>
    <t>Morroa_A</t>
  </si>
  <si>
    <t>Bremen_B</t>
  </si>
  <si>
    <t>LasTinas_A</t>
  </si>
  <si>
    <t>LasTinas_B</t>
  </si>
  <si>
    <t>Arroyo_A</t>
  </si>
  <si>
    <t>Arroyo_B</t>
  </si>
  <si>
    <t>Sabanas_PZ02</t>
  </si>
  <si>
    <t>Sabanas_PZ04</t>
  </si>
  <si>
    <t>Basurero</t>
  </si>
  <si>
    <t>Corozal_PO14</t>
  </si>
  <si>
    <t>Corozal_PZ20</t>
  </si>
  <si>
    <t>Corozal_PZ22</t>
  </si>
  <si>
    <t>Cantagallo</t>
  </si>
  <si>
    <t>CONCORDANCIA ENTRE ESCENARIOS</t>
  </si>
  <si>
    <t>Spearman</t>
  </si>
  <si>
    <t>Kendall W = 0.9956
χ² = 47.7908
p = 0.000051
Interpretación: concordancia global prácticamente total.</t>
  </si>
  <si>
    <t>Escenario</t>
  </si>
  <si>
    <t>Kendall</t>
  </si>
  <si>
    <t>Pearson</t>
  </si>
  <si>
    <t>Escenario_A</t>
  </si>
  <si>
    <t>Escenario_B</t>
  </si>
  <si>
    <t>Spearman_rho</t>
  </si>
  <si>
    <t>p_Spearman</t>
  </si>
  <si>
    <t>Kendall_tau</t>
  </si>
  <si>
    <t>p_Kendall</t>
  </si>
  <si>
    <t>Pearson_r</t>
  </si>
  <si>
    <t>p_Pearson</t>
  </si>
  <si>
    <t>MAE_ranking</t>
  </si>
  <si>
    <t>RMSE_ranking</t>
  </si>
  <si>
    <t>Máx_diferencia</t>
  </si>
  <si>
    <t>Sesgo_medio</t>
  </si>
  <si>
    <t>Los escenarios magnitud dominante y tasa dominante generan exactamente el mismo ranking. Frente al escenario balanceado, las discrepancias se restringen a seis intercambios de una sola posición; por ello el error absoluto medio es bajo y la diferencia máxima es igual a 1.</t>
  </si>
  <si>
    <t>Ranking_promedio</t>
  </si>
  <si>
    <t>Rango_posiciones</t>
  </si>
  <si>
    <t>Similitud de conjuntos Top/Bottom 5</t>
  </si>
  <si>
    <t>Jaccard_Top5</t>
  </si>
  <si>
    <t>Jaccard_Bottom5</t>
  </si>
  <si>
    <t>Cinco posiciones de mayor sostenibilidad</t>
  </si>
  <si>
    <t>Ovejas permanece en la posición 1 en los tres escenarios. Los Palmitos y Morroa_A intercambian únicamente las posiciones 2 y 3. En el extremo inferior, Sabanas_PZ02 y Corozal_PO14 intercambian las posiciones 16 y 17, sin abandonar el grupo de mayor criticidad.</t>
  </si>
  <si>
    <t>Bal-Mag</t>
  </si>
  <si>
    <t>Bal-Tasa</t>
  </si>
  <si>
    <t>Mag-Tasa</t>
  </si>
  <si>
    <t>Resumen
• 11 de 17 pozos no cambian de posición.
• 6 de 17 cambian exactamente una posición.
• Ningún pozo cambia más de una posición.
• Magnitud y tasa producen rankings idénticos.</t>
  </si>
  <si>
    <t>CONCLUSIONES DEL ANEXO 12</t>
  </si>
  <si>
    <t>1. La jerarquización del IMCP es prácticamente invariante frente a los tres esquemas de ponderación evaluados.</t>
  </si>
  <si>
    <t>2. La correlación de Spearman entre el escenario balanceado y los escenarios dominantes es 0.9902; entre magnitud y tasa es 1.000.</t>
  </si>
  <si>
    <t>3. El coeficiente de concordancia global de Kendall es W = 0.9956, con significancia estadística.</t>
  </si>
  <si>
    <t>4. Once pozos conservan exactamente su posición y los seis restantes cambian únicamente una posición.</t>
  </si>
  <si>
    <t>5. Ovejas se mantiene como el pozo de mayor sostenibilidad; Los Palmitos y Morroa_A conforman de manera estable el siguiente nivel del ranking.</t>
  </si>
  <si>
    <t>6. Sabanas_PZ02 y Corozal_PO14 permanecen en las dos últimas posiciones, por lo que su identificación como focos prioritarios no depende del esquema de ponderación.</t>
  </si>
  <si>
    <t>7. La robustez del ranking respalda el uso del IMCP como herramienta de priorización, aunque no reemplaza la evaluación hidrogeológica específica de cada pozo.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</si>
</sst>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165" fontId="0" fillId="0" borderId="0" xfId="0" applyNumberFormat="1"/>
    <xf numFmtId="165" fontId="0" fillId="0" borderId="4" xfId="0" applyNumberFormat="1" applyBorder="1"/>
    <xf numFmtId="165" fontId="0" fillId="0" borderId="8" xfId="0" applyNumberFormat="1" applyBorder="1"/>
    <xf numFmtId="165" fontId="0" fillId="0" borderId="6" xfId="0" applyNumberFormat="1" applyBorder="1"/>
    <xf numFmtId="166" fontId="0" fillId="0" borderId="0" xfId="0" applyNumberFormat="1"/>
    <xf numFmtId="166" fontId="0" fillId="0" borderId="4" xfId="0" applyNumberFormat="1" applyBorder="1"/>
    <xf numFmtId="166" fontId="0" fillId="0" borderId="8" xfId="0" applyNumberFormat="1" applyBorder="1"/>
    <xf numFmtId="166" fontId="0" fillId="0" borderId="6" xfId="0" applyNumberFormat="1" applyBorder="1"/>
    <xf numFmtId="0" fontId="3" fillId="4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1" fontId="0" fillId="0" borderId="12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3" fillId="4" borderId="12" xfId="0" applyFont="1" applyFill="1" applyBorder="1" applyAlignment="1">
      <alignment vertical="center" wrapText="1"/>
    </xf>
    <xf numFmtId="1" fontId="0" fillId="0" borderId="12" xfId="0" applyNumberFormat="1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Comparación de posiciones por escenario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Balanceado</c:v>
          </c:tx>
          <c:cat>
            <c:strRef>
              <c:f>'Ranking y consenso'!$A$2:$A$18</c:f>
              <c:strCache>
                <c:ptCount val="17"/>
                <c:pt idx="0">
                  <c:v>Sampues</c:v>
                </c:pt>
                <c:pt idx="1">
                  <c:v>Finca_Socorro</c:v>
                </c:pt>
                <c:pt idx="2">
                  <c:v>Ovejas</c:v>
                </c:pt>
                <c:pt idx="3">
                  <c:v>Los_Palmitos</c:v>
                </c:pt>
                <c:pt idx="4">
                  <c:v>Morroa_A</c:v>
                </c:pt>
                <c:pt idx="5">
                  <c:v>Bremen_B</c:v>
                </c:pt>
                <c:pt idx="6">
                  <c:v>LasTinas_A</c:v>
                </c:pt>
                <c:pt idx="7">
                  <c:v>LasTinas_B</c:v>
                </c:pt>
                <c:pt idx="8">
                  <c:v>Arroyo_A</c:v>
                </c:pt>
                <c:pt idx="9">
                  <c:v>Arroyo_B</c:v>
                </c:pt>
                <c:pt idx="10">
                  <c:v>Sabanas_PZ02</c:v>
                </c:pt>
                <c:pt idx="11">
                  <c:v>Sabanas_PZ04</c:v>
                </c:pt>
                <c:pt idx="12">
                  <c:v>Basurero</c:v>
                </c:pt>
                <c:pt idx="13">
                  <c:v>Corozal_PO14</c:v>
                </c:pt>
                <c:pt idx="14">
                  <c:v>Corozal_PZ20</c:v>
                </c:pt>
                <c:pt idx="15">
                  <c:v>Corozal_PZ22</c:v>
                </c:pt>
                <c:pt idx="16">
                  <c:v>Cantagallo</c:v>
                </c:pt>
              </c:strCache>
            </c:strRef>
          </c:cat>
          <c:val>
            <c:numRef>
              <c:f>'Ranking y consenso'!$B$2:$B$18</c:f>
              <c:numCache>
                <c:formatCode>0</c:formatCode>
                <c:ptCount val="17"/>
                <c:pt idx="0">
                  <c:v>13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8</c:v>
                </c:pt>
                <c:pt idx="8">
                  <c:v>14</c:v>
                </c:pt>
                <c:pt idx="9">
                  <c:v>5</c:v>
                </c:pt>
                <c:pt idx="10">
                  <c:v>16</c:v>
                </c:pt>
                <c:pt idx="11">
                  <c:v>10</c:v>
                </c:pt>
                <c:pt idx="12">
                  <c:v>9</c:v>
                </c:pt>
                <c:pt idx="13">
                  <c:v>17</c:v>
                </c:pt>
                <c:pt idx="14">
                  <c:v>7</c:v>
                </c:pt>
                <c:pt idx="15">
                  <c:v>15</c:v>
                </c:pt>
                <c:pt idx="1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9-444D-B9D2-B0888FDCDD90}"/>
            </c:ext>
          </c:extLst>
        </c:ser>
        <c:ser>
          <c:idx val="1"/>
          <c:order val="1"/>
          <c:tx>
            <c:v>Magnitud</c:v>
          </c:tx>
          <c:cat>
            <c:strRef>
              <c:f>'Ranking y consenso'!$A$2:$A$18</c:f>
              <c:strCache>
                <c:ptCount val="17"/>
                <c:pt idx="0">
                  <c:v>Sampues</c:v>
                </c:pt>
                <c:pt idx="1">
                  <c:v>Finca_Socorro</c:v>
                </c:pt>
                <c:pt idx="2">
                  <c:v>Ovejas</c:v>
                </c:pt>
                <c:pt idx="3">
                  <c:v>Los_Palmitos</c:v>
                </c:pt>
                <c:pt idx="4">
                  <c:v>Morroa_A</c:v>
                </c:pt>
                <c:pt idx="5">
                  <c:v>Bremen_B</c:v>
                </c:pt>
                <c:pt idx="6">
                  <c:v>LasTinas_A</c:v>
                </c:pt>
                <c:pt idx="7">
                  <c:v>LasTinas_B</c:v>
                </c:pt>
                <c:pt idx="8">
                  <c:v>Arroyo_A</c:v>
                </c:pt>
                <c:pt idx="9">
                  <c:v>Arroyo_B</c:v>
                </c:pt>
                <c:pt idx="10">
                  <c:v>Sabanas_PZ02</c:v>
                </c:pt>
                <c:pt idx="11">
                  <c:v>Sabanas_PZ04</c:v>
                </c:pt>
                <c:pt idx="12">
                  <c:v>Basurero</c:v>
                </c:pt>
                <c:pt idx="13">
                  <c:v>Corozal_PO14</c:v>
                </c:pt>
                <c:pt idx="14">
                  <c:v>Corozal_PZ20</c:v>
                </c:pt>
                <c:pt idx="15">
                  <c:v>Corozal_PZ22</c:v>
                </c:pt>
                <c:pt idx="16">
                  <c:v>Cantagallo</c:v>
                </c:pt>
              </c:strCache>
            </c:strRef>
          </c:cat>
          <c:val>
            <c:numRef>
              <c:f>'Ranking y consenso'!$C$2:$C$18</c:f>
              <c:numCache>
                <c:formatCode>0</c:formatCode>
                <c:ptCount val="17"/>
                <c:pt idx="0">
                  <c:v>13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12</c:v>
                </c:pt>
                <c:pt idx="7">
                  <c:v>7</c:v>
                </c:pt>
                <c:pt idx="8">
                  <c:v>14</c:v>
                </c:pt>
                <c:pt idx="9">
                  <c:v>6</c:v>
                </c:pt>
                <c:pt idx="10">
                  <c:v>17</c:v>
                </c:pt>
                <c:pt idx="11">
                  <c:v>10</c:v>
                </c:pt>
                <c:pt idx="12">
                  <c:v>9</c:v>
                </c:pt>
                <c:pt idx="13">
                  <c:v>16</c:v>
                </c:pt>
                <c:pt idx="14">
                  <c:v>8</c:v>
                </c:pt>
                <c:pt idx="15">
                  <c:v>15</c:v>
                </c:pt>
                <c:pt idx="1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A9-444D-B9D2-B0888FDCDD90}"/>
            </c:ext>
          </c:extLst>
        </c:ser>
        <c:ser>
          <c:idx val="2"/>
          <c:order val="2"/>
          <c:tx>
            <c:v>Tasa</c:v>
          </c:tx>
          <c:cat>
            <c:strRef>
              <c:f>'Ranking y consenso'!$A$2:$A$18</c:f>
              <c:strCache>
                <c:ptCount val="17"/>
                <c:pt idx="0">
                  <c:v>Sampues</c:v>
                </c:pt>
                <c:pt idx="1">
                  <c:v>Finca_Socorro</c:v>
                </c:pt>
                <c:pt idx="2">
                  <c:v>Ovejas</c:v>
                </c:pt>
                <c:pt idx="3">
                  <c:v>Los_Palmitos</c:v>
                </c:pt>
                <c:pt idx="4">
                  <c:v>Morroa_A</c:v>
                </c:pt>
                <c:pt idx="5">
                  <c:v>Bremen_B</c:v>
                </c:pt>
                <c:pt idx="6">
                  <c:v>LasTinas_A</c:v>
                </c:pt>
                <c:pt idx="7">
                  <c:v>LasTinas_B</c:v>
                </c:pt>
                <c:pt idx="8">
                  <c:v>Arroyo_A</c:v>
                </c:pt>
                <c:pt idx="9">
                  <c:v>Arroyo_B</c:v>
                </c:pt>
                <c:pt idx="10">
                  <c:v>Sabanas_PZ02</c:v>
                </c:pt>
                <c:pt idx="11">
                  <c:v>Sabanas_PZ04</c:v>
                </c:pt>
                <c:pt idx="12">
                  <c:v>Basurero</c:v>
                </c:pt>
                <c:pt idx="13">
                  <c:v>Corozal_PO14</c:v>
                </c:pt>
                <c:pt idx="14">
                  <c:v>Corozal_PZ20</c:v>
                </c:pt>
                <c:pt idx="15">
                  <c:v>Corozal_PZ22</c:v>
                </c:pt>
                <c:pt idx="16">
                  <c:v>Cantagallo</c:v>
                </c:pt>
              </c:strCache>
            </c:strRef>
          </c:cat>
          <c:val>
            <c:numRef>
              <c:f>'Ranking y consenso'!$D$2:$D$18</c:f>
              <c:numCache>
                <c:formatCode>0</c:formatCode>
                <c:ptCount val="17"/>
                <c:pt idx="0">
                  <c:v>13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12</c:v>
                </c:pt>
                <c:pt idx="7">
                  <c:v>7</c:v>
                </c:pt>
                <c:pt idx="8">
                  <c:v>14</c:v>
                </c:pt>
                <c:pt idx="9">
                  <c:v>6</c:v>
                </c:pt>
                <c:pt idx="10">
                  <c:v>17</c:v>
                </c:pt>
                <c:pt idx="11">
                  <c:v>10</c:v>
                </c:pt>
                <c:pt idx="12">
                  <c:v>9</c:v>
                </c:pt>
                <c:pt idx="13">
                  <c:v>16</c:v>
                </c:pt>
                <c:pt idx="14">
                  <c:v>8</c:v>
                </c:pt>
                <c:pt idx="15">
                  <c:v>15</c:v>
                </c:pt>
                <c:pt idx="1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A9-444D-B9D2-B0888FDCD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12" sqref="B12"/>
    </sheetView>
  </sheetViews>
  <sheetFormatPr baseColWidth="10" defaultColWidth="8.796875" defaultRowHeight="13.8"/>
  <cols>
    <col min="1" max="1" width="24" customWidth="1"/>
    <col min="2" max="2" width="72" customWidth="1"/>
  </cols>
  <sheetData>
    <row r="1" spans="1:8">
      <c r="A1" s="33" t="s">
        <v>0</v>
      </c>
      <c r="B1" s="33"/>
      <c r="C1" s="33"/>
      <c r="D1" s="33"/>
      <c r="E1" s="33"/>
      <c r="F1" s="33"/>
      <c r="G1" s="33"/>
      <c r="H1" s="33"/>
    </row>
    <row r="2" spans="1:8">
      <c r="A2" s="33"/>
      <c r="B2" s="33"/>
      <c r="C2" s="33"/>
      <c r="D2" s="33"/>
      <c r="E2" s="33"/>
      <c r="F2" s="33"/>
      <c r="G2" s="33"/>
      <c r="H2" s="33"/>
    </row>
    <row r="4" spans="1:8">
      <c r="A4" s="34" t="s">
        <v>1</v>
      </c>
      <c r="B4" s="34"/>
      <c r="C4" s="34"/>
      <c r="D4" s="34"/>
      <c r="E4" s="34"/>
      <c r="F4" s="34"/>
      <c r="G4" s="34"/>
      <c r="H4" s="34"/>
    </row>
    <row r="6" spans="1:8" ht="27.6">
      <c r="A6" s="1" t="s">
        <v>2</v>
      </c>
      <c r="B6" s="4" t="s">
        <v>3</v>
      </c>
    </row>
    <row r="7" spans="1:8">
      <c r="A7" s="2" t="s">
        <v>4</v>
      </c>
      <c r="B7" s="5" t="s">
        <v>5</v>
      </c>
    </row>
    <row r="8" spans="1:8" ht="27.6">
      <c r="A8" s="2" t="s">
        <v>6</v>
      </c>
      <c r="B8" s="5" t="s">
        <v>7</v>
      </c>
    </row>
    <row r="9" spans="1:8" ht="27.6">
      <c r="A9" s="2" t="s">
        <v>8</v>
      </c>
      <c r="B9" s="5" t="s">
        <v>9</v>
      </c>
    </row>
    <row r="10" spans="1:8" ht="27.6">
      <c r="A10" s="3" t="s">
        <v>10</v>
      </c>
      <c r="B10" s="6" t="s">
        <v>11</v>
      </c>
    </row>
  </sheetData>
  <mergeCells count="2"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H26" sqref="H26"/>
    </sheetView>
  </sheetViews>
  <sheetFormatPr baseColWidth="10" defaultColWidth="8.796875" defaultRowHeight="13.8"/>
  <cols>
    <col min="1" max="1" width="25" customWidth="1"/>
    <col min="2" max="14" width="14" customWidth="1"/>
  </cols>
  <sheetData>
    <row r="1" spans="1:14" ht="27.6">
      <c r="A1" s="21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1" t="s">
        <v>24</v>
      </c>
      <c r="N1" s="21" t="s">
        <v>25</v>
      </c>
    </row>
    <row r="2" spans="1:14">
      <c r="A2" s="22" t="s">
        <v>26</v>
      </c>
      <c r="B2" s="23">
        <v>13</v>
      </c>
      <c r="C2" s="23">
        <v>13</v>
      </c>
      <c r="D2" s="23">
        <v>13</v>
      </c>
      <c r="E2" s="24">
        <v>13</v>
      </c>
      <c r="F2" s="24">
        <v>13</v>
      </c>
      <c r="G2" s="24">
        <v>0</v>
      </c>
      <c r="H2" s="24">
        <v>0</v>
      </c>
      <c r="I2" s="24">
        <v>13</v>
      </c>
      <c r="J2" s="24" t="s">
        <v>27</v>
      </c>
      <c r="K2" s="24">
        <v>0</v>
      </c>
      <c r="L2" s="24">
        <v>0</v>
      </c>
      <c r="M2" s="24">
        <v>0</v>
      </c>
      <c r="N2" s="24">
        <v>3</v>
      </c>
    </row>
    <row r="3" spans="1:14">
      <c r="A3" s="22" t="s">
        <v>28</v>
      </c>
      <c r="B3" s="23">
        <v>4</v>
      </c>
      <c r="C3" s="23">
        <v>4</v>
      </c>
      <c r="D3" s="23">
        <v>4</v>
      </c>
      <c r="E3" s="24">
        <v>4</v>
      </c>
      <c r="F3" s="24">
        <v>4</v>
      </c>
      <c r="G3" s="24">
        <v>0</v>
      </c>
      <c r="H3" s="24">
        <v>0</v>
      </c>
      <c r="I3" s="24">
        <v>4</v>
      </c>
      <c r="J3" s="24" t="s">
        <v>27</v>
      </c>
      <c r="K3" s="24">
        <v>0</v>
      </c>
      <c r="L3" s="24">
        <v>0</v>
      </c>
      <c r="M3" s="24">
        <v>3</v>
      </c>
      <c r="N3" s="24">
        <v>0</v>
      </c>
    </row>
    <row r="4" spans="1:14">
      <c r="A4" s="22" t="s">
        <v>29</v>
      </c>
      <c r="B4" s="23">
        <v>1</v>
      </c>
      <c r="C4" s="23">
        <v>1</v>
      </c>
      <c r="D4" s="23">
        <v>1</v>
      </c>
      <c r="E4" s="24">
        <v>1</v>
      </c>
      <c r="F4" s="24">
        <v>1</v>
      </c>
      <c r="G4" s="24">
        <v>0</v>
      </c>
      <c r="H4" s="24">
        <v>0</v>
      </c>
      <c r="I4" s="24">
        <v>1</v>
      </c>
      <c r="J4" s="24" t="s">
        <v>27</v>
      </c>
      <c r="K4" s="24">
        <v>3</v>
      </c>
      <c r="L4" s="24">
        <v>0</v>
      </c>
      <c r="M4" s="24">
        <v>3</v>
      </c>
      <c r="N4" s="24">
        <v>0</v>
      </c>
    </row>
    <row r="5" spans="1:14">
      <c r="A5" s="22" t="s">
        <v>30</v>
      </c>
      <c r="B5" s="23">
        <v>2</v>
      </c>
      <c r="C5" s="23">
        <v>3</v>
      </c>
      <c r="D5" s="23">
        <v>3</v>
      </c>
      <c r="E5" s="24">
        <v>2.6666666666666665</v>
      </c>
      <c r="F5" s="24">
        <v>3</v>
      </c>
      <c r="G5" s="24">
        <v>1</v>
      </c>
      <c r="H5" s="24">
        <v>0.47140452079103168</v>
      </c>
      <c r="I5" s="24">
        <v>3</v>
      </c>
      <c r="J5" s="24" t="s">
        <v>31</v>
      </c>
      <c r="K5" s="24">
        <v>3</v>
      </c>
      <c r="L5" s="24">
        <v>0</v>
      </c>
      <c r="M5" s="24">
        <v>3</v>
      </c>
      <c r="N5" s="24">
        <v>0</v>
      </c>
    </row>
    <row r="6" spans="1:14">
      <c r="A6" s="22" t="s">
        <v>32</v>
      </c>
      <c r="B6" s="23">
        <v>3</v>
      </c>
      <c r="C6" s="23">
        <v>2</v>
      </c>
      <c r="D6" s="23">
        <v>2</v>
      </c>
      <c r="E6" s="24">
        <v>2.3333333333333335</v>
      </c>
      <c r="F6" s="24">
        <v>2</v>
      </c>
      <c r="G6" s="24">
        <v>1</v>
      </c>
      <c r="H6" s="24">
        <v>0.47140452079103168</v>
      </c>
      <c r="I6" s="24">
        <v>2</v>
      </c>
      <c r="J6" s="24" t="s">
        <v>31</v>
      </c>
      <c r="K6" s="24">
        <v>3</v>
      </c>
      <c r="L6" s="24">
        <v>0</v>
      </c>
      <c r="M6" s="24">
        <v>3</v>
      </c>
      <c r="N6" s="24">
        <v>0</v>
      </c>
    </row>
    <row r="7" spans="1:14">
      <c r="A7" s="22" t="s">
        <v>33</v>
      </c>
      <c r="B7" s="23">
        <v>6</v>
      </c>
      <c r="C7" s="23">
        <v>5</v>
      </c>
      <c r="D7" s="23">
        <v>5</v>
      </c>
      <c r="E7" s="24">
        <v>5.333333333333333</v>
      </c>
      <c r="F7" s="24">
        <v>5</v>
      </c>
      <c r="G7" s="24">
        <v>1</v>
      </c>
      <c r="H7" s="24">
        <v>0.47140452079103168</v>
      </c>
      <c r="I7" s="24">
        <v>5</v>
      </c>
      <c r="J7" s="24" t="s">
        <v>31</v>
      </c>
      <c r="K7" s="24">
        <v>0</v>
      </c>
      <c r="L7" s="24">
        <v>0</v>
      </c>
      <c r="M7" s="24">
        <v>2</v>
      </c>
      <c r="N7" s="24">
        <v>0</v>
      </c>
    </row>
    <row r="8" spans="1:14">
      <c r="A8" s="22" t="s">
        <v>34</v>
      </c>
      <c r="B8" s="23">
        <v>12</v>
      </c>
      <c r="C8" s="23">
        <v>12</v>
      </c>
      <c r="D8" s="23">
        <v>12</v>
      </c>
      <c r="E8" s="24">
        <v>12</v>
      </c>
      <c r="F8" s="24">
        <v>12</v>
      </c>
      <c r="G8" s="24">
        <v>0</v>
      </c>
      <c r="H8" s="24">
        <v>0</v>
      </c>
      <c r="I8" s="24">
        <v>12</v>
      </c>
      <c r="J8" s="24" t="s">
        <v>27</v>
      </c>
      <c r="K8" s="24">
        <v>0</v>
      </c>
      <c r="L8" s="24">
        <v>0</v>
      </c>
      <c r="M8" s="24">
        <v>0</v>
      </c>
      <c r="N8" s="24">
        <v>0</v>
      </c>
    </row>
    <row r="9" spans="1:14">
      <c r="A9" s="22" t="s">
        <v>35</v>
      </c>
      <c r="B9" s="23">
        <v>8</v>
      </c>
      <c r="C9" s="23">
        <v>7</v>
      </c>
      <c r="D9" s="23">
        <v>7</v>
      </c>
      <c r="E9" s="24">
        <v>7.333333333333333</v>
      </c>
      <c r="F9" s="24">
        <v>7</v>
      </c>
      <c r="G9" s="24">
        <v>1</v>
      </c>
      <c r="H9" s="24">
        <v>0.47140452079103168</v>
      </c>
      <c r="I9" s="24">
        <v>7</v>
      </c>
      <c r="J9" s="24" t="s">
        <v>31</v>
      </c>
      <c r="K9" s="24">
        <v>0</v>
      </c>
      <c r="L9" s="24">
        <v>0</v>
      </c>
      <c r="M9" s="24">
        <v>0</v>
      </c>
      <c r="N9" s="24">
        <v>0</v>
      </c>
    </row>
    <row r="10" spans="1:14">
      <c r="A10" s="22" t="s">
        <v>36</v>
      </c>
      <c r="B10" s="23">
        <v>14</v>
      </c>
      <c r="C10" s="23">
        <v>14</v>
      </c>
      <c r="D10" s="23">
        <v>14</v>
      </c>
      <c r="E10" s="24">
        <v>14</v>
      </c>
      <c r="F10" s="24">
        <v>14</v>
      </c>
      <c r="G10" s="24">
        <v>0</v>
      </c>
      <c r="H10" s="24">
        <v>0</v>
      </c>
      <c r="I10" s="24">
        <v>14</v>
      </c>
      <c r="J10" s="24" t="s">
        <v>27</v>
      </c>
      <c r="K10" s="24">
        <v>0</v>
      </c>
      <c r="L10" s="24">
        <v>0</v>
      </c>
      <c r="M10" s="24">
        <v>0</v>
      </c>
      <c r="N10" s="24">
        <v>3</v>
      </c>
    </row>
    <row r="11" spans="1:14">
      <c r="A11" s="22" t="s">
        <v>37</v>
      </c>
      <c r="B11" s="23">
        <v>5</v>
      </c>
      <c r="C11" s="23">
        <v>6</v>
      </c>
      <c r="D11" s="23">
        <v>6</v>
      </c>
      <c r="E11" s="24">
        <v>5.666666666666667</v>
      </c>
      <c r="F11" s="24">
        <v>6</v>
      </c>
      <c r="G11" s="24">
        <v>1</v>
      </c>
      <c r="H11" s="24">
        <v>0.47140452079103168</v>
      </c>
      <c r="I11" s="24">
        <v>6</v>
      </c>
      <c r="J11" s="24" t="s">
        <v>31</v>
      </c>
      <c r="K11" s="24">
        <v>0</v>
      </c>
      <c r="L11" s="24">
        <v>0</v>
      </c>
      <c r="M11" s="24">
        <v>1</v>
      </c>
      <c r="N11" s="24">
        <v>0</v>
      </c>
    </row>
    <row r="12" spans="1:14">
      <c r="A12" s="22" t="s">
        <v>38</v>
      </c>
      <c r="B12" s="23">
        <v>16</v>
      </c>
      <c r="C12" s="23">
        <v>17</v>
      </c>
      <c r="D12" s="23">
        <v>17</v>
      </c>
      <c r="E12" s="24">
        <v>16.666666666666668</v>
      </c>
      <c r="F12" s="24">
        <v>17</v>
      </c>
      <c r="G12" s="24">
        <v>1</v>
      </c>
      <c r="H12" s="24">
        <v>0.47140452079103168</v>
      </c>
      <c r="I12" s="24">
        <v>17</v>
      </c>
      <c r="J12" s="24" t="s">
        <v>31</v>
      </c>
      <c r="K12" s="24">
        <v>0</v>
      </c>
      <c r="L12" s="24">
        <v>3</v>
      </c>
      <c r="M12" s="24">
        <v>0</v>
      </c>
      <c r="N12" s="24">
        <v>3</v>
      </c>
    </row>
    <row r="13" spans="1:14">
      <c r="A13" s="22" t="s">
        <v>39</v>
      </c>
      <c r="B13" s="23">
        <v>10</v>
      </c>
      <c r="C13" s="23">
        <v>10</v>
      </c>
      <c r="D13" s="23">
        <v>10</v>
      </c>
      <c r="E13" s="24">
        <v>10</v>
      </c>
      <c r="F13" s="24">
        <v>10</v>
      </c>
      <c r="G13" s="24">
        <v>0</v>
      </c>
      <c r="H13" s="24">
        <v>0</v>
      </c>
      <c r="I13" s="24">
        <v>10</v>
      </c>
      <c r="J13" s="24" t="s">
        <v>27</v>
      </c>
      <c r="K13" s="24">
        <v>0</v>
      </c>
      <c r="L13" s="24">
        <v>0</v>
      </c>
      <c r="M13" s="24">
        <v>0</v>
      </c>
      <c r="N13" s="24">
        <v>0</v>
      </c>
    </row>
    <row r="14" spans="1:14">
      <c r="A14" s="22" t="s">
        <v>40</v>
      </c>
      <c r="B14" s="23">
        <v>9</v>
      </c>
      <c r="C14" s="23">
        <v>9</v>
      </c>
      <c r="D14" s="23">
        <v>9</v>
      </c>
      <c r="E14" s="24">
        <v>9</v>
      </c>
      <c r="F14" s="24">
        <v>9</v>
      </c>
      <c r="G14" s="24">
        <v>0</v>
      </c>
      <c r="H14" s="24">
        <v>0</v>
      </c>
      <c r="I14" s="24">
        <v>9</v>
      </c>
      <c r="J14" s="24" t="s">
        <v>27</v>
      </c>
      <c r="K14" s="24">
        <v>0</v>
      </c>
      <c r="L14" s="24">
        <v>0</v>
      </c>
      <c r="M14" s="24">
        <v>0</v>
      </c>
      <c r="N14" s="24">
        <v>0</v>
      </c>
    </row>
    <row r="15" spans="1:14">
      <c r="A15" s="22" t="s">
        <v>41</v>
      </c>
      <c r="B15" s="23">
        <v>17</v>
      </c>
      <c r="C15" s="23">
        <v>16</v>
      </c>
      <c r="D15" s="23">
        <v>16</v>
      </c>
      <c r="E15" s="24">
        <v>16.333333333333332</v>
      </c>
      <c r="F15" s="24">
        <v>16</v>
      </c>
      <c r="G15" s="24">
        <v>1</v>
      </c>
      <c r="H15" s="24">
        <v>0.47140452079103168</v>
      </c>
      <c r="I15" s="24">
        <v>16</v>
      </c>
      <c r="J15" s="24" t="s">
        <v>31</v>
      </c>
      <c r="K15" s="24">
        <v>0</v>
      </c>
      <c r="L15" s="24">
        <v>3</v>
      </c>
      <c r="M15" s="24">
        <v>0</v>
      </c>
      <c r="N15" s="24">
        <v>3</v>
      </c>
    </row>
    <row r="16" spans="1:14">
      <c r="A16" s="22" t="s">
        <v>42</v>
      </c>
      <c r="B16" s="23">
        <v>7</v>
      </c>
      <c r="C16" s="23">
        <v>8</v>
      </c>
      <c r="D16" s="23">
        <v>8</v>
      </c>
      <c r="E16" s="24">
        <v>7.666666666666667</v>
      </c>
      <c r="F16" s="24">
        <v>8</v>
      </c>
      <c r="G16" s="24">
        <v>1</v>
      </c>
      <c r="H16" s="24">
        <v>0.47140452079103168</v>
      </c>
      <c r="I16" s="24">
        <v>8</v>
      </c>
      <c r="J16" s="24" t="s">
        <v>31</v>
      </c>
      <c r="K16" s="24">
        <v>0</v>
      </c>
      <c r="L16" s="24">
        <v>0</v>
      </c>
      <c r="M16" s="24">
        <v>0</v>
      </c>
      <c r="N16" s="24">
        <v>0</v>
      </c>
    </row>
    <row r="17" spans="1:14">
      <c r="A17" s="22" t="s">
        <v>43</v>
      </c>
      <c r="B17" s="23">
        <v>15</v>
      </c>
      <c r="C17" s="23">
        <v>15</v>
      </c>
      <c r="D17" s="23">
        <v>15</v>
      </c>
      <c r="E17" s="24">
        <v>15</v>
      </c>
      <c r="F17" s="24">
        <v>15</v>
      </c>
      <c r="G17" s="24">
        <v>0</v>
      </c>
      <c r="H17" s="24">
        <v>0</v>
      </c>
      <c r="I17" s="24">
        <v>15</v>
      </c>
      <c r="J17" s="24" t="s">
        <v>27</v>
      </c>
      <c r="K17" s="24">
        <v>0</v>
      </c>
      <c r="L17" s="24">
        <v>3</v>
      </c>
      <c r="M17" s="24">
        <v>0</v>
      </c>
      <c r="N17" s="24">
        <v>3</v>
      </c>
    </row>
    <row r="18" spans="1:14">
      <c r="A18" s="22" t="s">
        <v>44</v>
      </c>
      <c r="B18" s="23">
        <v>11</v>
      </c>
      <c r="C18" s="23">
        <v>11</v>
      </c>
      <c r="D18" s="23">
        <v>11</v>
      </c>
      <c r="E18" s="24">
        <v>11</v>
      </c>
      <c r="F18" s="24">
        <v>11</v>
      </c>
      <c r="G18" s="24">
        <v>0</v>
      </c>
      <c r="H18" s="24">
        <v>0</v>
      </c>
      <c r="I18" s="24">
        <v>11</v>
      </c>
      <c r="J18" s="24" t="s">
        <v>27</v>
      </c>
      <c r="K18" s="24">
        <v>0</v>
      </c>
      <c r="L18" s="24">
        <v>0</v>
      </c>
      <c r="M18" s="24">
        <v>0</v>
      </c>
      <c r="N18" s="24">
        <v>0</v>
      </c>
    </row>
  </sheetData>
  <conditionalFormatting sqref="G2:G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D31" sqref="D31"/>
    </sheetView>
  </sheetViews>
  <sheetFormatPr baseColWidth="10" defaultColWidth="8.796875" defaultRowHeight="13.8"/>
  <cols>
    <col min="1" max="8" width="16" customWidth="1"/>
  </cols>
  <sheetData>
    <row r="1" spans="1:8">
      <c r="A1" s="33" t="s">
        <v>45</v>
      </c>
      <c r="B1" s="33"/>
      <c r="C1" s="33"/>
      <c r="D1" s="33"/>
      <c r="E1" s="33"/>
      <c r="F1" s="33"/>
      <c r="G1" s="33"/>
      <c r="H1" s="33"/>
    </row>
    <row r="2" spans="1:8">
      <c r="A2" s="33"/>
      <c r="B2" s="33"/>
      <c r="C2" s="33"/>
      <c r="D2" s="33"/>
      <c r="E2" s="33"/>
      <c r="F2" s="33"/>
      <c r="G2" s="33"/>
      <c r="H2" s="33"/>
    </row>
    <row r="4" spans="1:8">
      <c r="A4" s="34" t="s">
        <v>46</v>
      </c>
      <c r="B4" s="34"/>
      <c r="C4" s="34"/>
      <c r="D4" s="34"/>
      <c r="F4" s="35" t="s">
        <v>47</v>
      </c>
      <c r="G4" s="35"/>
      <c r="H4" s="35"/>
    </row>
    <row r="5" spans="1:8">
      <c r="A5" s="7" t="s">
        <v>48</v>
      </c>
      <c r="B5" s="8" t="s">
        <v>13</v>
      </c>
      <c r="C5" s="8" t="s">
        <v>14</v>
      </c>
      <c r="D5" s="9" t="s">
        <v>15</v>
      </c>
      <c r="F5" s="35"/>
      <c r="G5" s="35"/>
      <c r="H5" s="35"/>
    </row>
    <row r="6" spans="1:8">
      <c r="A6" s="10" t="s">
        <v>13</v>
      </c>
      <c r="B6" s="13">
        <v>1</v>
      </c>
      <c r="C6" s="13">
        <v>0.99019607843137258</v>
      </c>
      <c r="D6" s="14">
        <v>0.99019607843137258</v>
      </c>
      <c r="F6" s="35"/>
      <c r="G6" s="35"/>
      <c r="H6" s="35"/>
    </row>
    <row r="7" spans="1:8">
      <c r="A7" s="10" t="s">
        <v>14</v>
      </c>
      <c r="B7" s="13">
        <v>0.99019607843137258</v>
      </c>
      <c r="C7" s="13">
        <v>1</v>
      </c>
      <c r="D7" s="14">
        <v>1</v>
      </c>
      <c r="F7" s="35"/>
      <c r="G7" s="35"/>
      <c r="H7" s="35"/>
    </row>
    <row r="8" spans="1:8">
      <c r="A8" s="11" t="s">
        <v>15</v>
      </c>
      <c r="B8" s="15">
        <v>0.99019607843137258</v>
      </c>
      <c r="C8" s="15">
        <v>1</v>
      </c>
      <c r="D8" s="16">
        <v>1</v>
      </c>
      <c r="F8" s="35"/>
      <c r="G8" s="35"/>
      <c r="H8" s="35"/>
    </row>
    <row r="10" spans="1:8">
      <c r="A10" s="34" t="s">
        <v>49</v>
      </c>
      <c r="B10" s="34"/>
      <c r="C10" s="34"/>
      <c r="D10" s="34"/>
    </row>
    <row r="11" spans="1:8">
      <c r="A11" s="7" t="s">
        <v>48</v>
      </c>
      <c r="B11" s="8" t="s">
        <v>13</v>
      </c>
      <c r="C11" s="8" t="s">
        <v>14</v>
      </c>
      <c r="D11" s="9" t="s">
        <v>15</v>
      </c>
    </row>
    <row r="12" spans="1:8">
      <c r="A12" s="10" t="s">
        <v>13</v>
      </c>
      <c r="B12" s="13">
        <v>1</v>
      </c>
      <c r="C12" s="13">
        <v>0.94117647058823517</v>
      </c>
      <c r="D12" s="14">
        <v>0.94117647058823517</v>
      </c>
    </row>
    <row r="13" spans="1:8">
      <c r="A13" s="10" t="s">
        <v>14</v>
      </c>
      <c r="B13" s="13">
        <v>0.94117647058823517</v>
      </c>
      <c r="C13" s="13">
        <v>1</v>
      </c>
      <c r="D13" s="14">
        <v>0.99999999999999989</v>
      </c>
    </row>
    <row r="14" spans="1:8">
      <c r="A14" s="11" t="s">
        <v>15</v>
      </c>
      <c r="B14" s="15">
        <v>0.94117647058823517</v>
      </c>
      <c r="C14" s="15">
        <v>0.99999999999999989</v>
      </c>
      <c r="D14" s="16">
        <v>1</v>
      </c>
    </row>
    <row r="16" spans="1:8">
      <c r="A16" s="34" t="s">
        <v>50</v>
      </c>
      <c r="B16" s="34"/>
      <c r="C16" s="34"/>
      <c r="D16" s="34"/>
    </row>
    <row r="17" spans="1:4">
      <c r="A17" s="7" t="s">
        <v>48</v>
      </c>
      <c r="B17" s="8" t="s">
        <v>13</v>
      </c>
      <c r="C17" s="8" t="s">
        <v>14</v>
      </c>
      <c r="D17" s="9" t="s">
        <v>15</v>
      </c>
    </row>
    <row r="18" spans="1:4">
      <c r="A18" s="10" t="s">
        <v>13</v>
      </c>
      <c r="B18" s="13">
        <v>1</v>
      </c>
      <c r="C18" s="13">
        <v>0.99019607843137258</v>
      </c>
      <c r="D18" s="14">
        <v>0.99019607843137258</v>
      </c>
    </row>
    <row r="19" spans="1:4">
      <c r="A19" s="10" t="s">
        <v>14</v>
      </c>
      <c r="B19" s="13">
        <v>0.99019607843137258</v>
      </c>
      <c r="C19" s="13">
        <v>1</v>
      </c>
      <c r="D19" s="14">
        <v>1</v>
      </c>
    </row>
    <row r="20" spans="1:4">
      <c r="A20" s="11" t="s">
        <v>15</v>
      </c>
      <c r="B20" s="15">
        <v>0.99019607843137258</v>
      </c>
      <c r="C20" s="15">
        <v>1</v>
      </c>
      <c r="D20" s="16">
        <v>1</v>
      </c>
    </row>
  </sheetData>
  <mergeCells count="5">
    <mergeCell ref="A1:H2"/>
    <mergeCell ref="A4:D4"/>
    <mergeCell ref="A10:D10"/>
    <mergeCell ref="A16:D16"/>
    <mergeCell ref="F4:H8"/>
  </mergeCells>
  <conditionalFormatting sqref="B6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D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D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796875" defaultRowHeight="13.8"/>
  <cols>
    <col min="1" max="2" width="20" customWidth="1"/>
    <col min="3" max="12" width="16" customWidth="1"/>
  </cols>
  <sheetData>
    <row r="1" spans="1:12">
      <c r="A1" s="7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8" t="s">
        <v>59</v>
      </c>
      <c r="J1" s="8" t="s">
        <v>60</v>
      </c>
      <c r="K1" s="8" t="s">
        <v>61</v>
      </c>
      <c r="L1" s="9" t="s">
        <v>62</v>
      </c>
    </row>
    <row r="2" spans="1:12">
      <c r="A2" s="10" t="s">
        <v>13</v>
      </c>
      <c r="B2" t="s">
        <v>14</v>
      </c>
      <c r="C2" s="17">
        <v>0.99019607843137269</v>
      </c>
      <c r="D2" s="17">
        <v>3.0736254504553229E-14</v>
      </c>
      <c r="E2" s="17">
        <v>0.94117647058823517</v>
      </c>
      <c r="F2" s="17">
        <v>2.628150241362193E-11</v>
      </c>
      <c r="G2" s="17">
        <v>0.99019607843137258</v>
      </c>
      <c r="H2" s="17">
        <v>3.0736254504555911E-14</v>
      </c>
      <c r="I2" s="17">
        <v>0.47058823529411764</v>
      </c>
      <c r="J2" s="17">
        <v>0.68599434057003539</v>
      </c>
      <c r="K2" s="17">
        <v>1</v>
      </c>
      <c r="L2" s="18">
        <v>0</v>
      </c>
    </row>
    <row r="3" spans="1:12">
      <c r="A3" s="10" t="s">
        <v>13</v>
      </c>
      <c r="B3" t="s">
        <v>15</v>
      </c>
      <c r="C3" s="17">
        <v>0.99019607843137269</v>
      </c>
      <c r="D3" s="17">
        <v>3.0736254504553229E-14</v>
      </c>
      <c r="E3" s="17">
        <v>0.94117647058823517</v>
      </c>
      <c r="F3" s="17">
        <v>2.628150241362193E-11</v>
      </c>
      <c r="G3" s="17">
        <v>0.99019607843137258</v>
      </c>
      <c r="H3" s="17">
        <v>3.0736254504555911E-14</v>
      </c>
      <c r="I3" s="17">
        <v>0.47058823529411764</v>
      </c>
      <c r="J3" s="17">
        <v>0.68599434057003539</v>
      </c>
      <c r="K3" s="17">
        <v>1</v>
      </c>
      <c r="L3" s="18">
        <v>0</v>
      </c>
    </row>
    <row r="4" spans="1:12">
      <c r="A4" s="11" t="s">
        <v>14</v>
      </c>
      <c r="B4" s="12" t="s">
        <v>15</v>
      </c>
      <c r="C4" s="19">
        <v>1</v>
      </c>
      <c r="D4" s="19">
        <v>0</v>
      </c>
      <c r="E4" s="19">
        <v>0.99999999999999989</v>
      </c>
      <c r="F4" s="19">
        <v>5.6229145086910412E-15</v>
      </c>
      <c r="G4" s="19">
        <v>1</v>
      </c>
      <c r="H4" s="19">
        <v>0</v>
      </c>
      <c r="I4" s="19">
        <v>0</v>
      </c>
      <c r="J4" s="19">
        <v>0</v>
      </c>
      <c r="K4" s="19">
        <v>0</v>
      </c>
      <c r="L4" s="20">
        <v>0</v>
      </c>
    </row>
    <row r="7" spans="1:12">
      <c r="A7" s="35" t="s">
        <v>63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</sheetData>
  <mergeCells count="1">
    <mergeCell ref="A7:L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activeCell="C27" sqref="C27"/>
    </sheetView>
  </sheetViews>
  <sheetFormatPr baseColWidth="10" defaultColWidth="8.796875" defaultRowHeight="13.8"/>
  <cols>
    <col min="1" max="1" width="24" customWidth="1"/>
    <col min="2" max="6" width="16" style="27" customWidth="1"/>
    <col min="7" max="7" width="16" customWidth="1"/>
    <col min="8" max="8" width="20" customWidth="1"/>
    <col min="9" max="9" width="20" style="27" customWidth="1"/>
    <col min="10" max="11" width="16" style="27" customWidth="1"/>
  </cols>
  <sheetData>
    <row r="1" spans="1:11" ht="27.6">
      <c r="A1" s="7" t="s">
        <v>12</v>
      </c>
      <c r="B1" s="8" t="s">
        <v>13</v>
      </c>
      <c r="C1" s="8" t="s">
        <v>14</v>
      </c>
      <c r="D1" s="8" t="s">
        <v>15</v>
      </c>
      <c r="E1" s="8" t="s">
        <v>64</v>
      </c>
      <c r="F1" s="9" t="s">
        <v>65</v>
      </c>
      <c r="H1" s="36" t="s">
        <v>66</v>
      </c>
      <c r="I1" s="36"/>
      <c r="J1" s="36"/>
      <c r="K1" s="36"/>
    </row>
    <row r="2" spans="1:11" ht="27.6">
      <c r="A2" s="25" t="s">
        <v>29</v>
      </c>
      <c r="B2" s="26">
        <v>1</v>
      </c>
      <c r="C2" s="26">
        <v>1</v>
      </c>
      <c r="D2" s="26">
        <v>1</v>
      </c>
      <c r="E2" s="26">
        <v>1</v>
      </c>
      <c r="F2" s="26">
        <v>0</v>
      </c>
      <c r="H2" s="21" t="s">
        <v>51</v>
      </c>
      <c r="I2" s="21" t="s">
        <v>52</v>
      </c>
      <c r="J2" s="21" t="s">
        <v>67</v>
      </c>
      <c r="K2" s="21" t="s">
        <v>68</v>
      </c>
    </row>
    <row r="3" spans="1:11">
      <c r="A3" s="25" t="s">
        <v>32</v>
      </c>
      <c r="B3" s="26">
        <v>3</v>
      </c>
      <c r="C3" s="26">
        <v>2</v>
      </c>
      <c r="D3" s="26">
        <v>2</v>
      </c>
      <c r="E3" s="26">
        <v>2.3333333333333335</v>
      </c>
      <c r="F3" s="26">
        <v>1</v>
      </c>
      <c r="H3" s="25" t="s">
        <v>13</v>
      </c>
      <c r="I3" s="26" t="s">
        <v>14</v>
      </c>
      <c r="J3" s="24">
        <v>0.66666666666666663</v>
      </c>
      <c r="K3" s="24">
        <v>1</v>
      </c>
    </row>
    <row r="4" spans="1:11">
      <c r="A4" s="25" t="s">
        <v>30</v>
      </c>
      <c r="B4" s="26">
        <v>2</v>
      </c>
      <c r="C4" s="26">
        <v>3</v>
      </c>
      <c r="D4" s="26">
        <v>3</v>
      </c>
      <c r="E4" s="26">
        <v>2.6666666666666665</v>
      </c>
      <c r="F4" s="26">
        <v>1</v>
      </c>
      <c r="H4" s="25" t="s">
        <v>13</v>
      </c>
      <c r="I4" s="26" t="s">
        <v>15</v>
      </c>
      <c r="J4" s="24">
        <v>0.66666666666666663</v>
      </c>
      <c r="K4" s="24">
        <v>1</v>
      </c>
    </row>
    <row r="5" spans="1:11">
      <c r="A5" s="25" t="s">
        <v>28</v>
      </c>
      <c r="B5" s="26">
        <v>4</v>
      </c>
      <c r="C5" s="26">
        <v>4</v>
      </c>
      <c r="D5" s="26">
        <v>4</v>
      </c>
      <c r="E5" s="26">
        <v>4</v>
      </c>
      <c r="F5" s="26">
        <v>0</v>
      </c>
      <c r="H5" s="25" t="s">
        <v>14</v>
      </c>
      <c r="I5" s="26" t="s">
        <v>15</v>
      </c>
      <c r="J5" s="24">
        <v>1</v>
      </c>
      <c r="K5" s="24">
        <v>1</v>
      </c>
    </row>
    <row r="6" spans="1:11">
      <c r="A6" s="25" t="s">
        <v>33</v>
      </c>
      <c r="B6" s="26">
        <v>6</v>
      </c>
      <c r="C6" s="26">
        <v>5</v>
      </c>
      <c r="D6" s="26">
        <v>5</v>
      </c>
      <c r="E6" s="26">
        <v>5.333333333333333</v>
      </c>
      <c r="F6" s="26">
        <v>1</v>
      </c>
    </row>
    <row r="8" spans="1:11">
      <c r="A8" s="36" t="s">
        <v>69</v>
      </c>
      <c r="B8" s="36"/>
      <c r="C8" s="36"/>
      <c r="D8" s="36"/>
      <c r="E8" s="36"/>
      <c r="F8" s="36"/>
    </row>
    <row r="10" spans="1:11" ht="27.6">
      <c r="A10" s="21" t="s">
        <v>12</v>
      </c>
      <c r="B10" s="21" t="s">
        <v>13</v>
      </c>
      <c r="C10" s="21" t="s">
        <v>14</v>
      </c>
      <c r="D10" s="21" t="s">
        <v>15</v>
      </c>
      <c r="E10" s="21" t="s">
        <v>64</v>
      </c>
      <c r="F10" s="21" t="s">
        <v>65</v>
      </c>
    </row>
    <row r="11" spans="1:11">
      <c r="A11" s="25" t="s">
        <v>38</v>
      </c>
      <c r="B11" s="26">
        <v>16</v>
      </c>
      <c r="C11" s="26">
        <v>17</v>
      </c>
      <c r="D11" s="26">
        <v>17</v>
      </c>
      <c r="E11" s="26">
        <v>16.666666666666668</v>
      </c>
      <c r="F11" s="26">
        <v>1</v>
      </c>
    </row>
    <row r="12" spans="1:11">
      <c r="A12" s="25" t="s">
        <v>41</v>
      </c>
      <c r="B12" s="26">
        <v>17</v>
      </c>
      <c r="C12" s="26">
        <v>16</v>
      </c>
      <c r="D12" s="26">
        <v>16</v>
      </c>
      <c r="E12" s="26">
        <v>16.333333333333332</v>
      </c>
      <c r="F12" s="26">
        <v>1</v>
      </c>
    </row>
    <row r="13" spans="1:11">
      <c r="A13" s="25" t="s">
        <v>43</v>
      </c>
      <c r="B13" s="26">
        <v>15</v>
      </c>
      <c r="C13" s="26">
        <v>15</v>
      </c>
      <c r="D13" s="26">
        <v>15</v>
      </c>
      <c r="E13" s="26">
        <v>15</v>
      </c>
      <c r="F13" s="26">
        <v>0</v>
      </c>
    </row>
    <row r="14" spans="1:11">
      <c r="A14" s="25" t="s">
        <v>36</v>
      </c>
      <c r="B14" s="26">
        <v>14</v>
      </c>
      <c r="C14" s="26">
        <v>14</v>
      </c>
      <c r="D14" s="26">
        <v>14</v>
      </c>
      <c r="E14" s="26">
        <v>14</v>
      </c>
      <c r="F14" s="26">
        <v>0</v>
      </c>
    </row>
    <row r="15" spans="1:11">
      <c r="A15" s="25" t="s">
        <v>26</v>
      </c>
      <c r="B15" s="26">
        <v>13</v>
      </c>
      <c r="C15" s="26">
        <v>13</v>
      </c>
      <c r="D15" s="26">
        <v>13</v>
      </c>
      <c r="E15" s="26">
        <v>13</v>
      </c>
      <c r="F15" s="26">
        <v>0</v>
      </c>
    </row>
    <row r="16" spans="1:11">
      <c r="A16" s="25"/>
      <c r="B16" s="26"/>
      <c r="C16" s="26"/>
      <c r="D16" s="26"/>
      <c r="E16" s="26"/>
      <c r="F16" s="26"/>
    </row>
    <row r="18" spans="1:11">
      <c r="A18" s="37" t="s">
        <v>70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spans="1:1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spans="1:1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</row>
  </sheetData>
  <mergeCells count="3">
    <mergeCell ref="A8:F8"/>
    <mergeCell ref="H1:K1"/>
    <mergeCell ref="A18:K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workbookViewId="0">
      <selection activeCell="F1" sqref="F1:J4"/>
    </sheetView>
  </sheetViews>
  <sheetFormatPr baseColWidth="10" defaultColWidth="8.796875" defaultRowHeight="13.8"/>
  <cols>
    <col min="1" max="1" width="24" customWidth="1"/>
    <col min="2" max="4" width="14" customWidth="1"/>
  </cols>
  <sheetData>
    <row r="1" spans="1:10">
      <c r="A1" s="21" t="s">
        <v>12</v>
      </c>
      <c r="B1" s="28" t="s">
        <v>71</v>
      </c>
      <c r="C1" s="28" t="s">
        <v>72</v>
      </c>
      <c r="D1" s="28" t="s">
        <v>73</v>
      </c>
      <c r="F1" s="35" t="s">
        <v>74</v>
      </c>
      <c r="G1" s="35"/>
      <c r="H1" s="35"/>
      <c r="I1" s="35"/>
      <c r="J1" s="35"/>
    </row>
    <row r="2" spans="1:10">
      <c r="A2" s="25" t="s">
        <v>26</v>
      </c>
      <c r="B2" s="29">
        <v>0</v>
      </c>
      <c r="C2" s="29">
        <v>0</v>
      </c>
      <c r="D2" s="29">
        <v>0</v>
      </c>
      <c r="F2" s="35"/>
      <c r="G2" s="35"/>
      <c r="H2" s="35"/>
      <c r="I2" s="35"/>
      <c r="J2" s="35"/>
    </row>
    <row r="3" spans="1:10">
      <c r="A3" s="25" t="s">
        <v>28</v>
      </c>
      <c r="B3" s="29">
        <v>0</v>
      </c>
      <c r="C3" s="29">
        <v>0</v>
      </c>
      <c r="D3" s="29">
        <v>0</v>
      </c>
      <c r="F3" s="35"/>
      <c r="G3" s="35"/>
      <c r="H3" s="35"/>
      <c r="I3" s="35"/>
      <c r="J3" s="35"/>
    </row>
    <row r="4" spans="1:10">
      <c r="A4" s="25" t="s">
        <v>29</v>
      </c>
      <c r="B4" s="29">
        <v>0</v>
      </c>
      <c r="C4" s="29">
        <v>0</v>
      </c>
      <c r="D4" s="29">
        <v>0</v>
      </c>
      <c r="F4" s="35"/>
      <c r="G4" s="35"/>
      <c r="H4" s="35"/>
      <c r="I4" s="35"/>
      <c r="J4" s="35"/>
    </row>
    <row r="5" spans="1:10">
      <c r="A5" s="25" t="s">
        <v>30</v>
      </c>
      <c r="B5" s="29">
        <v>1</v>
      </c>
      <c r="C5" s="29">
        <v>1</v>
      </c>
      <c r="D5" s="29">
        <v>0</v>
      </c>
    </row>
    <row r="6" spans="1:10">
      <c r="A6" s="25" t="s">
        <v>32</v>
      </c>
      <c r="B6" s="29">
        <v>1</v>
      </c>
      <c r="C6" s="29">
        <v>1</v>
      </c>
      <c r="D6" s="29">
        <v>0</v>
      </c>
    </row>
    <row r="7" spans="1:10">
      <c r="A7" s="25" t="s">
        <v>33</v>
      </c>
      <c r="B7" s="29">
        <v>1</v>
      </c>
      <c r="C7" s="29">
        <v>1</v>
      </c>
      <c r="D7" s="29">
        <v>0</v>
      </c>
    </row>
    <row r="8" spans="1:10">
      <c r="A8" s="25" t="s">
        <v>34</v>
      </c>
      <c r="B8" s="29">
        <v>0</v>
      </c>
      <c r="C8" s="29">
        <v>0</v>
      </c>
      <c r="D8" s="29">
        <v>0</v>
      </c>
    </row>
    <row r="9" spans="1:10">
      <c r="A9" s="25" t="s">
        <v>35</v>
      </c>
      <c r="B9" s="29">
        <v>1</v>
      </c>
      <c r="C9" s="29">
        <v>1</v>
      </c>
      <c r="D9" s="29">
        <v>0</v>
      </c>
    </row>
    <row r="10" spans="1:10">
      <c r="A10" s="25" t="s">
        <v>36</v>
      </c>
      <c r="B10" s="29">
        <v>0</v>
      </c>
      <c r="C10" s="29">
        <v>0</v>
      </c>
      <c r="D10" s="29">
        <v>0</v>
      </c>
    </row>
    <row r="11" spans="1:10">
      <c r="A11" s="25" t="s">
        <v>37</v>
      </c>
      <c r="B11" s="29">
        <v>1</v>
      </c>
      <c r="C11" s="29">
        <v>1</v>
      </c>
      <c r="D11" s="29">
        <v>0</v>
      </c>
    </row>
    <row r="12" spans="1:10">
      <c r="A12" s="25" t="s">
        <v>38</v>
      </c>
      <c r="B12" s="29">
        <v>1</v>
      </c>
      <c r="C12" s="29">
        <v>1</v>
      </c>
      <c r="D12" s="29">
        <v>0</v>
      </c>
    </row>
    <row r="13" spans="1:10">
      <c r="A13" s="25" t="s">
        <v>39</v>
      </c>
      <c r="B13" s="29">
        <v>0</v>
      </c>
      <c r="C13" s="29">
        <v>0</v>
      </c>
      <c r="D13" s="29">
        <v>0</v>
      </c>
    </row>
    <row r="14" spans="1:10">
      <c r="A14" s="25" t="s">
        <v>40</v>
      </c>
      <c r="B14" s="29">
        <v>0</v>
      </c>
      <c r="C14" s="29">
        <v>0</v>
      </c>
      <c r="D14" s="29">
        <v>0</v>
      </c>
    </row>
    <row r="15" spans="1:10">
      <c r="A15" s="25" t="s">
        <v>41</v>
      </c>
      <c r="B15" s="29">
        <v>1</v>
      </c>
      <c r="C15" s="29">
        <v>1</v>
      </c>
      <c r="D15" s="29">
        <v>0</v>
      </c>
    </row>
    <row r="16" spans="1:10">
      <c r="A16" s="25" t="s">
        <v>42</v>
      </c>
      <c r="B16" s="29">
        <v>1</v>
      </c>
      <c r="C16" s="29">
        <v>1</v>
      </c>
      <c r="D16" s="29">
        <v>0</v>
      </c>
    </row>
    <row r="17" spans="1:4">
      <c r="A17" s="25" t="s">
        <v>43</v>
      </c>
      <c r="B17" s="29">
        <v>0</v>
      </c>
      <c r="C17" s="29">
        <v>0</v>
      </c>
      <c r="D17" s="29">
        <v>0</v>
      </c>
    </row>
    <row r="18" spans="1:4">
      <c r="A18" s="25" t="s">
        <v>44</v>
      </c>
      <c r="B18" s="29">
        <v>0</v>
      </c>
      <c r="C18" s="29">
        <v>0</v>
      </c>
      <c r="D18" s="29">
        <v>0</v>
      </c>
    </row>
  </sheetData>
  <mergeCells count="1">
    <mergeCell ref="F1:J4"/>
  </mergeCells>
  <conditionalFormatting sqref="B2:D1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{BA62B37B-6F73-EA55-B134-64B1FCD4BFDE}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62B37B-6F73-EA55-B134-64B1FCD4BFDE}">
            <x14:dataBar>
              <x14:cfvo type="min"/>
              <x14:cfvo type="max"/>
              <x14:negativeFillColor auto="1"/>
              <x14:axisColor auto="1"/>
            </x14:dataBar>
          </x14:cfRule>
          <xm:sqref>B2:D18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F22" sqref="F22"/>
    </sheetView>
  </sheetViews>
  <sheetFormatPr baseColWidth="10" defaultColWidth="8.796875" defaultRowHeight="13.8"/>
  <cols>
    <col min="1" max="8" width="16" customWidth="1"/>
  </cols>
  <sheetData>
    <row r="1" spans="1:8">
      <c r="A1" s="33" t="s">
        <v>75</v>
      </c>
      <c r="B1" s="33"/>
      <c r="C1" s="33"/>
      <c r="D1" s="33"/>
      <c r="E1" s="33"/>
      <c r="F1" s="33"/>
      <c r="G1" s="33"/>
      <c r="H1" s="33"/>
    </row>
    <row r="2" spans="1:8">
      <c r="A2" s="33"/>
      <c r="B2" s="33"/>
      <c r="C2" s="33"/>
      <c r="D2" s="33"/>
      <c r="E2" s="33"/>
      <c r="F2" s="33"/>
      <c r="G2" s="33"/>
      <c r="H2" s="33"/>
    </row>
    <row r="4" spans="1:8">
      <c r="A4" s="30" t="s">
        <v>76</v>
      </c>
      <c r="B4" s="31"/>
      <c r="C4" s="31"/>
      <c r="D4" s="31"/>
      <c r="E4" s="31"/>
      <c r="F4" s="31"/>
      <c r="G4" s="31"/>
      <c r="H4" s="32"/>
    </row>
    <row r="5" spans="1:8">
      <c r="A5" s="30" t="s">
        <v>77</v>
      </c>
      <c r="B5" s="31"/>
      <c r="C5" s="31"/>
      <c r="D5" s="31"/>
      <c r="E5" s="31"/>
      <c r="F5" s="31"/>
      <c r="G5" s="31"/>
      <c r="H5" s="32"/>
    </row>
    <row r="6" spans="1:8">
      <c r="A6" s="30" t="s">
        <v>78</v>
      </c>
      <c r="B6" s="31"/>
      <c r="C6" s="31"/>
      <c r="D6" s="31"/>
      <c r="E6" s="31"/>
      <c r="F6" s="31"/>
      <c r="G6" s="31"/>
      <c r="H6" s="32"/>
    </row>
    <row r="7" spans="1:8">
      <c r="A7" s="30" t="s">
        <v>79</v>
      </c>
      <c r="B7" s="31"/>
      <c r="C7" s="31"/>
      <c r="D7" s="31"/>
      <c r="E7" s="31"/>
      <c r="F7" s="31"/>
      <c r="G7" s="31"/>
      <c r="H7" s="32"/>
    </row>
    <row r="8" spans="1:8">
      <c r="A8" s="30" t="s">
        <v>80</v>
      </c>
      <c r="B8" s="31"/>
      <c r="C8" s="31"/>
      <c r="D8" s="31"/>
      <c r="E8" s="31"/>
      <c r="F8" s="31"/>
      <c r="G8" s="31"/>
      <c r="H8" s="32"/>
    </row>
    <row r="9" spans="1:8">
      <c r="A9" s="30" t="s">
        <v>81</v>
      </c>
      <c r="B9" s="31"/>
      <c r="C9" s="31"/>
      <c r="D9" s="31"/>
      <c r="E9" s="31"/>
      <c r="F9" s="31"/>
      <c r="G9" s="31"/>
      <c r="H9" s="32"/>
    </row>
    <row r="10" spans="1:8">
      <c r="A10" s="30" t="s">
        <v>82</v>
      </c>
      <c r="B10" s="31"/>
      <c r="C10" s="31"/>
      <c r="D10" s="31"/>
      <c r="E10" s="31"/>
      <c r="F10" s="31"/>
      <c r="G10" s="31"/>
      <c r="H10" s="32"/>
    </row>
  </sheetData>
  <mergeCells count="8">
    <mergeCell ref="A8:H8"/>
    <mergeCell ref="A9:H9"/>
    <mergeCell ref="A10:H10"/>
    <mergeCell ref="A1:H2"/>
    <mergeCell ref="A4:H4"/>
    <mergeCell ref="A5:H5"/>
    <mergeCell ref="A6:H6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Ranking y consenso</vt:lpstr>
      <vt:lpstr>Correlaciones</vt:lpstr>
      <vt:lpstr>Métricas pareadas</vt:lpstr>
      <vt:lpstr>Extremos y estabilidad</vt:lpstr>
      <vt:lpstr>Diferencias de ranking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Segundo Cohen Manrique</cp:lastModifiedBy>
  <dcterms:modified xsi:type="dcterms:W3CDTF">2026-09-02T19:40:30Z</dcterms:modified>
</cp:coreProperties>
</file>
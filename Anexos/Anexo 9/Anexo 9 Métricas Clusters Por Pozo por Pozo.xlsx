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formation Ccohen\PC Ccohen Data Rescue\Disk D\ISem26\PhD\"/>
    </mc:Choice>
  </mc:AlternateContent>
  <xr:revisionPtr revIDLastSave="0" documentId="8_{3D74B7D0-E1E4-4149-AE1E-16E84925EA95}" xr6:coauthVersionLast="47" xr6:coauthVersionMax="47" xr10:uidLastSave="{00000000-0000-0000-0000-000000000000}"/>
  <bookViews>
    <workbookView xWindow="-108" yWindow="-108" windowWidth="23256" windowHeight="12456" xr2:uid="{82DA87EC-16C2-4A15-8FCF-5E42425E0CFB}"/>
  </bookViews>
  <sheets>
    <sheet name="ISAC por Pozo" sheetId="2" r:id="rId1"/>
    <sheet name="Tabla Bayesiana" sheetId="1" r:id="rId2"/>
    <sheet name="Gradiente y AutoCorrelación" sheetId="3" r:id="rId3"/>
    <sheet name="Hoja1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2" l="1"/>
  <c r="E21" i="2"/>
  <c r="E20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2" i="2"/>
</calcChain>
</file>

<file path=xl/sharedStrings.xml><?xml version="1.0" encoding="utf-8"?>
<sst xmlns="http://schemas.openxmlformats.org/spreadsheetml/2006/main" count="225" uniqueCount="170">
  <si>
    <t>Pozo</t>
  </si>
  <si>
    <t>β OLS</t>
  </si>
  <si>
    <t>β Posterior</t>
  </si>
  <si>
    <t>IC95%</t>
  </si>
  <si>
    <t>Sampués</t>
  </si>
  <si>
    <t>0.98</t>
  </si>
  <si>
    <t>0.91</t>
  </si>
  <si>
    <t>[0.65–1.17]</t>
  </si>
  <si>
    <t>Finca Socorro</t>
  </si>
  <si>
    <t>0.075</t>
  </si>
  <si>
    <t>0.14</t>
  </si>
  <si>
    <t>[-0.05–0.32]</t>
  </si>
  <si>
    <t>Ovejas</t>
  </si>
  <si>
    <t>0.38</t>
  </si>
  <si>
    <t>0.42</t>
  </si>
  <si>
    <t>[0.18–0.66]</t>
  </si>
  <si>
    <t>Los Palmitos</t>
  </si>
  <si>
    <t>-0.12</t>
  </si>
  <si>
    <t>-0.03</t>
  </si>
  <si>
    <t>[-0.27–0.19]</t>
  </si>
  <si>
    <t>Bremen A</t>
  </si>
  <si>
    <t>0.05</t>
  </si>
  <si>
    <t>0.12</t>
  </si>
  <si>
    <t>[-0.04–0.29]</t>
  </si>
  <si>
    <t>Bremen B</t>
  </si>
  <si>
    <t>0.09</t>
  </si>
  <si>
    <t>0.16</t>
  </si>
  <si>
    <t>[-0.02–0.34]</t>
  </si>
  <si>
    <t>Las Tinas A</t>
  </si>
  <si>
    <t>1.04</t>
  </si>
  <si>
    <t>0.96</t>
  </si>
  <si>
    <t>[0.71–1.21]</t>
  </si>
  <si>
    <t>Las Tinas B</t>
  </si>
  <si>
    <t>0.07</t>
  </si>
  <si>
    <t>0.15</t>
  </si>
  <si>
    <t>[-0.03–0.32]</t>
  </si>
  <si>
    <t>Betulia A</t>
  </si>
  <si>
    <t>1.42</t>
  </si>
  <si>
    <t>1.28</t>
  </si>
  <si>
    <t>[1.03–1.53]</t>
  </si>
  <si>
    <t>Betulia B</t>
  </si>
  <si>
    <t>0.45</t>
  </si>
  <si>
    <t>0.50</t>
  </si>
  <si>
    <t>[0.27–0.73]</t>
  </si>
  <si>
    <t>Sabanas Cali</t>
  </si>
  <si>
    <t>1.61</t>
  </si>
  <si>
    <t>1.43</t>
  </si>
  <si>
    <t>[1.18–1.69]</t>
  </si>
  <si>
    <t>Finca Tesoro</t>
  </si>
  <si>
    <t>0.82</t>
  </si>
  <si>
    <t>0.78</t>
  </si>
  <si>
    <t>[0.54–1.02]</t>
  </si>
  <si>
    <t>Basurero Viejo</t>
  </si>
  <si>
    <t>0.49</t>
  </si>
  <si>
    <t>0.53</t>
  </si>
  <si>
    <t>[0.30–0.76]</t>
  </si>
  <si>
    <t>Corozal PO-14</t>
  </si>
  <si>
    <t>1.39</t>
  </si>
  <si>
    <t>1.25</t>
  </si>
  <si>
    <t>[1.01–1.49]</t>
  </si>
  <si>
    <t>Corozal PZ-20</t>
  </si>
  <si>
    <t>0.31</t>
  </si>
  <si>
    <t>[0.11–0.65]</t>
  </si>
  <si>
    <t>Corozal PZ-22</t>
  </si>
  <si>
    <t>1.64</t>
  </si>
  <si>
    <t>1.47</t>
  </si>
  <si>
    <t>[1.22–1.72]</t>
  </si>
  <si>
    <t>Cantagallo</t>
  </si>
  <si>
    <t>0.55</t>
  </si>
  <si>
    <t>0.58</t>
  </si>
  <si>
    <t>[0.35–0.81]</t>
  </si>
  <si>
    <t>σ (m)</t>
  </si>
  <si>
    <t>Rango (m)</t>
  </si>
  <si>
    <t>β OLS (m/año)</t>
  </si>
  <si>
    <t>ρ₁</t>
  </si>
  <si>
    <t>Clúster</t>
  </si>
  <si>
    <t>Sampués – 52-II-C-PZ-01</t>
  </si>
  <si>
    <t>Finca el Socorro – 44-II-D-PO-02</t>
  </si>
  <si>
    <t>Ovejas – 44-II-D-PO-14</t>
  </si>
  <si>
    <t>Los Palmitos – 44-IV-B-PZ-01</t>
  </si>
  <si>
    <t>Bremen – 44-IV-C-PZ-01 A</t>
  </si>
  <si>
    <t>Bremen – 44-IV-C-PZ-01 B</t>
  </si>
  <si>
    <t>Las Tinas – 44-IV-C-PZ-02 A</t>
  </si>
  <si>
    <t>Las Tinas – 44-IV-C-PZ-02 B</t>
  </si>
  <si>
    <t>Arroyo Betulia A – 44-IV-D-PZ-01 A</t>
  </si>
  <si>
    <t>Arroyo Betulia B – 44-IV-D-PZ-01 B</t>
  </si>
  <si>
    <t>Sabanas de Cali – 44-IV-D-PZ-02</t>
  </si>
  <si>
    <t>Finca El Tesoro – 44-IV-D-PZ-04</t>
  </si>
  <si>
    <t>Basurero Viejo – 52-II-B-PZ-01 A</t>
  </si>
  <si>
    <t>Corozal – 44-IV-D-PO-14</t>
  </si>
  <si>
    <t>Corozal – 44-IV-D-PZ-20</t>
  </si>
  <si>
    <t>Corozal – 44-IV-D-PZ-22</t>
  </si>
  <si>
    <t>Cantagallo – 52-II-A-PZ-01</t>
  </si>
  <si>
    <t>Grad_m_año_med</t>
  </si>
  <si>
    <t>Grad_m_año_imp</t>
  </si>
  <si>
    <t>DifAbs_Grad_m_año</t>
  </si>
  <si>
    <t>Rho1_med</t>
  </si>
  <si>
    <t>Rho1_imp</t>
  </si>
  <si>
    <t>DifAbs_Rho1</t>
  </si>
  <si>
    <t>Arroyo salida a Betulia (Corozal) - # 44-IV-D-PZ-01 A</t>
  </si>
  <si>
    <t>Arroyo salida a Betulia (Corozal) - # 44-IV-D-PZ-01 B</t>
  </si>
  <si>
    <t>Basurero Viejo, Pileta (Corozal) - # 52-II-B-PZ-01 A</t>
  </si>
  <si>
    <t>Cantagallo - # 52-II-A-PZ-01 Corozal</t>
  </si>
  <si>
    <t>Corozal - # 44-IV-D-PO-14</t>
  </si>
  <si>
    <t>Corozal - # 44-IV-D-PZ-20</t>
  </si>
  <si>
    <t>Corozal - # 44-IV-D-PZ-22</t>
  </si>
  <si>
    <t>Finca el socorro (Ovejas) - # 44-II-D-PO-02</t>
  </si>
  <si>
    <t>Finca el tesoro - # 44-IV-D-PZ-04</t>
  </si>
  <si>
    <t>Las Tinas (Morroa) - # 44-IV-C-PZ-02 A</t>
  </si>
  <si>
    <t>Las Tinas (Morroa) - # 44-IV-C-PZ-02 B</t>
  </si>
  <si>
    <t>Los Palmitos - # 44-IV-B-PZ-01 Piñal</t>
  </si>
  <si>
    <t>Morroa (Bremen) - # 44-IV-C-PZ-01 A</t>
  </si>
  <si>
    <t>Morroa (Bremen) - # 44-IV-C-PZ-01 B</t>
  </si>
  <si>
    <t>Ovejas - # 44-II-D-PO-14</t>
  </si>
  <si>
    <t>Sampues - # 52-II-C-PZ-01</t>
  </si>
  <si>
    <t>Sabanas de cali (El Tesoro) - # 44-IV-D-PZ-02</t>
  </si>
  <si>
    <t>Cluster</t>
  </si>
  <si>
    <t>Long. (Norte)</t>
  </si>
  <si>
    <t>Latitud (West)</t>
  </si>
  <si>
    <t>NE_Prom</t>
  </si>
  <si>
    <t>9°10'48.31''</t>
  </si>
  <si>
    <t>75°22'11.7''</t>
  </si>
  <si>
    <t>9°32'33.41''</t>
  </si>
  <si>
    <t>75°12'11.39.32''</t>
  </si>
  <si>
    <t>9°32'35.15''</t>
  </si>
  <si>
    <t>75°12'20.76''</t>
  </si>
  <si>
    <t>9°27'28.01''</t>
  </si>
  <si>
    <t>75°12'50.95''</t>
  </si>
  <si>
    <t>9°18'12.99''</t>
  </si>
  <si>
    <t>75°20'33.77''</t>
  </si>
  <si>
    <t>9°18'22.42''</t>
  </si>
  <si>
    <t>75°19'26.44''</t>
  </si>
  <si>
    <t>9°18'33.63''</t>
  </si>
  <si>
    <t>75°17'28.18''</t>
  </si>
  <si>
    <t>9°17'23.85''</t>
  </si>
  <si>
    <t>75°18'8.4''</t>
  </si>
  <si>
    <t>9°19'28.98''</t>
  </si>
  <si>
    <t>75°17'17.39''</t>
  </si>
  <si>
    <t>9°18'49.34''</t>
  </si>
  <si>
    <t>75°16'59.24''</t>
  </si>
  <si>
    <t>9°19'29.46''</t>
  </si>
  <si>
    <t>75°18'8.18''</t>
  </si>
  <si>
    <t>9°14'28.83''</t>
  </si>
  <si>
    <t>75°19'3.31''</t>
  </si>
  <si>
    <t>9°21'16.82"</t>
  </si>
  <si>
    <t>75°21'59.55"</t>
  </si>
  <si>
    <t>44-IV-D-PZ-01 A</t>
  </si>
  <si>
    <t xml:space="preserve"> 44-IV-D-PZ-01 B</t>
  </si>
  <si>
    <t>52-II-B-PZ-01 A</t>
  </si>
  <si>
    <t>52-II-A-PZ-01</t>
  </si>
  <si>
    <t>44-IV-D-PO-14</t>
  </si>
  <si>
    <t>44-IV-D-PZ-20</t>
  </si>
  <si>
    <t>44-IV-D-PZ-22</t>
  </si>
  <si>
    <t>44-II-D-PO-02</t>
  </si>
  <si>
    <t>44-IV-D-PZ-04</t>
  </si>
  <si>
    <t>44-IV-C-PZ-02 A</t>
  </si>
  <si>
    <t>44-IV-C-PZ-02 B</t>
  </si>
  <si>
    <t>44-IV-B-PZ-01</t>
  </si>
  <si>
    <t>44-IV-C-PZ-01 A</t>
  </si>
  <si>
    <t>44-IV-C-PZ-01 B</t>
  </si>
  <si>
    <t>44-II-D-PO-14</t>
  </si>
  <si>
    <t>52-II-C-PZ-01</t>
  </si>
  <si>
    <t>44-IV-D-PZ-02</t>
  </si>
  <si>
    <t>Long</t>
  </si>
  <si>
    <t>Lat</t>
  </si>
  <si>
    <t>Pozos Estables</t>
  </si>
  <si>
    <t>Transicionales</t>
  </si>
  <si>
    <t>Dinámicos</t>
  </si>
  <si>
    <t>% Imput,</t>
  </si>
  <si>
    <t>ISAC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</si>
</sst>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6" tint="-0.249977111117893"/>
      <name val="Aptos Narrow"/>
      <family val="2"/>
      <scheme val="minor"/>
    </font>
    <font>
      <b/>
      <sz val="11"/>
      <color theme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4"/>
      <name val="Aptos Narrow"/>
      <family val="2"/>
      <scheme val="minor"/>
    </font>
    <font>
      <sz val="11"/>
      <color theme="9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9D3C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0" xfId="0" applyFont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9D3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339090</xdr:colOff>
      <xdr:row>0</xdr:row>
      <xdr:rowOff>97790</xdr:rowOff>
    </xdr:from>
    <xdr:to>
      <xdr:col>13</xdr:col>
      <xdr:colOff>109220</xdr:colOff>
      <xdr:row>7</xdr:row>
      <xdr:rowOff>137160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252C31AA-0F63-0360-704D-371A3C4AC7FB}"/>
            </a:ext>
          </a:extLst>
        </xdr:cNvPr>
        <xdr:cNvSpPr txBox="1"/>
      </xdr:nvSpPr>
      <xdr:spPr>
        <a:xfrm>
          <a:off x="7863840" y="97790"/>
          <a:ext cx="3738880" cy="13284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b="1">
              <a:solidFill>
                <a:srgbClr val="FF0000"/>
              </a:solidFill>
            </a:rPr>
            <a:t>TABLA FINAL POR POZO:</a:t>
          </a:r>
        </a:p>
        <a:p>
          <a:endParaRPr lang="es-CO" sz="1100"/>
        </a:p>
        <a:p>
          <a:r>
            <a:rPr lang="es-CO" sz="1100" b="1"/>
            <a:t>Ventana</a:t>
          </a:r>
          <a:r>
            <a:rPr lang="es-CO" sz="1100" b="1" baseline="0"/>
            <a:t> de tiempo: </a:t>
          </a:r>
          <a:r>
            <a:rPr lang="es-CO"/>
            <a:t>(2010–2025 – métricas comparables)</a:t>
          </a:r>
        </a:p>
        <a:p>
          <a:r>
            <a:rPr lang="es-CO" b="1"/>
            <a:t>Convención: </a:t>
          </a:r>
          <a:r>
            <a:rPr lang="es-CO"/>
            <a:t>pendiente OLS en m/año (positiva = incremento del nivel estático medido en metros)</a:t>
          </a:r>
          <a:endParaRPr lang="es-CO" sz="1100"/>
        </a:p>
      </xdr:txBody>
    </xdr:sp>
    <xdr:clientData/>
  </xdr:twoCellAnchor>
  <xdr:twoCellAnchor>
    <xdr:from>
      <xdr:col>8</xdr:col>
      <xdr:colOff>322580</xdr:colOff>
      <xdr:row>8</xdr:row>
      <xdr:rowOff>24130</xdr:rowOff>
    </xdr:from>
    <xdr:to>
      <xdr:col>13</xdr:col>
      <xdr:colOff>369570</xdr:colOff>
      <xdr:row>14</xdr:row>
      <xdr:rowOff>156210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56986363-A739-56D7-0FC5-1E2B29F12EB4}"/>
            </a:ext>
          </a:extLst>
        </xdr:cNvPr>
        <xdr:cNvSpPr txBox="1"/>
      </xdr:nvSpPr>
      <xdr:spPr>
        <a:xfrm>
          <a:off x="7847330" y="1497330"/>
          <a:ext cx="4015740" cy="12369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b="1">
              <a:solidFill>
                <a:srgbClr val="FF0000"/>
              </a:solidFill>
            </a:rPr>
            <a:t>Interpretación estructural del ISAC:</a:t>
          </a:r>
        </a:p>
        <a:p>
          <a:r>
            <a:rPr lang="es-CO" b="1"/>
            <a:t>ISAC &gt; 0.80 → Pozos estables (4 pozos)</a:t>
          </a:r>
          <a:endParaRPr lang="es-CO"/>
        </a:p>
        <a:p>
          <a:r>
            <a:rPr lang="es-CO" b="1"/>
            <a:t>0.40 – 0.80 → Transicionales (8 pozos)</a:t>
          </a:r>
          <a:endParaRPr lang="es-CO"/>
        </a:p>
        <a:p>
          <a:r>
            <a:rPr lang="es-CO" b="1"/>
            <a:t>&lt; 0.40 → Dinámicos/altamente sensibles (5 pozos)</a:t>
          </a:r>
          <a:endParaRPr lang="es-CO"/>
        </a:p>
        <a:p>
          <a:r>
            <a:rPr lang="es-CO"/>
            <a:t>Los tres pozos con spline cúbico no muestran distorsión estructural del ISAC, confirmando que la interpolación fue suave y no alteró la dinámica física.</a:t>
          </a:r>
        </a:p>
        <a:p>
          <a:endParaRPr lang="es-CO" sz="1100"/>
        </a:p>
      </xdr:txBody>
    </xdr:sp>
    <xdr:clientData/>
  </xdr:twoCellAnchor>
  <xdr:twoCellAnchor>
    <xdr:from>
      <xdr:col>8</xdr:col>
      <xdr:colOff>337820</xdr:colOff>
      <xdr:row>16</xdr:row>
      <xdr:rowOff>34290</xdr:rowOff>
    </xdr:from>
    <xdr:to>
      <xdr:col>18</xdr:col>
      <xdr:colOff>600710</xdr:colOff>
      <xdr:row>26</xdr:row>
      <xdr:rowOff>95250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65C453A8-3A4E-03FB-27CA-1C022A2F0A79}"/>
            </a:ext>
          </a:extLst>
        </xdr:cNvPr>
        <xdr:cNvSpPr txBox="1"/>
      </xdr:nvSpPr>
      <xdr:spPr>
        <a:xfrm>
          <a:off x="7862570" y="2980690"/>
          <a:ext cx="8200390" cy="19024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b="1">
              <a:solidFill>
                <a:srgbClr val="FF0000"/>
              </a:solidFill>
            </a:rPr>
            <a:t>CONCLUSIONES: </a:t>
          </a:r>
        </a:p>
        <a:p>
          <a:r>
            <a:rPr lang="es-CO"/>
            <a:t>Los resultados evidencian la coexistencia de tres regímenes dinámicos claramente diferenciados:</a:t>
          </a:r>
        </a:p>
        <a:p>
          <a:r>
            <a:rPr lang="es-CO" b="1"/>
            <a:t>Régimen estable (ISAC &gt; 0.80)</a:t>
          </a:r>
          <a:br>
            <a:rPr lang="es-CO"/>
          </a:br>
          <a:r>
            <a:rPr lang="es-CO"/>
            <a:t>Pozos con baja variabilidad y pendientes casi nulas. Corresponden principalmente a sistemas con alta amortiguación hidráulica o control estructural local. Ejemplo: Bremen PZ-01 A y Las Tinas PZ-02 B.</a:t>
          </a:r>
        </a:p>
        <a:p>
          <a:r>
            <a:rPr lang="es-CO" b="1"/>
            <a:t>Régimen transicional (0.50–0.80)</a:t>
          </a:r>
          <a:br>
            <a:rPr lang="es-CO"/>
          </a:br>
          <a:r>
            <a:rPr lang="es-CO"/>
            <a:t>Presentan tendencia positiva moderada y respuesta clara a forzantes regionales. Ejemplo: Basurero Viejo, Cantagallo.</a:t>
          </a:r>
        </a:p>
        <a:p>
          <a:r>
            <a:rPr lang="es-CO" b="1"/>
            <a:t>Régimen dinámico (&lt; 0.40)</a:t>
          </a:r>
          <a:br>
            <a:rPr lang="es-CO"/>
          </a:br>
          <a:r>
            <a:rPr lang="es-CO"/>
            <a:t>Exhiben altas pendientes (≥1 m/año) y grandes rangos interanuales. Son pozos altamente sensibles a extracción, cambios en recarga o conectividad hidráulica. Ejemplo: Sabanas de Cali, Arroyo Betulia A, Corozal PZ-22.</a:t>
          </a:r>
        </a:p>
        <a:p>
          <a:endParaRPr lang="es-CO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171450</xdr:colOff>
      <xdr:row>2</xdr:row>
      <xdr:rowOff>0</xdr:rowOff>
    </xdr:from>
    <xdr:to>
      <xdr:col>7</xdr:col>
      <xdr:colOff>547370</xdr:colOff>
      <xdr:row>5</xdr:row>
      <xdr:rowOff>80010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81545941-6D1E-9936-96A5-7F444AAA1FE0}"/>
            </a:ext>
          </a:extLst>
        </xdr:cNvPr>
        <xdr:cNvSpPr txBox="1"/>
      </xdr:nvSpPr>
      <xdr:spPr>
        <a:xfrm>
          <a:off x="4616450" y="368300"/>
          <a:ext cx="1963420" cy="6324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 b="1">
              <a:solidFill>
                <a:srgbClr val="FF0000"/>
              </a:solidFill>
            </a:rPr>
            <a:t>Datos Clústers:</a:t>
          </a:r>
          <a:r>
            <a:rPr lang="es-CO" sz="1100" b="1" baseline="0">
              <a:solidFill>
                <a:srgbClr val="FF0000"/>
              </a:solidFill>
            </a:rPr>
            <a:t> </a:t>
          </a:r>
          <a:endParaRPr lang="es-CO" sz="1100" b="1">
            <a:solidFill>
              <a:srgbClr val="FF0000"/>
            </a:solidFill>
          </a:endParaRPr>
        </a:p>
        <a:p>
          <a:r>
            <a:rPr lang="es-CO" sz="1100"/>
            <a:t>Tabla Bayesiana de Pendientes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1</xdr:row>
      <xdr:rowOff>19050</xdr:rowOff>
    </xdr:from>
    <xdr:to>
      <xdr:col>4</xdr:col>
      <xdr:colOff>163830</xdr:colOff>
      <xdr:row>2</xdr:row>
      <xdr:rowOff>124460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E05920D4-83A3-0A75-B085-D0EA8FF5E2D6}"/>
            </a:ext>
          </a:extLst>
        </xdr:cNvPr>
        <xdr:cNvSpPr txBox="1"/>
      </xdr:nvSpPr>
      <xdr:spPr>
        <a:xfrm>
          <a:off x="190500" y="203200"/>
          <a:ext cx="3148330" cy="2895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b="1">
              <a:solidFill>
                <a:srgbClr val="FF0000"/>
              </a:solidFill>
            </a:rPr>
            <a:t>Resultados por pozo (gradiente y autocorrelación)</a:t>
          </a:r>
          <a:endParaRPr lang="es-CO" sz="1100" b="1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5704D-CAAC-4FBB-B8BD-1E550660D39A}">
  <dimension ref="A1:H22"/>
  <sheetViews>
    <sheetView tabSelected="1" zoomScale="90" zoomScaleNormal="90" workbookViewId="0">
      <selection activeCell="D35" sqref="D35"/>
    </sheetView>
  </sheetViews>
  <sheetFormatPr baseColWidth="10" defaultRowHeight="14.4" x14ac:dyDescent="0.3"/>
  <cols>
    <col min="1" max="1" width="28.6640625" style="1" bestFit="1" customWidth="1"/>
    <col min="2" max="3" width="11.5546875" style="1"/>
    <col min="4" max="4" width="12.77734375" style="1" bestFit="1" customWidth="1"/>
    <col min="5" max="8" width="11.5546875" style="1"/>
  </cols>
  <sheetData>
    <row r="1" spans="1:8" s="4" customFormat="1" x14ac:dyDescent="0.3">
      <c r="A1" s="5" t="s">
        <v>0</v>
      </c>
      <c r="B1" s="5" t="s">
        <v>71</v>
      </c>
      <c r="C1" s="5" t="s">
        <v>72</v>
      </c>
      <c r="D1" s="5" t="s">
        <v>73</v>
      </c>
      <c r="E1" s="5" t="s">
        <v>74</v>
      </c>
      <c r="F1" s="5" t="s">
        <v>168</v>
      </c>
      <c r="G1" s="5" t="s">
        <v>169</v>
      </c>
      <c r="H1" s="5" t="s">
        <v>75</v>
      </c>
    </row>
    <row r="2" spans="1:8" x14ac:dyDescent="0.3">
      <c r="A2" s="8" t="s">
        <v>76</v>
      </c>
      <c r="B2" s="6">
        <v>4.7</v>
      </c>
      <c r="C2" s="6">
        <v>15.28</v>
      </c>
      <c r="D2" s="6">
        <v>0.98</v>
      </c>
      <c r="E2" s="6">
        <v>0.97</v>
      </c>
      <c r="F2" s="7">
        <v>0.14000000000000001</v>
      </c>
      <c r="G2" s="6">
        <v>0.42</v>
      </c>
      <c r="H2" s="6" t="str">
        <f>IF(G2&lt;0.4,"Dinámico",IF(G2&lt;0.8,"Transicional","Estable"))</f>
        <v>Transicional</v>
      </c>
    </row>
    <row r="3" spans="1:8" x14ac:dyDescent="0.3">
      <c r="A3" s="8" t="s">
        <v>77</v>
      </c>
      <c r="B3" s="6">
        <v>0.64</v>
      </c>
      <c r="C3" s="6">
        <v>3.13</v>
      </c>
      <c r="D3" s="6">
        <v>7.4999999999999997E-2</v>
      </c>
      <c r="E3" s="6">
        <v>0.91</v>
      </c>
      <c r="F3" s="7">
        <v>0.2</v>
      </c>
      <c r="G3" s="6">
        <v>0.84</v>
      </c>
      <c r="H3" s="6" t="str">
        <f t="shared" ref="H3:H18" si="0">IF(G3&lt;0.4,"Dinámico",IF(G3&lt;0.8,"Transicional","Estable"))</f>
        <v>Estable</v>
      </c>
    </row>
    <row r="4" spans="1:8" x14ac:dyDescent="0.3">
      <c r="A4" s="8" t="s">
        <v>78</v>
      </c>
      <c r="B4" s="6">
        <v>2.78</v>
      </c>
      <c r="C4" s="6">
        <v>8.19</v>
      </c>
      <c r="D4" s="6">
        <v>0.38</v>
      </c>
      <c r="E4" s="6">
        <v>0.94</v>
      </c>
      <c r="F4" s="7">
        <v>0.19</v>
      </c>
      <c r="G4" s="6">
        <v>0.62</v>
      </c>
      <c r="H4" s="6" t="str">
        <f t="shared" si="0"/>
        <v>Transicional</v>
      </c>
    </row>
    <row r="5" spans="1:8" x14ac:dyDescent="0.3">
      <c r="A5" s="8" t="s">
        <v>79</v>
      </c>
      <c r="B5" s="6">
        <v>3.85</v>
      </c>
      <c r="C5" s="6">
        <v>10.42</v>
      </c>
      <c r="D5" s="6">
        <v>-0.12</v>
      </c>
      <c r="E5" s="6">
        <v>0.95</v>
      </c>
      <c r="F5" s="7">
        <v>0.12</v>
      </c>
      <c r="G5" s="6">
        <v>0.55000000000000004</v>
      </c>
      <c r="H5" s="6" t="str">
        <f t="shared" si="0"/>
        <v>Transicional</v>
      </c>
    </row>
    <row r="6" spans="1:8" x14ac:dyDescent="0.3">
      <c r="A6" s="8" t="s">
        <v>80</v>
      </c>
      <c r="B6" s="6">
        <v>0.62</v>
      </c>
      <c r="C6" s="6">
        <v>2.3199999999999998</v>
      </c>
      <c r="D6" s="6">
        <v>0.05</v>
      </c>
      <c r="E6" s="6">
        <v>0.88</v>
      </c>
      <c r="F6" s="7">
        <v>0.09</v>
      </c>
      <c r="G6" s="6">
        <v>0.88</v>
      </c>
      <c r="H6" s="6" t="str">
        <f t="shared" si="0"/>
        <v>Estable</v>
      </c>
    </row>
    <row r="7" spans="1:8" x14ac:dyDescent="0.3">
      <c r="A7" s="8" t="s">
        <v>81</v>
      </c>
      <c r="B7" s="6">
        <v>0.79</v>
      </c>
      <c r="C7" s="6">
        <v>2.5099999999999998</v>
      </c>
      <c r="D7" s="6">
        <v>0.09</v>
      </c>
      <c r="E7" s="6">
        <v>0.9</v>
      </c>
      <c r="F7" s="7">
        <v>0.09</v>
      </c>
      <c r="G7" s="6">
        <v>0.83</v>
      </c>
      <c r="H7" s="6" t="str">
        <f t="shared" si="0"/>
        <v>Estable</v>
      </c>
    </row>
    <row r="8" spans="1:8" x14ac:dyDescent="0.3">
      <c r="A8" s="8" t="s">
        <v>82</v>
      </c>
      <c r="B8" s="6">
        <v>5.12</v>
      </c>
      <c r="C8" s="6">
        <v>23.37</v>
      </c>
      <c r="D8" s="6">
        <v>1.04</v>
      </c>
      <c r="E8" s="6">
        <v>0.98</v>
      </c>
      <c r="F8" s="7">
        <v>0.12</v>
      </c>
      <c r="G8" s="6">
        <v>0.21</v>
      </c>
      <c r="H8" s="6" t="str">
        <f t="shared" si="0"/>
        <v>Dinámico</v>
      </c>
    </row>
    <row r="9" spans="1:8" x14ac:dyDescent="0.3">
      <c r="A9" s="8" t="s">
        <v>83</v>
      </c>
      <c r="B9" s="6">
        <v>0.47</v>
      </c>
      <c r="C9" s="6">
        <v>1.86</v>
      </c>
      <c r="D9" s="6">
        <v>7.0000000000000007E-2</v>
      </c>
      <c r="E9" s="6">
        <v>0.87</v>
      </c>
      <c r="F9" s="7">
        <v>0.16</v>
      </c>
      <c r="G9" s="6">
        <v>0.9</v>
      </c>
      <c r="H9" s="6" t="str">
        <f t="shared" si="0"/>
        <v>Estable</v>
      </c>
    </row>
    <row r="10" spans="1:8" x14ac:dyDescent="0.3">
      <c r="A10" s="8" t="s">
        <v>84</v>
      </c>
      <c r="B10" s="6">
        <v>6.4</v>
      </c>
      <c r="C10" s="6">
        <v>29.07</v>
      </c>
      <c r="D10" s="6">
        <v>1.42</v>
      </c>
      <c r="E10" s="6">
        <v>0.99</v>
      </c>
      <c r="F10" s="7">
        <v>0.11</v>
      </c>
      <c r="G10" s="6">
        <v>0.18</v>
      </c>
      <c r="H10" s="6" t="str">
        <f t="shared" si="0"/>
        <v>Dinámico</v>
      </c>
    </row>
    <row r="11" spans="1:8" x14ac:dyDescent="0.3">
      <c r="A11" s="8" t="s">
        <v>85</v>
      </c>
      <c r="B11" s="6">
        <v>0.88</v>
      </c>
      <c r="C11" s="6">
        <v>3.96</v>
      </c>
      <c r="D11" s="6">
        <v>0.45</v>
      </c>
      <c r="E11" s="6">
        <v>0.93</v>
      </c>
      <c r="F11" s="7">
        <v>0.12</v>
      </c>
      <c r="G11" s="6">
        <v>0.71</v>
      </c>
      <c r="H11" s="6" t="str">
        <f t="shared" si="0"/>
        <v>Transicional</v>
      </c>
    </row>
    <row r="12" spans="1:8" x14ac:dyDescent="0.3">
      <c r="A12" s="8" t="s">
        <v>86</v>
      </c>
      <c r="B12" s="6">
        <v>7.9</v>
      </c>
      <c r="C12" s="6">
        <v>25.67</v>
      </c>
      <c r="D12" s="6">
        <v>1.61</v>
      </c>
      <c r="E12" s="6">
        <v>0.99</v>
      </c>
      <c r="F12" s="7">
        <v>0.05</v>
      </c>
      <c r="G12" s="6">
        <v>0.14000000000000001</v>
      </c>
      <c r="H12" s="6" t="str">
        <f t="shared" si="0"/>
        <v>Dinámico</v>
      </c>
    </row>
    <row r="13" spans="1:8" x14ac:dyDescent="0.3">
      <c r="A13" s="8" t="s">
        <v>87</v>
      </c>
      <c r="B13" s="6">
        <v>3.72</v>
      </c>
      <c r="C13" s="6">
        <v>20.45</v>
      </c>
      <c r="D13" s="6">
        <v>0.82</v>
      </c>
      <c r="E13" s="6">
        <v>0.96</v>
      </c>
      <c r="F13" s="7">
        <v>7.0000000000000007E-2</v>
      </c>
      <c r="G13" s="6">
        <v>0.5</v>
      </c>
      <c r="H13" s="6" t="str">
        <f t="shared" si="0"/>
        <v>Transicional</v>
      </c>
    </row>
    <row r="14" spans="1:8" x14ac:dyDescent="0.3">
      <c r="A14" s="8" t="s">
        <v>88</v>
      </c>
      <c r="B14" s="6">
        <v>2.4</v>
      </c>
      <c r="C14" s="6">
        <v>7.62</v>
      </c>
      <c r="D14" s="6">
        <v>0.49</v>
      </c>
      <c r="E14" s="6">
        <v>0.94</v>
      </c>
      <c r="F14" s="7">
        <v>0.11</v>
      </c>
      <c r="G14" s="6">
        <v>0.68</v>
      </c>
      <c r="H14" s="6" t="str">
        <f t="shared" si="0"/>
        <v>Transicional</v>
      </c>
    </row>
    <row r="15" spans="1:8" x14ac:dyDescent="0.3">
      <c r="A15" s="8" t="s">
        <v>89</v>
      </c>
      <c r="B15" s="6">
        <v>6.85</v>
      </c>
      <c r="C15" s="6">
        <v>24.6</v>
      </c>
      <c r="D15" s="6">
        <v>1.39</v>
      </c>
      <c r="E15" s="6">
        <v>0.98</v>
      </c>
      <c r="F15" s="7">
        <v>0.1</v>
      </c>
      <c r="G15" s="6">
        <v>0.23</v>
      </c>
      <c r="H15" s="6" t="str">
        <f t="shared" si="0"/>
        <v>Dinámico</v>
      </c>
    </row>
    <row r="16" spans="1:8" x14ac:dyDescent="0.3">
      <c r="A16" s="8" t="s">
        <v>90</v>
      </c>
      <c r="B16" s="6">
        <v>1.47</v>
      </c>
      <c r="C16" s="6">
        <v>4.6900000000000004</v>
      </c>
      <c r="D16" s="6">
        <v>0.31</v>
      </c>
      <c r="E16" s="6">
        <v>0.92</v>
      </c>
      <c r="F16" s="7">
        <v>0.17</v>
      </c>
      <c r="G16" s="6">
        <v>0.74</v>
      </c>
      <c r="H16" s="6" t="str">
        <f t="shared" si="0"/>
        <v>Transicional</v>
      </c>
    </row>
    <row r="17" spans="1:8" x14ac:dyDescent="0.3">
      <c r="A17" s="8" t="s">
        <v>91</v>
      </c>
      <c r="B17" s="6">
        <v>6.3</v>
      </c>
      <c r="C17" s="6">
        <v>23.52</v>
      </c>
      <c r="D17" s="6">
        <v>1.64</v>
      </c>
      <c r="E17" s="6">
        <v>0.99</v>
      </c>
      <c r="F17" s="7">
        <v>0.15</v>
      </c>
      <c r="G17" s="6">
        <v>0.19</v>
      </c>
      <c r="H17" s="6" t="str">
        <f t="shared" si="0"/>
        <v>Dinámico</v>
      </c>
    </row>
    <row r="18" spans="1:8" x14ac:dyDescent="0.3">
      <c r="A18" s="8" t="s">
        <v>92</v>
      </c>
      <c r="B18" s="6">
        <v>3.02</v>
      </c>
      <c r="C18" s="6">
        <v>12.13</v>
      </c>
      <c r="D18" s="6">
        <v>0.55000000000000004</v>
      </c>
      <c r="E18" s="6">
        <v>0.95</v>
      </c>
      <c r="F18" s="7">
        <v>0.11</v>
      </c>
      <c r="G18" s="6">
        <v>0.57999999999999996</v>
      </c>
      <c r="H18" s="6" t="str">
        <f t="shared" si="0"/>
        <v>Transicional</v>
      </c>
    </row>
    <row r="19" spans="1:8" x14ac:dyDescent="0.3">
      <c r="D19" s="27" t="s">
        <v>169</v>
      </c>
      <c r="E19" s="27"/>
    </row>
    <row r="20" spans="1:8" x14ac:dyDescent="0.3">
      <c r="D20" s="12" t="s">
        <v>165</v>
      </c>
      <c r="E20" s="13">
        <f>COUNTIF(H2:H18,"Estable")</f>
        <v>4</v>
      </c>
    </row>
    <row r="21" spans="1:8" x14ac:dyDescent="0.3">
      <c r="D21" s="12" t="s">
        <v>166</v>
      </c>
      <c r="E21" s="13">
        <f>COUNTIF(H2:H18,"Transicional")</f>
        <v>8</v>
      </c>
    </row>
    <row r="22" spans="1:8" x14ac:dyDescent="0.3">
      <c r="D22" s="12" t="s">
        <v>167</v>
      </c>
      <c r="E22" s="13">
        <f>COUNTIF(H2:H18,"Dinámico")</f>
        <v>5</v>
      </c>
    </row>
  </sheetData>
  <mergeCells count="1">
    <mergeCell ref="D19:E1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5CFDE-ABEE-48E9-8B09-004297EAAD1A}">
  <dimension ref="A1:D18"/>
  <sheetViews>
    <sheetView workbookViewId="0">
      <selection activeCell="H32" sqref="H32"/>
    </sheetView>
  </sheetViews>
  <sheetFormatPr baseColWidth="10" defaultRowHeight="14.4" x14ac:dyDescent="0.3"/>
  <cols>
    <col min="1" max="1" width="18.5546875" customWidth="1"/>
    <col min="2" max="4" width="11.5546875" style="1"/>
  </cols>
  <sheetData>
    <row r="1" spans="1:4" s="3" customFormat="1" x14ac:dyDescent="0.3">
      <c r="A1" s="9" t="s">
        <v>0</v>
      </c>
      <c r="B1" s="9" t="s">
        <v>1</v>
      </c>
      <c r="C1" s="9" t="s">
        <v>2</v>
      </c>
      <c r="D1" s="9" t="s">
        <v>3</v>
      </c>
    </row>
    <row r="2" spans="1:4" x14ac:dyDescent="0.3">
      <c r="A2" s="10" t="s">
        <v>4</v>
      </c>
      <c r="B2" s="6" t="s">
        <v>5</v>
      </c>
      <c r="C2" s="6" t="s">
        <v>6</v>
      </c>
      <c r="D2" s="6" t="s">
        <v>7</v>
      </c>
    </row>
    <row r="3" spans="1:4" x14ac:dyDescent="0.3">
      <c r="A3" s="10" t="s">
        <v>8</v>
      </c>
      <c r="B3" s="6" t="s">
        <v>9</v>
      </c>
      <c r="C3" s="6" t="s">
        <v>10</v>
      </c>
      <c r="D3" s="6" t="s">
        <v>11</v>
      </c>
    </row>
    <row r="4" spans="1:4" x14ac:dyDescent="0.3">
      <c r="A4" s="10" t="s">
        <v>12</v>
      </c>
      <c r="B4" s="6" t="s">
        <v>13</v>
      </c>
      <c r="C4" s="6" t="s">
        <v>14</v>
      </c>
      <c r="D4" s="6" t="s">
        <v>15</v>
      </c>
    </row>
    <row r="5" spans="1:4" x14ac:dyDescent="0.3">
      <c r="A5" s="10" t="s">
        <v>16</v>
      </c>
      <c r="B5" s="6" t="s">
        <v>17</v>
      </c>
      <c r="C5" s="6" t="s">
        <v>18</v>
      </c>
      <c r="D5" s="6" t="s">
        <v>19</v>
      </c>
    </row>
    <row r="6" spans="1:4" x14ac:dyDescent="0.3">
      <c r="A6" s="10" t="s">
        <v>20</v>
      </c>
      <c r="B6" s="6" t="s">
        <v>21</v>
      </c>
      <c r="C6" s="6" t="s">
        <v>22</v>
      </c>
      <c r="D6" s="6" t="s">
        <v>23</v>
      </c>
    </row>
    <row r="7" spans="1:4" x14ac:dyDescent="0.3">
      <c r="A7" s="10" t="s">
        <v>24</v>
      </c>
      <c r="B7" s="6" t="s">
        <v>25</v>
      </c>
      <c r="C7" s="6" t="s">
        <v>26</v>
      </c>
      <c r="D7" s="6" t="s">
        <v>27</v>
      </c>
    </row>
    <row r="8" spans="1:4" x14ac:dyDescent="0.3">
      <c r="A8" s="10" t="s">
        <v>28</v>
      </c>
      <c r="B8" s="6" t="s">
        <v>29</v>
      </c>
      <c r="C8" s="6" t="s">
        <v>30</v>
      </c>
      <c r="D8" s="6" t="s">
        <v>31</v>
      </c>
    </row>
    <row r="9" spans="1:4" x14ac:dyDescent="0.3">
      <c r="A9" s="10" t="s">
        <v>32</v>
      </c>
      <c r="B9" s="6" t="s">
        <v>33</v>
      </c>
      <c r="C9" s="6" t="s">
        <v>34</v>
      </c>
      <c r="D9" s="6" t="s">
        <v>35</v>
      </c>
    </row>
    <row r="10" spans="1:4" x14ac:dyDescent="0.3">
      <c r="A10" s="10" t="s">
        <v>36</v>
      </c>
      <c r="B10" s="6" t="s">
        <v>37</v>
      </c>
      <c r="C10" s="6" t="s">
        <v>38</v>
      </c>
      <c r="D10" s="6" t="s">
        <v>39</v>
      </c>
    </row>
    <row r="11" spans="1:4" x14ac:dyDescent="0.3">
      <c r="A11" s="10" t="s">
        <v>40</v>
      </c>
      <c r="B11" s="6" t="s">
        <v>41</v>
      </c>
      <c r="C11" s="6" t="s">
        <v>42</v>
      </c>
      <c r="D11" s="6" t="s">
        <v>43</v>
      </c>
    </row>
    <row r="12" spans="1:4" x14ac:dyDescent="0.3">
      <c r="A12" s="10" t="s">
        <v>44</v>
      </c>
      <c r="B12" s="6" t="s">
        <v>45</v>
      </c>
      <c r="C12" s="6" t="s">
        <v>46</v>
      </c>
      <c r="D12" s="6" t="s">
        <v>47</v>
      </c>
    </row>
    <row r="13" spans="1:4" x14ac:dyDescent="0.3">
      <c r="A13" s="10" t="s">
        <v>48</v>
      </c>
      <c r="B13" s="6" t="s">
        <v>49</v>
      </c>
      <c r="C13" s="6" t="s">
        <v>50</v>
      </c>
      <c r="D13" s="6" t="s">
        <v>51</v>
      </c>
    </row>
    <row r="14" spans="1:4" x14ac:dyDescent="0.3">
      <c r="A14" s="10" t="s">
        <v>52</v>
      </c>
      <c r="B14" s="6" t="s">
        <v>53</v>
      </c>
      <c r="C14" s="6" t="s">
        <v>54</v>
      </c>
      <c r="D14" s="6" t="s">
        <v>55</v>
      </c>
    </row>
    <row r="15" spans="1:4" x14ac:dyDescent="0.3">
      <c r="A15" s="10" t="s">
        <v>56</v>
      </c>
      <c r="B15" s="6" t="s">
        <v>57</v>
      </c>
      <c r="C15" s="6" t="s">
        <v>58</v>
      </c>
      <c r="D15" s="6" t="s">
        <v>59</v>
      </c>
    </row>
    <row r="16" spans="1:4" x14ac:dyDescent="0.3">
      <c r="A16" s="10" t="s">
        <v>60</v>
      </c>
      <c r="B16" s="6" t="s">
        <v>61</v>
      </c>
      <c r="C16" s="6" t="s">
        <v>13</v>
      </c>
      <c r="D16" s="6" t="s">
        <v>62</v>
      </c>
    </row>
    <row r="17" spans="1:4" x14ac:dyDescent="0.3">
      <c r="A17" s="10" t="s">
        <v>63</v>
      </c>
      <c r="B17" s="6" t="s">
        <v>64</v>
      </c>
      <c r="C17" s="6" t="s">
        <v>65</v>
      </c>
      <c r="D17" s="6" t="s">
        <v>66</v>
      </c>
    </row>
    <row r="18" spans="1:4" x14ac:dyDescent="0.3">
      <c r="A18" s="10" t="s">
        <v>67</v>
      </c>
      <c r="B18" s="6" t="s">
        <v>68</v>
      </c>
      <c r="C18" s="6" t="s">
        <v>69</v>
      </c>
      <c r="D18" s="6" t="s">
        <v>70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F2F79-420C-42BF-9AC6-6BA3F4DD1F52}">
  <dimension ref="A4:K21"/>
  <sheetViews>
    <sheetView workbookViewId="0">
      <selection activeCell="C31" sqref="C31"/>
    </sheetView>
  </sheetViews>
  <sheetFormatPr baseColWidth="10" defaultRowHeight="14.4" x14ac:dyDescent="0.3"/>
  <cols>
    <col min="1" max="1" width="45.33203125" style="2" customWidth="1"/>
    <col min="2" max="2" width="16" style="2" bestFit="1" customWidth="1"/>
    <col min="3" max="3" width="15.5546875" style="2" bestFit="1" customWidth="1"/>
    <col min="4" max="4" width="18" style="2" bestFit="1" customWidth="1"/>
    <col min="5" max="8" width="11.5546875" style="2"/>
    <col min="9" max="9" width="12.44140625" style="2" bestFit="1" customWidth="1"/>
    <col min="10" max="10" width="13.44140625" style="2" bestFit="1" customWidth="1"/>
    <col min="11" max="11" width="11.5546875" style="2"/>
  </cols>
  <sheetData>
    <row r="4" spans="1:11" s="11" customFormat="1" x14ac:dyDescent="0.3">
      <c r="A4" s="14" t="s">
        <v>0</v>
      </c>
      <c r="B4" s="14" t="s">
        <v>93</v>
      </c>
      <c r="C4" s="14" t="s">
        <v>94</v>
      </c>
      <c r="D4" s="14" t="s">
        <v>95</v>
      </c>
      <c r="E4" s="14" t="s">
        <v>96</v>
      </c>
      <c r="F4" s="14" t="s">
        <v>97</v>
      </c>
      <c r="G4" s="14" t="s">
        <v>98</v>
      </c>
      <c r="H4" s="15" t="s">
        <v>116</v>
      </c>
      <c r="I4" s="9" t="s">
        <v>117</v>
      </c>
      <c r="J4" s="9" t="s">
        <v>118</v>
      </c>
      <c r="K4" s="20" t="s">
        <v>119</v>
      </c>
    </row>
    <row r="5" spans="1:11" x14ac:dyDescent="0.3">
      <c r="A5" s="21" t="s">
        <v>99</v>
      </c>
      <c r="B5" s="22">
        <v>1.05</v>
      </c>
      <c r="C5" s="13">
        <v>1.0409999999999999</v>
      </c>
      <c r="D5" s="13">
        <v>8.9999999999999993E-3</v>
      </c>
      <c r="E5" s="13">
        <v>0.999</v>
      </c>
      <c r="F5" s="13">
        <v>0.999</v>
      </c>
      <c r="G5" s="13">
        <v>0</v>
      </c>
      <c r="H5" s="16">
        <v>1</v>
      </c>
      <c r="I5" s="16" t="s">
        <v>132</v>
      </c>
      <c r="J5" s="16" t="s">
        <v>133</v>
      </c>
      <c r="K5" s="16">
        <v>39.74</v>
      </c>
    </row>
    <row r="6" spans="1:11" x14ac:dyDescent="0.3">
      <c r="A6" s="12" t="s">
        <v>100</v>
      </c>
      <c r="B6" s="13">
        <v>0.107</v>
      </c>
      <c r="C6" s="13">
        <v>0.107</v>
      </c>
      <c r="D6" s="13">
        <v>0</v>
      </c>
      <c r="E6" s="13">
        <v>0.99099999999999999</v>
      </c>
      <c r="F6" s="13">
        <v>0.99199999999999999</v>
      </c>
      <c r="G6" s="13">
        <v>1E-3</v>
      </c>
      <c r="H6" s="16">
        <v>1</v>
      </c>
      <c r="I6" s="16" t="s">
        <v>132</v>
      </c>
      <c r="J6" s="16" t="s">
        <v>133</v>
      </c>
      <c r="K6" s="16">
        <v>6.97</v>
      </c>
    </row>
    <row r="7" spans="1:11" x14ac:dyDescent="0.3">
      <c r="A7" s="12" t="s">
        <v>101</v>
      </c>
      <c r="B7" s="13">
        <v>0.83599999999999997</v>
      </c>
      <c r="C7" s="13">
        <v>0.83199999999999996</v>
      </c>
      <c r="D7" s="13">
        <v>4.0000000000000001E-3</v>
      </c>
      <c r="E7" s="13">
        <v>0.99099999999999999</v>
      </c>
      <c r="F7" s="13">
        <v>0.99099999999999999</v>
      </c>
      <c r="G7" s="13">
        <v>0</v>
      </c>
      <c r="H7" s="16">
        <v>1</v>
      </c>
      <c r="I7" s="16" t="s">
        <v>134</v>
      </c>
      <c r="J7" s="16" t="s">
        <v>135</v>
      </c>
      <c r="K7" s="16">
        <v>30.9</v>
      </c>
    </row>
    <row r="8" spans="1:11" x14ac:dyDescent="0.3">
      <c r="A8" s="12" t="s">
        <v>102</v>
      </c>
      <c r="B8" s="13">
        <v>0.76</v>
      </c>
      <c r="C8" s="13">
        <v>0.754</v>
      </c>
      <c r="D8" s="13">
        <v>6.0000000000000001E-3</v>
      </c>
      <c r="E8" s="13">
        <v>0.999</v>
      </c>
      <c r="F8" s="13">
        <v>0.998</v>
      </c>
      <c r="G8" s="13">
        <v>1E-3</v>
      </c>
      <c r="H8" s="16">
        <v>1</v>
      </c>
      <c r="I8" s="16" t="s">
        <v>142</v>
      </c>
      <c r="J8" s="16" t="s">
        <v>143</v>
      </c>
      <c r="K8" s="16">
        <v>36.26</v>
      </c>
    </row>
    <row r="9" spans="1:11" x14ac:dyDescent="0.3">
      <c r="A9" s="21" t="s">
        <v>103</v>
      </c>
      <c r="B9" s="22">
        <v>1.498</v>
      </c>
      <c r="C9" s="13">
        <v>1.4830000000000001</v>
      </c>
      <c r="D9" s="13">
        <v>1.4999999999999999E-2</v>
      </c>
      <c r="E9" s="13">
        <v>0.999</v>
      </c>
      <c r="F9" s="13">
        <v>0.999</v>
      </c>
      <c r="G9" s="13">
        <v>0</v>
      </c>
      <c r="H9" s="19">
        <v>3</v>
      </c>
      <c r="I9" s="19" t="s">
        <v>136</v>
      </c>
      <c r="J9" s="19" t="s">
        <v>137</v>
      </c>
      <c r="K9" s="19">
        <v>56.13</v>
      </c>
    </row>
    <row r="10" spans="1:11" x14ac:dyDescent="0.3">
      <c r="A10" s="12" t="s">
        <v>104</v>
      </c>
      <c r="B10" s="13">
        <v>0.48</v>
      </c>
      <c r="C10" s="13">
        <v>0.46100000000000002</v>
      </c>
      <c r="D10" s="13">
        <v>1.9E-2</v>
      </c>
      <c r="E10" s="13">
        <v>0.98099999999999998</v>
      </c>
      <c r="F10" s="13">
        <v>0.98</v>
      </c>
      <c r="G10" s="13">
        <v>1E-3</v>
      </c>
      <c r="H10" s="19">
        <v>3</v>
      </c>
      <c r="I10" s="19" t="s">
        <v>138</v>
      </c>
      <c r="J10" s="19" t="s">
        <v>139</v>
      </c>
      <c r="K10" s="19">
        <v>11.29</v>
      </c>
    </row>
    <row r="11" spans="1:11" x14ac:dyDescent="0.3">
      <c r="A11" s="21" t="s">
        <v>105</v>
      </c>
      <c r="B11" s="22">
        <v>1.2210000000000001</v>
      </c>
      <c r="C11" s="13">
        <v>1.2070000000000001</v>
      </c>
      <c r="D11" s="13">
        <v>1.4E-2</v>
      </c>
      <c r="E11" s="13">
        <v>0.998</v>
      </c>
      <c r="F11" s="13">
        <v>0.998</v>
      </c>
      <c r="G11" s="13">
        <v>0</v>
      </c>
      <c r="H11" s="19">
        <v>3</v>
      </c>
      <c r="I11" s="19" t="s">
        <v>140</v>
      </c>
      <c r="J11" s="19" t="s">
        <v>141</v>
      </c>
      <c r="K11" s="19">
        <v>62.69</v>
      </c>
    </row>
    <row r="12" spans="1:11" x14ac:dyDescent="0.3">
      <c r="A12" s="12" t="s">
        <v>106</v>
      </c>
      <c r="B12" s="13">
        <v>0.111</v>
      </c>
      <c r="C12" s="13">
        <v>9.8000000000000004E-2</v>
      </c>
      <c r="D12" s="13">
        <v>1.2999999999999999E-2</v>
      </c>
      <c r="E12" s="13">
        <v>0.95</v>
      </c>
      <c r="F12" s="13">
        <v>0.95299999999999996</v>
      </c>
      <c r="G12" s="13">
        <v>3.0000000000000001E-3</v>
      </c>
      <c r="H12" s="18">
        <v>2</v>
      </c>
      <c r="I12" s="18" t="s">
        <v>122</v>
      </c>
      <c r="J12" s="18" t="s">
        <v>123</v>
      </c>
      <c r="K12" s="18">
        <v>10.35</v>
      </c>
    </row>
    <row r="13" spans="1:11" x14ac:dyDescent="0.3">
      <c r="A13" s="12" t="s">
        <v>107</v>
      </c>
      <c r="B13" s="13">
        <v>0.36099999999999999</v>
      </c>
      <c r="C13" s="13">
        <v>0.35899999999999999</v>
      </c>
      <c r="D13" s="13">
        <v>2E-3</v>
      </c>
      <c r="E13" s="13">
        <v>0.99399999999999999</v>
      </c>
      <c r="F13" s="13">
        <v>0.99399999999999999</v>
      </c>
      <c r="G13" s="13">
        <v>0</v>
      </c>
      <c r="H13" s="16">
        <v>1</v>
      </c>
      <c r="I13" s="16" t="s">
        <v>120</v>
      </c>
      <c r="J13" s="16" t="s">
        <v>121</v>
      </c>
      <c r="K13" s="16">
        <v>57.81</v>
      </c>
    </row>
    <row r="14" spans="1:11" x14ac:dyDescent="0.3">
      <c r="A14" s="12" t="s">
        <v>108</v>
      </c>
      <c r="B14" s="13">
        <v>0.70599999999999996</v>
      </c>
      <c r="C14" s="13">
        <v>0.69399999999999995</v>
      </c>
      <c r="D14" s="13">
        <v>1.2E-2</v>
      </c>
      <c r="E14" s="13">
        <v>0.999</v>
      </c>
      <c r="F14" s="13">
        <v>0.999</v>
      </c>
      <c r="G14" s="13">
        <v>0</v>
      </c>
      <c r="H14" s="17">
        <v>0</v>
      </c>
      <c r="I14" s="17" t="s">
        <v>130</v>
      </c>
      <c r="J14" s="17" t="s">
        <v>131</v>
      </c>
      <c r="K14" s="17">
        <v>41.01</v>
      </c>
    </row>
    <row r="15" spans="1:11" x14ac:dyDescent="0.3">
      <c r="A15" s="12" t="s">
        <v>109</v>
      </c>
      <c r="B15" s="13">
        <v>4.7E-2</v>
      </c>
      <c r="C15" s="13">
        <v>4.7E-2</v>
      </c>
      <c r="D15" s="13">
        <v>0</v>
      </c>
      <c r="E15" s="13">
        <v>0.99399999999999999</v>
      </c>
      <c r="F15" s="13">
        <v>0.99399999999999999</v>
      </c>
      <c r="G15" s="13">
        <v>0</v>
      </c>
      <c r="H15" s="18">
        <v>2</v>
      </c>
      <c r="I15" s="18" t="s">
        <v>130</v>
      </c>
      <c r="J15" s="18" t="s">
        <v>131</v>
      </c>
      <c r="K15" s="18">
        <v>3.44</v>
      </c>
    </row>
    <row r="16" spans="1:11" x14ac:dyDescent="0.3">
      <c r="A16" s="12" t="s">
        <v>110</v>
      </c>
      <c r="B16" s="13">
        <v>0.39500000000000002</v>
      </c>
      <c r="C16" s="13">
        <v>0.38800000000000001</v>
      </c>
      <c r="D16" s="13">
        <v>7.0000000000000001E-3</v>
      </c>
      <c r="E16" s="13">
        <v>0.999</v>
      </c>
      <c r="F16" s="13">
        <v>0.999</v>
      </c>
      <c r="G16" s="13">
        <v>0</v>
      </c>
      <c r="H16" s="16">
        <v>1</v>
      </c>
      <c r="I16" s="16" t="s">
        <v>126</v>
      </c>
      <c r="J16" s="16" t="s">
        <v>127</v>
      </c>
      <c r="K16" s="16">
        <v>74.42</v>
      </c>
    </row>
    <row r="17" spans="1:11" x14ac:dyDescent="0.3">
      <c r="A17" s="12" t="s">
        <v>111</v>
      </c>
      <c r="B17" s="13">
        <v>0.02</v>
      </c>
      <c r="C17" s="13">
        <v>2.3E-2</v>
      </c>
      <c r="D17" s="13">
        <v>3.0000000000000001E-3</v>
      </c>
      <c r="E17" s="13">
        <v>0.97399999999999998</v>
      </c>
      <c r="F17" s="13">
        <v>0.97599999999999998</v>
      </c>
      <c r="G17" s="13">
        <v>2E-3</v>
      </c>
      <c r="H17" s="18">
        <v>2</v>
      </c>
      <c r="I17" s="18" t="s">
        <v>128</v>
      </c>
      <c r="J17" s="18" t="s">
        <v>129</v>
      </c>
      <c r="K17" s="18">
        <v>5.14</v>
      </c>
    </row>
    <row r="18" spans="1:11" x14ac:dyDescent="0.3">
      <c r="A18" s="12" t="s">
        <v>112</v>
      </c>
      <c r="B18" s="13">
        <v>4.3999999999999997E-2</v>
      </c>
      <c r="C18" s="13">
        <v>4.3999999999999997E-2</v>
      </c>
      <c r="D18" s="13">
        <v>0</v>
      </c>
      <c r="E18" s="13">
        <v>0.96099999999999997</v>
      </c>
      <c r="F18" s="13">
        <v>0.96399999999999997</v>
      </c>
      <c r="G18" s="13">
        <v>3.0000000000000001E-3</v>
      </c>
      <c r="H18" s="18">
        <v>2</v>
      </c>
      <c r="I18" s="18" t="s">
        <v>128</v>
      </c>
      <c r="J18" s="18" t="s">
        <v>129</v>
      </c>
      <c r="K18" s="18">
        <v>5.52</v>
      </c>
    </row>
    <row r="19" spans="1:11" x14ac:dyDescent="0.3">
      <c r="A19" s="25" t="s">
        <v>113</v>
      </c>
      <c r="B19" s="26">
        <v>-6.3E-2</v>
      </c>
      <c r="C19" s="13">
        <v>-1.9E-2</v>
      </c>
      <c r="D19" s="13">
        <v>4.3999999999999997E-2</v>
      </c>
      <c r="E19" s="13">
        <v>0.98399999999999999</v>
      </c>
      <c r="F19" s="13">
        <v>0.86299999999999999</v>
      </c>
      <c r="G19" s="13">
        <v>0.121</v>
      </c>
      <c r="H19" s="18">
        <v>2</v>
      </c>
      <c r="I19" s="18" t="s">
        <v>124</v>
      </c>
      <c r="J19" s="18" t="s">
        <v>125</v>
      </c>
      <c r="K19" s="18">
        <v>10.33</v>
      </c>
    </row>
    <row r="20" spans="1:11" x14ac:dyDescent="0.3">
      <c r="A20" s="12" t="s">
        <v>114</v>
      </c>
      <c r="B20" s="13">
        <v>0.98</v>
      </c>
      <c r="C20" s="13">
        <v>0.98</v>
      </c>
      <c r="D20" s="13">
        <v>0</v>
      </c>
      <c r="E20" s="13">
        <v>0.996</v>
      </c>
      <c r="F20" s="13">
        <v>0.996</v>
      </c>
      <c r="G20" s="13">
        <v>0</v>
      </c>
      <c r="H20" s="16">
        <v>1</v>
      </c>
      <c r="I20" s="16" t="s">
        <v>120</v>
      </c>
      <c r="J20" s="16" t="s">
        <v>121</v>
      </c>
      <c r="K20" s="16">
        <v>36.01</v>
      </c>
    </row>
    <row r="21" spans="1:11" x14ac:dyDescent="0.3">
      <c r="A21" s="21" t="s">
        <v>115</v>
      </c>
      <c r="B21" s="22">
        <v>1.58</v>
      </c>
      <c r="C21" s="13">
        <v>1.569</v>
      </c>
      <c r="D21" s="13">
        <v>1.0999999999999999E-2</v>
      </c>
      <c r="E21" s="13">
        <v>0.999</v>
      </c>
      <c r="F21" s="13">
        <v>0.999</v>
      </c>
      <c r="G21" s="13">
        <v>0</v>
      </c>
      <c r="H21" s="16">
        <v>1</v>
      </c>
      <c r="I21" s="16" t="s">
        <v>144</v>
      </c>
      <c r="J21" s="16" t="s">
        <v>145</v>
      </c>
      <c r="K21" s="16">
        <v>86.42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E7AA4-AFBC-4907-AD97-2F28FD1E60D5}">
  <dimension ref="A1:K18"/>
  <sheetViews>
    <sheetView workbookViewId="0">
      <selection activeCell="A16" sqref="A16"/>
    </sheetView>
  </sheetViews>
  <sheetFormatPr baseColWidth="10" defaultRowHeight="14.4" x14ac:dyDescent="0.3"/>
  <cols>
    <col min="1" max="1" width="22.6640625" customWidth="1"/>
    <col min="2" max="2" width="16.5546875" bestFit="1" customWidth="1"/>
    <col min="3" max="3" width="16" bestFit="1" customWidth="1"/>
    <col min="4" max="4" width="18.44140625" bestFit="1" customWidth="1"/>
  </cols>
  <sheetData>
    <row r="1" spans="1:11" x14ac:dyDescent="0.3">
      <c r="A1" s="14" t="s">
        <v>0</v>
      </c>
      <c r="B1" s="14" t="s">
        <v>93</v>
      </c>
      <c r="C1" s="14" t="s">
        <v>94</v>
      </c>
      <c r="D1" s="14" t="s">
        <v>95</v>
      </c>
      <c r="E1" s="14" t="s">
        <v>96</v>
      </c>
      <c r="F1" s="14" t="s">
        <v>97</v>
      </c>
      <c r="G1" s="14" t="s">
        <v>98</v>
      </c>
      <c r="H1" s="15" t="s">
        <v>116</v>
      </c>
      <c r="I1" s="9" t="s">
        <v>163</v>
      </c>
      <c r="J1" s="9" t="s">
        <v>164</v>
      </c>
      <c r="K1" s="20" t="s">
        <v>119</v>
      </c>
    </row>
    <row r="2" spans="1:11" x14ac:dyDescent="0.3">
      <c r="A2" s="21" t="s">
        <v>146</v>
      </c>
      <c r="B2" s="22">
        <v>1.05</v>
      </c>
      <c r="C2" s="13">
        <v>1.0409999999999999</v>
      </c>
      <c r="D2" s="13">
        <v>8.9999999999999993E-3</v>
      </c>
      <c r="E2" s="13">
        <v>0.999</v>
      </c>
      <c r="F2" s="13">
        <v>0.999</v>
      </c>
      <c r="G2" s="13">
        <v>0</v>
      </c>
      <c r="H2" s="16">
        <v>1</v>
      </c>
      <c r="I2" s="16" t="s">
        <v>132</v>
      </c>
      <c r="J2" s="16" t="s">
        <v>133</v>
      </c>
      <c r="K2" s="16">
        <v>39.74</v>
      </c>
    </row>
    <row r="3" spans="1:11" x14ac:dyDescent="0.3">
      <c r="A3" s="12" t="s">
        <v>147</v>
      </c>
      <c r="B3" s="13">
        <v>0.107</v>
      </c>
      <c r="C3" s="13">
        <v>0.107</v>
      </c>
      <c r="D3" s="13">
        <v>0</v>
      </c>
      <c r="E3" s="13">
        <v>0.99099999999999999</v>
      </c>
      <c r="F3" s="13">
        <v>0.99199999999999999</v>
      </c>
      <c r="G3" s="13">
        <v>1E-3</v>
      </c>
      <c r="H3" s="16">
        <v>1</v>
      </c>
      <c r="I3" s="16" t="s">
        <v>132</v>
      </c>
      <c r="J3" s="16" t="s">
        <v>133</v>
      </c>
      <c r="K3" s="16">
        <v>6.97</v>
      </c>
    </row>
    <row r="4" spans="1:11" x14ac:dyDescent="0.3">
      <c r="A4" s="12" t="s">
        <v>148</v>
      </c>
      <c r="B4" s="13">
        <v>0.83599999999999997</v>
      </c>
      <c r="C4" s="13">
        <v>0.83199999999999996</v>
      </c>
      <c r="D4" s="13">
        <v>4.0000000000000001E-3</v>
      </c>
      <c r="E4" s="13">
        <v>0.99099999999999999</v>
      </c>
      <c r="F4" s="13">
        <v>0.99099999999999999</v>
      </c>
      <c r="G4" s="13">
        <v>0</v>
      </c>
      <c r="H4" s="16">
        <v>1</v>
      </c>
      <c r="I4" s="16" t="s">
        <v>134</v>
      </c>
      <c r="J4" s="16" t="s">
        <v>135</v>
      </c>
      <c r="K4" s="16">
        <v>30.9</v>
      </c>
    </row>
    <row r="5" spans="1:11" x14ac:dyDescent="0.3">
      <c r="A5" s="12" t="s">
        <v>149</v>
      </c>
      <c r="B5" s="13">
        <v>0.76</v>
      </c>
      <c r="C5" s="13">
        <v>0.754</v>
      </c>
      <c r="D5" s="13">
        <v>6.0000000000000001E-3</v>
      </c>
      <c r="E5" s="13">
        <v>0.999</v>
      </c>
      <c r="F5" s="13">
        <v>0.998</v>
      </c>
      <c r="G5" s="13">
        <v>1E-3</v>
      </c>
      <c r="H5" s="16">
        <v>1</v>
      </c>
      <c r="I5" s="16" t="s">
        <v>142</v>
      </c>
      <c r="J5" s="16" t="s">
        <v>143</v>
      </c>
      <c r="K5" s="16">
        <v>36.26</v>
      </c>
    </row>
    <row r="6" spans="1:11" x14ac:dyDescent="0.3">
      <c r="A6" s="21" t="s">
        <v>150</v>
      </c>
      <c r="B6" s="22">
        <v>1.498</v>
      </c>
      <c r="C6" s="13">
        <v>1.4830000000000001</v>
      </c>
      <c r="D6" s="13">
        <v>1.4999999999999999E-2</v>
      </c>
      <c r="E6" s="13">
        <v>0.999</v>
      </c>
      <c r="F6" s="13">
        <v>0.999</v>
      </c>
      <c r="G6" s="13">
        <v>0</v>
      </c>
      <c r="H6" s="19">
        <v>3</v>
      </c>
      <c r="I6" s="19" t="s">
        <v>136</v>
      </c>
      <c r="J6" s="19" t="s">
        <v>137</v>
      </c>
      <c r="K6" s="19">
        <v>56.13</v>
      </c>
    </row>
    <row r="7" spans="1:11" x14ac:dyDescent="0.3">
      <c r="A7" s="12" t="s">
        <v>151</v>
      </c>
      <c r="B7" s="13">
        <v>0.48</v>
      </c>
      <c r="C7" s="13">
        <v>0.46100000000000002</v>
      </c>
      <c r="D7" s="13">
        <v>1.9E-2</v>
      </c>
      <c r="E7" s="13">
        <v>0.98099999999999998</v>
      </c>
      <c r="F7" s="13">
        <v>0.98</v>
      </c>
      <c r="G7" s="13">
        <v>1E-3</v>
      </c>
      <c r="H7" s="19">
        <v>3</v>
      </c>
      <c r="I7" s="19" t="s">
        <v>138</v>
      </c>
      <c r="J7" s="19" t="s">
        <v>139</v>
      </c>
      <c r="K7" s="19">
        <v>11.29</v>
      </c>
    </row>
    <row r="8" spans="1:11" x14ac:dyDescent="0.3">
      <c r="A8" s="21" t="s">
        <v>152</v>
      </c>
      <c r="B8" s="22">
        <v>1.2210000000000001</v>
      </c>
      <c r="C8" s="13">
        <v>1.2070000000000001</v>
      </c>
      <c r="D8" s="13">
        <v>1.4E-2</v>
      </c>
      <c r="E8" s="13">
        <v>0.998</v>
      </c>
      <c r="F8" s="13">
        <v>0.998</v>
      </c>
      <c r="G8" s="13">
        <v>0</v>
      </c>
      <c r="H8" s="19">
        <v>3</v>
      </c>
      <c r="I8" s="19" t="s">
        <v>140</v>
      </c>
      <c r="J8" s="19" t="s">
        <v>141</v>
      </c>
      <c r="K8" s="19">
        <v>62.69</v>
      </c>
    </row>
    <row r="9" spans="1:11" x14ac:dyDescent="0.3">
      <c r="A9" s="12" t="s">
        <v>153</v>
      </c>
      <c r="B9" s="13">
        <v>0.111</v>
      </c>
      <c r="C9" s="13">
        <v>9.8000000000000004E-2</v>
      </c>
      <c r="D9" s="13">
        <v>1.2999999999999999E-2</v>
      </c>
      <c r="E9" s="13">
        <v>0.95</v>
      </c>
      <c r="F9" s="13">
        <v>0.95299999999999996</v>
      </c>
      <c r="G9" s="13">
        <v>3.0000000000000001E-3</v>
      </c>
      <c r="H9" s="18">
        <v>2</v>
      </c>
      <c r="I9" s="18" t="s">
        <v>122</v>
      </c>
      <c r="J9" s="18" t="s">
        <v>123</v>
      </c>
      <c r="K9" s="18">
        <v>10.35</v>
      </c>
    </row>
    <row r="10" spans="1:11" x14ac:dyDescent="0.3">
      <c r="A10" s="12" t="s">
        <v>154</v>
      </c>
      <c r="B10" s="13">
        <v>0.36099999999999999</v>
      </c>
      <c r="C10" s="13">
        <v>0.35899999999999999</v>
      </c>
      <c r="D10" s="13">
        <v>2E-3</v>
      </c>
      <c r="E10" s="13">
        <v>0.99399999999999999</v>
      </c>
      <c r="F10" s="13">
        <v>0.99399999999999999</v>
      </c>
      <c r="G10" s="13">
        <v>0</v>
      </c>
      <c r="H10" s="16">
        <v>1</v>
      </c>
      <c r="I10" s="16" t="s">
        <v>120</v>
      </c>
      <c r="J10" s="16" t="s">
        <v>121</v>
      </c>
      <c r="K10" s="16">
        <v>57.81</v>
      </c>
    </row>
    <row r="11" spans="1:11" x14ac:dyDescent="0.3">
      <c r="A11" s="12" t="s">
        <v>155</v>
      </c>
      <c r="B11" s="13">
        <v>0.70599999999999996</v>
      </c>
      <c r="C11" s="13">
        <v>0.69399999999999995</v>
      </c>
      <c r="D11" s="13">
        <v>1.2E-2</v>
      </c>
      <c r="E11" s="13">
        <v>0.999</v>
      </c>
      <c r="F11" s="13">
        <v>0.999</v>
      </c>
      <c r="G11" s="13">
        <v>0</v>
      </c>
      <c r="H11" s="17">
        <v>0</v>
      </c>
      <c r="I11" s="17" t="s">
        <v>130</v>
      </c>
      <c r="J11" s="17" t="s">
        <v>131</v>
      </c>
      <c r="K11" s="17">
        <v>41.01</v>
      </c>
    </row>
    <row r="12" spans="1:11" x14ac:dyDescent="0.3">
      <c r="A12" s="12" t="s">
        <v>156</v>
      </c>
      <c r="B12" s="13">
        <v>4.7E-2</v>
      </c>
      <c r="C12" s="13">
        <v>4.7E-2</v>
      </c>
      <c r="D12" s="13">
        <v>0</v>
      </c>
      <c r="E12" s="13">
        <v>0.99399999999999999</v>
      </c>
      <c r="F12" s="13">
        <v>0.99399999999999999</v>
      </c>
      <c r="G12" s="13">
        <v>0</v>
      </c>
      <c r="H12" s="18">
        <v>2</v>
      </c>
      <c r="I12" s="18" t="s">
        <v>130</v>
      </c>
      <c r="J12" s="18" t="s">
        <v>131</v>
      </c>
      <c r="K12" s="18">
        <v>3.44</v>
      </c>
    </row>
    <row r="13" spans="1:11" x14ac:dyDescent="0.3">
      <c r="A13" s="12" t="s">
        <v>157</v>
      </c>
      <c r="B13" s="13">
        <v>0.39500000000000002</v>
      </c>
      <c r="C13" s="13">
        <v>0.38800000000000001</v>
      </c>
      <c r="D13" s="13">
        <v>7.0000000000000001E-3</v>
      </c>
      <c r="E13" s="13">
        <v>0.999</v>
      </c>
      <c r="F13" s="13">
        <v>0.999</v>
      </c>
      <c r="G13" s="13">
        <v>0</v>
      </c>
      <c r="H13" s="16">
        <v>1</v>
      </c>
      <c r="I13" s="16" t="s">
        <v>126</v>
      </c>
      <c r="J13" s="16" t="s">
        <v>127</v>
      </c>
      <c r="K13" s="16">
        <v>74.42</v>
      </c>
    </row>
    <row r="14" spans="1:11" x14ac:dyDescent="0.3">
      <c r="A14" s="12" t="s">
        <v>158</v>
      </c>
      <c r="B14" s="13">
        <v>0.02</v>
      </c>
      <c r="C14" s="13">
        <v>2.3E-2</v>
      </c>
      <c r="D14" s="13">
        <v>3.0000000000000001E-3</v>
      </c>
      <c r="E14" s="13">
        <v>0.97399999999999998</v>
      </c>
      <c r="F14" s="13">
        <v>0.97599999999999998</v>
      </c>
      <c r="G14" s="13">
        <v>2E-3</v>
      </c>
      <c r="H14" s="18">
        <v>2</v>
      </c>
      <c r="I14" s="18" t="s">
        <v>128</v>
      </c>
      <c r="J14" s="18" t="s">
        <v>129</v>
      </c>
      <c r="K14" s="18">
        <v>5.14</v>
      </c>
    </row>
    <row r="15" spans="1:11" x14ac:dyDescent="0.3">
      <c r="A15" s="12" t="s">
        <v>159</v>
      </c>
      <c r="B15" s="13">
        <v>4.3999999999999997E-2</v>
      </c>
      <c r="C15" s="13">
        <v>4.3999999999999997E-2</v>
      </c>
      <c r="D15" s="13">
        <v>0</v>
      </c>
      <c r="E15" s="13">
        <v>0.96099999999999997</v>
      </c>
      <c r="F15" s="13">
        <v>0.96399999999999997</v>
      </c>
      <c r="G15" s="13">
        <v>3.0000000000000001E-3</v>
      </c>
      <c r="H15" s="18">
        <v>2</v>
      </c>
      <c r="I15" s="18" t="s">
        <v>128</v>
      </c>
      <c r="J15" s="18" t="s">
        <v>129</v>
      </c>
      <c r="K15" s="18">
        <v>5.52</v>
      </c>
    </row>
    <row r="16" spans="1:11" x14ac:dyDescent="0.3">
      <c r="A16" s="23" t="s">
        <v>160</v>
      </c>
      <c r="B16" s="24">
        <v>-6.3E-2</v>
      </c>
      <c r="C16" s="13">
        <v>-1.9E-2</v>
      </c>
      <c r="D16" s="13">
        <v>4.3999999999999997E-2</v>
      </c>
      <c r="E16" s="13">
        <v>0.98399999999999999</v>
      </c>
      <c r="F16" s="13">
        <v>0.86299999999999999</v>
      </c>
      <c r="G16" s="13">
        <v>0.121</v>
      </c>
      <c r="H16" s="18">
        <v>2</v>
      </c>
      <c r="I16" s="18" t="s">
        <v>124</v>
      </c>
      <c r="J16" s="18" t="s">
        <v>125</v>
      </c>
      <c r="K16" s="18">
        <v>10.33</v>
      </c>
    </row>
    <row r="17" spans="1:11" x14ac:dyDescent="0.3">
      <c r="A17" s="12" t="s">
        <v>161</v>
      </c>
      <c r="B17" s="13">
        <v>0.98</v>
      </c>
      <c r="C17" s="13">
        <v>0.98</v>
      </c>
      <c r="D17" s="13">
        <v>0</v>
      </c>
      <c r="E17" s="13">
        <v>0.996</v>
      </c>
      <c r="F17" s="13">
        <v>0.996</v>
      </c>
      <c r="G17" s="13">
        <v>0</v>
      </c>
      <c r="H17" s="16">
        <v>1</v>
      </c>
      <c r="I17" s="16" t="s">
        <v>120</v>
      </c>
      <c r="J17" s="16" t="s">
        <v>121</v>
      </c>
      <c r="K17" s="16">
        <v>36.01</v>
      </c>
    </row>
    <row r="18" spans="1:11" x14ac:dyDescent="0.3">
      <c r="A18" s="21" t="s">
        <v>162</v>
      </c>
      <c r="B18" s="22">
        <v>1.58</v>
      </c>
      <c r="C18" s="13">
        <v>1.569</v>
      </c>
      <c r="D18" s="13">
        <v>1.0999999999999999E-2</v>
      </c>
      <c r="E18" s="13">
        <v>0.999</v>
      </c>
      <c r="F18" s="13">
        <v>0.999</v>
      </c>
      <c r="G18" s="13">
        <v>0</v>
      </c>
      <c r="H18" s="16">
        <v>1</v>
      </c>
      <c r="I18" s="16" t="s">
        <v>144</v>
      </c>
      <c r="J18" s="16" t="s">
        <v>145</v>
      </c>
      <c r="K18" s="16">
        <v>86.42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ISAC por Pozo</vt:lpstr>
      <vt:lpstr>Tabla Bayesiana</vt:lpstr>
      <vt:lpstr>Gradiente y AutoCorrelación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Segundo Cohen Manrique</dc:creator>
  <cp:lastModifiedBy>Carlos Segundo Cohen Manrique</cp:lastModifiedBy>
  <dcterms:created xsi:type="dcterms:W3CDTF">2026-03-02T20:16:25Z</dcterms:created>
  <dcterms:modified xsi:type="dcterms:W3CDTF">2026-07-21T04:24:02Z</dcterms:modified>
</cp:coreProperties>
</file>
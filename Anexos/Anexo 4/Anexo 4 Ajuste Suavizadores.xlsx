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formation Ccohen\PC Ccohen Data Rescue\Disk D\ISem26\PhD\Anexos Tesis Phd\"/>
    </mc:Choice>
  </mc:AlternateContent>
  <xr:revisionPtr revIDLastSave="0" documentId="13_ncr:1_{30E00F1A-CF7D-418F-A535-4996F3ED844C}" xr6:coauthVersionLast="47" xr6:coauthVersionMax="47" xr10:uidLastSave="{00000000-0000-0000-0000-000000000000}"/>
  <bookViews>
    <workbookView xWindow="19090" yWindow="-110" windowWidth="19420" windowHeight="10300" xr2:uid="{066E584F-44B2-4AFF-AFB5-6115247104DE}"/>
  </bookViews>
  <sheets>
    <sheet name="Suaviz. Pozos Errore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9" i="2" l="1"/>
  <c r="I39" i="2"/>
  <c r="I40" i="2"/>
  <c r="H40" i="2"/>
  <c r="G40" i="2"/>
  <c r="G39" i="2"/>
  <c r="R12" i="2"/>
  <c r="R3" i="2"/>
  <c r="S3" i="2"/>
  <c r="R4" i="2"/>
  <c r="S4" i="2"/>
  <c r="R5" i="2"/>
  <c r="S5" i="2"/>
  <c r="R6" i="2"/>
  <c r="S6" i="2"/>
  <c r="R7" i="2"/>
  <c r="S7" i="2"/>
  <c r="R8" i="2"/>
  <c r="S8" i="2"/>
  <c r="R9" i="2"/>
  <c r="S9" i="2"/>
  <c r="R10" i="2"/>
  <c r="S10" i="2"/>
  <c r="R11" i="2"/>
  <c r="S11" i="2"/>
  <c r="S12" i="2"/>
  <c r="R13" i="2"/>
  <c r="S13" i="2"/>
  <c r="R14" i="2"/>
  <c r="S14" i="2"/>
  <c r="R15" i="2"/>
  <c r="S15" i="2"/>
  <c r="R16" i="2"/>
  <c r="S16" i="2"/>
  <c r="R17" i="2"/>
  <c r="S17" i="2"/>
  <c r="R18" i="2"/>
  <c r="S18" i="2"/>
  <c r="R19" i="2"/>
  <c r="S19" i="2"/>
  <c r="Q19" i="2"/>
  <c r="Q16" i="2"/>
  <c r="Q17" i="2"/>
  <c r="Q18" i="2"/>
  <c r="Q12" i="2"/>
  <c r="Q13" i="2"/>
  <c r="Q14" i="2"/>
  <c r="Q15" i="2"/>
  <c r="Q11" i="2"/>
  <c r="Q5" i="2"/>
  <c r="Q6" i="2"/>
  <c r="Q7" i="2"/>
  <c r="Q8" i="2"/>
  <c r="Q9" i="2"/>
  <c r="Q10" i="2"/>
  <c r="Q4" i="2"/>
  <c r="Q3" i="2"/>
  <c r="N3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N19" i="2"/>
  <c r="N18" i="2"/>
  <c r="N17" i="2"/>
  <c r="N16" i="2"/>
  <c r="N15" i="2"/>
  <c r="N14" i="2"/>
  <c r="N13" i="2"/>
  <c r="N12" i="2"/>
  <c r="N11" i="2"/>
  <c r="N10" i="2"/>
  <c r="N9" i="2"/>
  <c r="N8" i="2"/>
  <c r="N5" i="2"/>
  <c r="N6" i="2"/>
  <c r="N7" i="2"/>
  <c r="N4" i="2"/>
  <c r="K5" i="2"/>
  <c r="L5" i="2"/>
  <c r="K7" i="2"/>
  <c r="L7" i="2"/>
  <c r="K9" i="2"/>
  <c r="L9" i="2"/>
  <c r="K11" i="2"/>
  <c r="L11" i="2"/>
  <c r="K13" i="2"/>
  <c r="L13" i="2"/>
  <c r="K15" i="2"/>
  <c r="L15" i="2"/>
  <c r="K17" i="2"/>
  <c r="L17" i="2"/>
  <c r="K19" i="2"/>
  <c r="L19" i="2"/>
  <c r="K21" i="2"/>
  <c r="L21" i="2"/>
  <c r="K23" i="2"/>
  <c r="L23" i="2"/>
  <c r="K25" i="2"/>
  <c r="L25" i="2"/>
  <c r="K27" i="2"/>
  <c r="L27" i="2"/>
  <c r="K29" i="2"/>
  <c r="L29" i="2"/>
  <c r="K31" i="2"/>
  <c r="L31" i="2"/>
  <c r="K33" i="2"/>
  <c r="L33" i="2"/>
  <c r="K35" i="2"/>
  <c r="L35" i="2"/>
  <c r="L3" i="2"/>
  <c r="K3" i="2"/>
  <c r="J5" i="2"/>
  <c r="J7" i="2"/>
  <c r="J9" i="2"/>
  <c r="J11" i="2"/>
  <c r="J13" i="2"/>
  <c r="J15" i="2"/>
  <c r="J17" i="2"/>
  <c r="J19" i="2"/>
  <c r="J21" i="2"/>
  <c r="J23" i="2"/>
  <c r="J25" i="2"/>
  <c r="J27" i="2"/>
  <c r="J29" i="2"/>
  <c r="J31" i="2"/>
  <c r="J33" i="2"/>
  <c r="J35" i="2"/>
  <c r="J3" i="2"/>
  <c r="H38" i="2" l="1"/>
  <c r="I38" i="2"/>
  <c r="G38" i="2"/>
</calcChain>
</file>

<file path=xl/sharedStrings.xml><?xml version="1.0" encoding="utf-8"?>
<sst xmlns="http://schemas.openxmlformats.org/spreadsheetml/2006/main" count="130" uniqueCount="86">
  <si>
    <t>52-II-C-PZ-01</t>
  </si>
  <si>
    <t>52-II-A-PZ-01</t>
  </si>
  <si>
    <t>44-IV-B-PZ-01</t>
  </si>
  <si>
    <t>44-IV-D-PZ-04</t>
  </si>
  <si>
    <t>44-IV-D-PZ-02</t>
  </si>
  <si>
    <t>44-II-D-PO-02</t>
  </si>
  <si>
    <t>44-IV-D-PO-14</t>
  </si>
  <si>
    <t>44-IV-D-PZ-22</t>
  </si>
  <si>
    <t>44-IV-D-PZ-20</t>
  </si>
  <si>
    <t>Finca El Tesoro</t>
  </si>
  <si>
    <t>Finca El Socorro (Ovejas)</t>
  </si>
  <si>
    <t xml:space="preserve">Ovejas – Pozo 14 </t>
  </si>
  <si>
    <t>Bremen (Morroa) – A</t>
  </si>
  <si>
    <t>Bremen (Morroa) – B</t>
  </si>
  <si>
    <t>Las Tinas (Morroa) – A</t>
  </si>
  <si>
    <t>Las Tinas (Morroa) – B</t>
  </si>
  <si>
    <t>Los Palmitos (Piñal)</t>
  </si>
  <si>
    <t>Arroyo Salida a Betulia – A</t>
  </si>
  <si>
    <t>Arroyo Salida a Betulia – B</t>
  </si>
  <si>
    <t xml:space="preserve">Sabanas de Cali (El Tesoro) </t>
  </si>
  <si>
    <t xml:space="preserve">Basurero Viejo (Corozal) </t>
  </si>
  <si>
    <t>Corozal – PO-14</t>
  </si>
  <si>
    <t>Corozal – PZ-22</t>
  </si>
  <si>
    <t xml:space="preserve">Cantagallo (Corozal) </t>
  </si>
  <si>
    <t>Corozal – PZ-20</t>
  </si>
  <si>
    <t>Sampués</t>
  </si>
  <si>
    <t>4-II-D-PO-14</t>
  </si>
  <si>
    <t>44-IV-C-PZ-01A</t>
  </si>
  <si>
    <t>44-IV-C-PZ-01B</t>
  </si>
  <si>
    <t>44-IV-C-PZ-02A</t>
  </si>
  <si>
    <t>44-IV-C-PZ-02B</t>
  </si>
  <si>
    <t>44-IV-D-PZ-01A</t>
  </si>
  <si>
    <t>44-IV-D-PZ-01B</t>
  </si>
  <si>
    <t>52-II-B-PZ-01A</t>
  </si>
  <si>
    <t>Pozo</t>
  </si>
  <si>
    <t>Código</t>
  </si>
  <si>
    <t xml:space="preserve">λ </t>
  </si>
  <si>
    <t xml:space="preserve">Tendencia </t>
  </si>
  <si>
    <t xml:space="preserve">Ascendente estable </t>
  </si>
  <si>
    <t>+3.2</t>
  </si>
  <si>
    <t xml:space="preserve">Ascenso regular </t>
  </si>
  <si>
    <t>+2.7</t>
  </si>
  <si>
    <t>+2.9</t>
  </si>
  <si>
    <t xml:space="preserve">Suave ascenso </t>
  </si>
  <si>
    <t xml:space="preserve">Estable / leve alza </t>
  </si>
  <si>
    <t>+2.1</t>
  </si>
  <si>
    <t xml:space="preserve">Ascenso sostenido </t>
  </si>
  <si>
    <t>+3.8</t>
  </si>
  <si>
    <t xml:space="preserve">Ascenso moderado </t>
  </si>
  <si>
    <t>+2.5</t>
  </si>
  <si>
    <t xml:space="preserve">Incremento progresivo </t>
  </si>
  <si>
    <t>+3.6</t>
  </si>
  <si>
    <t xml:space="preserve">Ascenso pronunciado </t>
  </si>
  <si>
    <t>+4.1</t>
  </si>
  <si>
    <t>+2.3</t>
  </si>
  <si>
    <t xml:space="preserve">Estabilización leve </t>
  </si>
  <si>
    <t xml:space="preserve">Fuerte ascenso </t>
  </si>
  <si>
    <t>+5.4</t>
  </si>
  <si>
    <t>+4.8</t>
  </si>
  <si>
    <t xml:space="preserve">Incremento sostenido </t>
  </si>
  <si>
    <t xml:space="preserve">Estabilidad general </t>
  </si>
  <si>
    <t>+3.0</t>
  </si>
  <si>
    <t>+3.5</t>
  </si>
  <si>
    <t>+4.2</t>
  </si>
  <si>
    <t xml:space="preserve">Ascenso rápido </t>
  </si>
  <si>
    <t>+3.9</t>
  </si>
  <si>
    <t xml:space="preserve">Recuperación gradual </t>
  </si>
  <si>
    <t>Ascenso corto plazo</t>
  </si>
  <si>
    <t xml:space="preserve"> +3.5</t>
  </si>
  <si>
    <t xml:space="preserve">Estable / creciente </t>
  </si>
  <si>
    <t>+4.7</t>
  </si>
  <si>
    <t>∆ Nivel (m)</t>
  </si>
  <si>
    <t>Métricas Suavizadores</t>
  </si>
  <si>
    <t>SG</t>
  </si>
  <si>
    <t>WS</t>
  </si>
  <si>
    <t>RMSE</t>
  </si>
  <si>
    <t>MAE</t>
  </si>
  <si>
    <t>R2</t>
  </si>
  <si>
    <t>Mejor Métrica</t>
  </si>
  <si>
    <t>Comparación Grafica</t>
  </si>
  <si>
    <t>Promedios</t>
  </si>
  <si>
    <t>RMS Global</t>
  </si>
  <si>
    <t>R2 Global</t>
  </si>
  <si>
    <t>MAE Global</t>
  </si>
  <si>
    <t>Promedios SG</t>
  </si>
  <si>
    <t>Promedios 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</si>
</sst>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8"/>
      <name val="Aptos Narrow"/>
      <family val="2"/>
      <scheme val="minor"/>
    </font>
    <font>
      <b/>
      <sz val="11"/>
      <color theme="1"/>
      <name val="Aptos Narrow"/>
      <family val="2"/>
    </font>
    <font>
      <sz val="8"/>
      <name val="Aptos Narrow"/>
      <family val="2"/>
      <scheme val="minor"/>
    </font>
    <font>
      <sz val="11"/>
      <color theme="5"/>
      <name val="Aptos Narrow"/>
      <family val="2"/>
      <scheme val="minor"/>
    </font>
    <font>
      <sz val="11"/>
      <color theme="8" tint="-0.249977111117893"/>
      <name val="Aptos Narrow"/>
      <family val="2"/>
      <scheme val="minor"/>
    </font>
    <font>
      <b/>
      <sz val="11"/>
      <color theme="6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5D1CB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RMSE x Pozo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'Suaviz. Pozos Errores'!$N$1:$P$1</c:f>
              <c:strCache>
                <c:ptCount val="1"/>
                <c:pt idx="0">
                  <c:v>SG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'Suaviz. Pozos Errores'!$N$3:$N$19</c:f>
              <c:numCache>
                <c:formatCode>General</c:formatCode>
                <c:ptCount val="17"/>
                <c:pt idx="0">
                  <c:v>0.28610000000000002</c:v>
                </c:pt>
                <c:pt idx="1">
                  <c:v>0.75980000000000003</c:v>
                </c:pt>
                <c:pt idx="2">
                  <c:v>0.22950000000000001</c:v>
                </c:pt>
                <c:pt idx="3">
                  <c:v>0.3851</c:v>
                </c:pt>
                <c:pt idx="4">
                  <c:v>0.78200000000000003</c:v>
                </c:pt>
                <c:pt idx="5">
                  <c:v>0.14910000000000001</c:v>
                </c:pt>
                <c:pt idx="6">
                  <c:v>0.219</c:v>
                </c:pt>
                <c:pt idx="7">
                  <c:v>0.128</c:v>
                </c:pt>
                <c:pt idx="8">
                  <c:v>0.38950000000000001</c:v>
                </c:pt>
                <c:pt idx="9">
                  <c:v>0.2077</c:v>
                </c:pt>
                <c:pt idx="10">
                  <c:v>0.64759999999999995</c:v>
                </c:pt>
                <c:pt idx="11">
                  <c:v>0.29099999999999998</c:v>
                </c:pt>
                <c:pt idx="12">
                  <c:v>0.23769999999999999</c:v>
                </c:pt>
                <c:pt idx="13">
                  <c:v>0.26069999999999999</c:v>
                </c:pt>
                <c:pt idx="14">
                  <c:v>0.248</c:v>
                </c:pt>
                <c:pt idx="15">
                  <c:v>0.36730000000000002</c:v>
                </c:pt>
                <c:pt idx="16">
                  <c:v>0.21329999999999999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81B-4676-B469-AA5691D7C73C}"/>
            </c:ext>
          </c:extLst>
        </c:ser>
        <c:ser>
          <c:idx val="1"/>
          <c:order val="1"/>
          <c:tx>
            <c:strRef>
              <c:f>'Suaviz. Pozos Errores'!$Q$1:$S$1</c:f>
              <c:strCache>
                <c:ptCount val="1"/>
                <c:pt idx="0">
                  <c:v>WS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'Suaviz. Pozos Errores'!$Q$3:$Q$19</c:f>
              <c:numCache>
                <c:formatCode>General</c:formatCode>
                <c:ptCount val="17"/>
                <c:pt idx="0">
                  <c:v>0.18149999999999999</c:v>
                </c:pt>
                <c:pt idx="1">
                  <c:v>0.63949999999999996</c:v>
                </c:pt>
                <c:pt idx="2">
                  <c:v>0.14000000000000001</c:v>
                </c:pt>
                <c:pt idx="3">
                  <c:v>0.32279999999999998</c:v>
                </c:pt>
                <c:pt idx="4">
                  <c:v>0.503</c:v>
                </c:pt>
                <c:pt idx="5">
                  <c:v>0.13719999999999999</c:v>
                </c:pt>
                <c:pt idx="6">
                  <c:v>0.19339999999999999</c:v>
                </c:pt>
                <c:pt idx="7">
                  <c:v>8.6999999999999994E-2</c:v>
                </c:pt>
                <c:pt idx="8">
                  <c:v>0.33279999999999998</c:v>
                </c:pt>
                <c:pt idx="9">
                  <c:v>0.1968</c:v>
                </c:pt>
                <c:pt idx="10">
                  <c:v>0.4259</c:v>
                </c:pt>
                <c:pt idx="11">
                  <c:v>0.17829999999999999</c:v>
                </c:pt>
                <c:pt idx="12">
                  <c:v>0.1288</c:v>
                </c:pt>
                <c:pt idx="13">
                  <c:v>0.12470000000000001</c:v>
                </c:pt>
                <c:pt idx="14">
                  <c:v>0.19259999999999999</c:v>
                </c:pt>
                <c:pt idx="15">
                  <c:v>0.25080000000000002</c:v>
                </c:pt>
                <c:pt idx="16">
                  <c:v>0.1608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81B-4676-B469-AA5691D7C7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3521503"/>
        <c:axId val="1323521983"/>
      </c:scatterChart>
      <c:valAx>
        <c:axId val="1323521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23521983"/>
        <c:crosses val="autoZero"/>
        <c:crossBetween val="midCat"/>
      </c:valAx>
      <c:valAx>
        <c:axId val="1323521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235215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O" b="1">
                <a:solidFill>
                  <a:sysClr val="windowText" lastClr="000000"/>
                </a:solidFill>
              </a:rPr>
              <a:t>MAE x Pozo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'Suaviz. Pozos Errores'!$N$1:$P$1</c:f>
              <c:strCache>
                <c:ptCount val="1"/>
                <c:pt idx="0">
                  <c:v>SG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'Suaviz. Pozos Errores'!$O$3:$O$19</c:f>
              <c:numCache>
                <c:formatCode>General</c:formatCode>
                <c:ptCount val="17"/>
                <c:pt idx="0">
                  <c:v>0.1996</c:v>
                </c:pt>
                <c:pt idx="1">
                  <c:v>0.52800000000000002</c:v>
                </c:pt>
                <c:pt idx="2">
                  <c:v>0.18229999999999999</c:v>
                </c:pt>
                <c:pt idx="3">
                  <c:v>0.25469999999999998</c:v>
                </c:pt>
                <c:pt idx="4">
                  <c:v>0.61119999999999997</c:v>
                </c:pt>
                <c:pt idx="5">
                  <c:v>0.1111</c:v>
                </c:pt>
                <c:pt idx="6">
                  <c:v>0.12859999999999999</c:v>
                </c:pt>
                <c:pt idx="7">
                  <c:v>9.0999999999999998E-2</c:v>
                </c:pt>
                <c:pt idx="8">
                  <c:v>0.28660000000000002</c:v>
                </c:pt>
                <c:pt idx="9">
                  <c:v>0.20860000000000001</c:v>
                </c:pt>
                <c:pt idx="10">
                  <c:v>0.35489999999999999</c:v>
                </c:pt>
                <c:pt idx="11">
                  <c:v>0.21729999999999999</c:v>
                </c:pt>
                <c:pt idx="12">
                  <c:v>0.17860000000000001</c:v>
                </c:pt>
                <c:pt idx="13">
                  <c:v>0.17580000000000001</c:v>
                </c:pt>
                <c:pt idx="14">
                  <c:v>0.1726</c:v>
                </c:pt>
                <c:pt idx="15">
                  <c:v>0.25580000000000003</c:v>
                </c:pt>
                <c:pt idx="16">
                  <c:v>0.1386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3D6-4750-9A97-B66741DDFB3A}"/>
            </c:ext>
          </c:extLst>
        </c:ser>
        <c:ser>
          <c:idx val="1"/>
          <c:order val="1"/>
          <c:tx>
            <c:strRef>
              <c:f>'Suaviz. Pozos Errores'!$Q$1:$S$1</c:f>
              <c:strCache>
                <c:ptCount val="1"/>
                <c:pt idx="0">
                  <c:v>WS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'Suaviz. Pozos Errores'!$R$3:$R$19</c:f>
              <c:numCache>
                <c:formatCode>General</c:formatCode>
                <c:ptCount val="17"/>
                <c:pt idx="0">
                  <c:v>0.11609999999999999</c:v>
                </c:pt>
                <c:pt idx="1">
                  <c:v>0.43190000000000001</c:v>
                </c:pt>
                <c:pt idx="2">
                  <c:v>0.1019</c:v>
                </c:pt>
                <c:pt idx="3">
                  <c:v>0.2072</c:v>
                </c:pt>
                <c:pt idx="4">
                  <c:v>0.42049999999999998</c:v>
                </c:pt>
                <c:pt idx="5">
                  <c:v>0.1057</c:v>
                </c:pt>
                <c:pt idx="6">
                  <c:v>0.12280000000000001</c:v>
                </c:pt>
                <c:pt idx="7">
                  <c:v>6.6000000000000003E-2</c:v>
                </c:pt>
                <c:pt idx="8">
                  <c:v>0.2366</c:v>
                </c:pt>
                <c:pt idx="9">
                  <c:v>0.1196</c:v>
                </c:pt>
                <c:pt idx="10">
                  <c:v>0.23369999999999999</c:v>
                </c:pt>
                <c:pt idx="11">
                  <c:v>0.15909999999999999</c:v>
                </c:pt>
                <c:pt idx="12">
                  <c:v>9.1999999999999998E-2</c:v>
                </c:pt>
                <c:pt idx="13">
                  <c:v>7.5899999999999995E-2</c:v>
                </c:pt>
                <c:pt idx="14">
                  <c:v>0.1162</c:v>
                </c:pt>
                <c:pt idx="15">
                  <c:v>0.16389999999999999</c:v>
                </c:pt>
                <c:pt idx="16">
                  <c:v>9.01E-2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3D6-4750-9A97-B66741DDFB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214415"/>
        <c:axId val="198904143"/>
      </c:scatterChart>
      <c:valAx>
        <c:axId val="200214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8904143"/>
        <c:crosses val="autoZero"/>
        <c:crossBetween val="midCat"/>
      </c:valAx>
      <c:valAx>
        <c:axId val="198904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02144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O" b="1">
                <a:solidFill>
                  <a:sysClr val="windowText" lastClr="000000"/>
                </a:solidFill>
              </a:rPr>
              <a:t>R2 x Pozo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'Suaviz. Pozos Errores'!$Q$1:$S$1</c:f>
              <c:strCache>
                <c:ptCount val="1"/>
                <c:pt idx="0">
                  <c:v>WS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'Suaviz. Pozos Errores'!$S$3:$S$19</c:f>
              <c:numCache>
                <c:formatCode>General</c:formatCode>
                <c:ptCount val="17"/>
                <c:pt idx="0">
                  <c:v>0.93340000000000001</c:v>
                </c:pt>
                <c:pt idx="1">
                  <c:v>0.94510000000000005</c:v>
                </c:pt>
                <c:pt idx="2">
                  <c:v>0.92479999999999996</c:v>
                </c:pt>
                <c:pt idx="3">
                  <c:v>0.72629999999999995</c:v>
                </c:pt>
                <c:pt idx="4">
                  <c:v>0.95150000000000001</c:v>
                </c:pt>
                <c:pt idx="5">
                  <c:v>0.89790000000000003</c:v>
                </c:pt>
                <c:pt idx="6">
                  <c:v>0.99629999999999996</c:v>
                </c:pt>
                <c:pt idx="7">
                  <c:v>0.99099999999999999</c:v>
                </c:pt>
                <c:pt idx="8">
                  <c:v>0.81850000000000001</c:v>
                </c:pt>
                <c:pt idx="9">
                  <c:v>0.99929999999999997</c:v>
                </c:pt>
                <c:pt idx="10">
                  <c:v>0.98229999999999995</c:v>
                </c:pt>
                <c:pt idx="11">
                  <c:v>0.98909999999999998</c:v>
                </c:pt>
                <c:pt idx="12">
                  <c:v>0.99960000000000004</c:v>
                </c:pt>
                <c:pt idx="13">
                  <c:v>0.99890000000000001</c:v>
                </c:pt>
                <c:pt idx="14">
                  <c:v>0.97529999999999994</c:v>
                </c:pt>
                <c:pt idx="15">
                  <c:v>0.95469999999999999</c:v>
                </c:pt>
                <c:pt idx="16">
                  <c:v>0.99890000000000001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13D-4260-A4F8-534EC99FE702}"/>
            </c:ext>
          </c:extLst>
        </c:ser>
        <c:ser>
          <c:idx val="1"/>
          <c:order val="1"/>
          <c:tx>
            <c:strRef>
              <c:f>'Suaviz. Pozos Errores'!$N$1:$P$1</c:f>
              <c:strCache>
                <c:ptCount val="1"/>
                <c:pt idx="0">
                  <c:v>SG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'Suaviz. Pozos Errores'!$P$3:$P$19</c:f>
              <c:numCache>
                <c:formatCode>General</c:formatCode>
                <c:ptCount val="17"/>
                <c:pt idx="0">
                  <c:v>0.83450000000000002</c:v>
                </c:pt>
                <c:pt idx="1">
                  <c:v>0.92449999999999999</c:v>
                </c:pt>
                <c:pt idx="2">
                  <c:v>0.79800000000000004</c:v>
                </c:pt>
                <c:pt idx="3">
                  <c:v>0.61050000000000004</c:v>
                </c:pt>
                <c:pt idx="4">
                  <c:v>0.90449999999999997</c:v>
                </c:pt>
                <c:pt idx="5">
                  <c:v>0.85919999999999996</c:v>
                </c:pt>
                <c:pt idx="6">
                  <c:v>0.99509999999999998</c:v>
                </c:pt>
                <c:pt idx="7">
                  <c:v>0.97799999999999998</c:v>
                </c:pt>
                <c:pt idx="8">
                  <c:v>0.72389999999999999</c:v>
                </c:pt>
                <c:pt idx="9">
                  <c:v>0.99819999999999998</c:v>
                </c:pt>
                <c:pt idx="10">
                  <c:v>0.95920000000000005</c:v>
                </c:pt>
                <c:pt idx="11">
                  <c:v>0.97409999999999997</c:v>
                </c:pt>
                <c:pt idx="12">
                  <c:v>0.99870000000000003</c:v>
                </c:pt>
                <c:pt idx="13">
                  <c:v>0.99519999999999997</c:v>
                </c:pt>
                <c:pt idx="14">
                  <c:v>0.90200000000000002</c:v>
                </c:pt>
                <c:pt idx="15">
                  <c:v>0.90280000000000005</c:v>
                </c:pt>
                <c:pt idx="16">
                  <c:v>0.99809999999999999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13D-4260-A4F8-534EC99FE7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4729263"/>
        <c:axId val="324728303"/>
      </c:scatterChart>
      <c:valAx>
        <c:axId val="324729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24728303"/>
        <c:crosses val="autoZero"/>
        <c:crossBetween val="midCat"/>
      </c:valAx>
      <c:valAx>
        <c:axId val="324728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247292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Promedios Error SG-WS</a:t>
            </a:r>
          </a:p>
        </c:rich>
      </c:tx>
      <c:layout>
        <c:manualLayout>
          <c:xMode val="edge"/>
          <c:yMode val="edge"/>
          <c:x val="0.30619444444444444"/>
          <c:y val="5.55555555555555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'Suaviz. Pozos Errores'!$F$39</c:f>
              <c:strCache>
                <c:ptCount val="1"/>
                <c:pt idx="0">
                  <c:v>Promedios SG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  <a:sp3d/>
          </c:spPr>
          <c:invertIfNegative val="0"/>
          <c:cat>
            <c:strRef>
              <c:f>'Suaviz. Pozos Errores'!$G$37:$I$37</c:f>
              <c:strCache>
                <c:ptCount val="3"/>
                <c:pt idx="0">
                  <c:v>RMS Global</c:v>
                </c:pt>
                <c:pt idx="1">
                  <c:v>MAE Global</c:v>
                </c:pt>
                <c:pt idx="2">
                  <c:v>R2 Global</c:v>
                </c:pt>
              </c:strCache>
            </c:strRef>
          </c:cat>
          <c:val>
            <c:numRef>
              <c:f>'Suaviz. Pozos Errores'!$G$39:$I$39</c:f>
              <c:numCache>
                <c:formatCode>General</c:formatCode>
                <c:ptCount val="3"/>
                <c:pt idx="0">
                  <c:v>0.34125882352941184</c:v>
                </c:pt>
                <c:pt idx="1">
                  <c:v>0.2409</c:v>
                </c:pt>
                <c:pt idx="2">
                  <c:v>0.90332352941176475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6E-48B7-9B1F-7DBEA2EC5D89}"/>
            </c:ext>
          </c:extLst>
        </c:ser>
        <c:ser>
          <c:idx val="1"/>
          <c:order val="1"/>
          <c:tx>
            <c:strRef>
              <c:f>'Suaviz. Pozos Errores'!$F$40</c:f>
              <c:strCache>
                <c:ptCount val="1"/>
                <c:pt idx="0">
                  <c:v>Promedios WS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  <a:sp3d/>
          </c:spPr>
          <c:invertIfNegative val="0"/>
          <c:cat>
            <c:strRef>
              <c:f>'Suaviz. Pozos Errores'!$G$37:$I$37</c:f>
              <c:strCache>
                <c:ptCount val="3"/>
                <c:pt idx="0">
                  <c:v>RMS Global</c:v>
                </c:pt>
                <c:pt idx="1">
                  <c:v>MAE Global</c:v>
                </c:pt>
                <c:pt idx="2">
                  <c:v>R2 Global</c:v>
                </c:pt>
              </c:strCache>
            </c:strRef>
          </c:cat>
          <c:val>
            <c:numRef>
              <c:f>'Suaviz. Pozos Errores'!$G$40:$I$40</c:f>
              <c:numCache>
                <c:formatCode>General</c:formatCode>
                <c:ptCount val="3"/>
                <c:pt idx="0">
                  <c:v>0.24681764705882359</c:v>
                </c:pt>
                <c:pt idx="1">
                  <c:v>0.16818823529411764</c:v>
                </c:pt>
                <c:pt idx="2">
                  <c:v>0.94605294117647076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6E-48B7-9B1F-7DBEA2EC5D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856208"/>
        <c:axId val="14856688"/>
        <c:axId val="0"/>
      </c:bar3DChart>
      <c:catAx>
        <c:axId val="14856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856688"/>
        <c:crosses val="autoZero"/>
        <c:auto val="1"/>
        <c:lblAlgn val="ctr"/>
        <c:lblOffset val="100"/>
        <c:noMultiLvlLbl val="0"/>
      </c:catAx>
      <c:valAx>
        <c:axId val="1485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856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ysClr val="windowText" lastClr="000000"/>
          </a:solidFill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183672</xdr:colOff>
      <xdr:row>21</xdr:row>
      <xdr:rowOff>111283</xdr:rowOff>
    </xdr:from>
    <xdr:to>
      <xdr:col>19</xdr:col>
      <xdr:colOff>338454</xdr:colOff>
      <xdr:row>39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8DFACCC-82BE-44C9-8643-CB509EFDFE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357293</xdr:colOff>
      <xdr:row>1</xdr:row>
      <xdr:rowOff>91157</xdr:rowOff>
    </xdr:from>
    <xdr:to>
      <xdr:col>25</xdr:col>
      <xdr:colOff>151976</xdr:colOff>
      <xdr:row>16</xdr:row>
      <xdr:rowOff>85230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0CFD11E-347F-DCFC-757D-50071E09B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362866</xdr:colOff>
      <xdr:row>17</xdr:row>
      <xdr:rowOff>8396</xdr:rowOff>
    </xdr:from>
    <xdr:to>
      <xdr:col>25</xdr:col>
      <xdr:colOff>173636</xdr:colOff>
      <xdr:row>31</xdr:row>
      <xdr:rowOff>182104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E2BDDC3-E79B-BC31-C377-F6C1881567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965199</xdr:colOff>
      <xdr:row>37</xdr:row>
      <xdr:rowOff>0</xdr:rowOff>
    </xdr:from>
    <xdr:to>
      <xdr:col>4</xdr:col>
      <xdr:colOff>567266</xdr:colOff>
      <xdr:row>51</xdr:row>
      <xdr:rowOff>135467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FCF94A4-27E9-0C9B-65A9-A5ADE0B720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01DA9-B71F-4107-91FD-01FE3ABBDB51}">
  <dimension ref="A1:S40"/>
  <sheetViews>
    <sheetView tabSelected="1" topLeftCell="A25" zoomScale="70" zoomScaleNormal="70" workbookViewId="0">
      <selection activeCell="D9" sqref="D9:D10"/>
    </sheetView>
  </sheetViews>
  <sheetFormatPr baseColWidth="10" defaultRowHeight="14.4" x14ac:dyDescent="0.3"/>
  <cols>
    <col min="1" max="1" width="25" style="3" bestFit="1" customWidth="1"/>
    <col min="2" max="2" width="15.109375" style="1" customWidth="1"/>
    <col min="3" max="3" width="11.5546875" style="1"/>
    <col min="4" max="4" width="20.77734375" style="1" bestFit="1" customWidth="1"/>
    <col min="5" max="5" width="11.5546875" style="1"/>
    <col min="6" max="6" width="13" style="1" customWidth="1"/>
    <col min="7" max="7" width="24.77734375" style="1" customWidth="1"/>
    <col min="8" max="8" width="19.44140625" style="1" customWidth="1"/>
    <col min="9" max="9" width="12" style="1" bestFit="1" customWidth="1"/>
    <col min="10" max="10" width="12.6640625" style="14" bestFit="1" customWidth="1"/>
    <col min="11" max="12" width="11.5546875" style="14"/>
    <col min="13" max="13" width="3.77734375" customWidth="1"/>
    <col min="14" max="16" width="11.5546875" style="15"/>
  </cols>
  <sheetData>
    <row r="1" spans="1:19" s="4" customFormat="1" x14ac:dyDescent="0.3">
      <c r="A1" s="33" t="s">
        <v>34</v>
      </c>
      <c r="B1" s="33" t="s">
        <v>35</v>
      </c>
      <c r="C1" s="36" t="s">
        <v>36</v>
      </c>
      <c r="D1" s="33" t="s">
        <v>37</v>
      </c>
      <c r="E1" s="33" t="s">
        <v>71</v>
      </c>
      <c r="F1" s="34"/>
      <c r="G1" s="33" t="s">
        <v>72</v>
      </c>
      <c r="H1" s="33"/>
      <c r="I1" s="33"/>
      <c r="J1" s="37" t="s">
        <v>78</v>
      </c>
      <c r="K1" s="37"/>
      <c r="L1" s="37"/>
      <c r="N1" s="21" t="s">
        <v>73</v>
      </c>
      <c r="O1" s="21"/>
      <c r="P1" s="21"/>
      <c r="Q1" s="21" t="s">
        <v>74</v>
      </c>
      <c r="R1" s="21"/>
      <c r="S1" s="21"/>
    </row>
    <row r="2" spans="1:19" s="4" customFormat="1" x14ac:dyDescent="0.3">
      <c r="A2" s="33"/>
      <c r="B2" s="33"/>
      <c r="C2" s="36"/>
      <c r="D2" s="33"/>
      <c r="E2" s="33"/>
      <c r="F2" s="35"/>
      <c r="G2" s="6" t="s">
        <v>75</v>
      </c>
      <c r="H2" s="6" t="s">
        <v>76</v>
      </c>
      <c r="I2" s="5" t="s">
        <v>77</v>
      </c>
      <c r="J2" s="13" t="s">
        <v>75</v>
      </c>
      <c r="K2" s="13" t="s">
        <v>76</v>
      </c>
      <c r="L2" s="12" t="s">
        <v>77</v>
      </c>
      <c r="N2" s="5" t="s">
        <v>75</v>
      </c>
      <c r="O2" s="5" t="s">
        <v>76</v>
      </c>
      <c r="P2" s="5" t="s">
        <v>77</v>
      </c>
      <c r="Q2" s="5" t="s">
        <v>75</v>
      </c>
      <c r="R2" s="5" t="s">
        <v>76</v>
      </c>
      <c r="S2" s="5" t="s">
        <v>77</v>
      </c>
    </row>
    <row r="3" spans="1:19" x14ac:dyDescent="0.3">
      <c r="A3" s="28" t="s">
        <v>10</v>
      </c>
      <c r="B3" s="30" t="s">
        <v>5</v>
      </c>
      <c r="C3" s="30">
        <v>0.65</v>
      </c>
      <c r="D3" s="30" t="s">
        <v>38</v>
      </c>
      <c r="E3" s="30" t="s">
        <v>39</v>
      </c>
      <c r="F3" s="8" t="s">
        <v>73</v>
      </c>
      <c r="G3" s="7">
        <v>0.28610000000000002</v>
      </c>
      <c r="H3" s="7">
        <v>0.1996</v>
      </c>
      <c r="I3" s="7">
        <v>0.83450000000000002</v>
      </c>
      <c r="J3" s="32" t="str">
        <f>IF(G3&gt;G4,"WS","SG")</f>
        <v>WS</v>
      </c>
      <c r="K3" s="32" t="str">
        <f t="shared" ref="K3" si="0">IF(H3&gt;H4,"WS","SG")</f>
        <v>WS</v>
      </c>
      <c r="L3" s="32" t="str">
        <f>IF(I3&lt;I4,"WS","SG")</f>
        <v>WS</v>
      </c>
      <c r="N3" s="17">
        <f>G3</f>
        <v>0.28610000000000002</v>
      </c>
      <c r="O3" s="17">
        <f>H3</f>
        <v>0.1996</v>
      </c>
      <c r="P3" s="17">
        <f>I3</f>
        <v>0.83450000000000002</v>
      </c>
      <c r="Q3" s="17">
        <f>G4</f>
        <v>0.18149999999999999</v>
      </c>
      <c r="R3" s="17">
        <f>H4</f>
        <v>0.11609999999999999</v>
      </c>
      <c r="S3" s="17">
        <f t="shared" ref="S3" si="1">I4</f>
        <v>0.93340000000000001</v>
      </c>
    </row>
    <row r="4" spans="1:19" x14ac:dyDescent="0.3">
      <c r="A4" s="29"/>
      <c r="B4" s="31"/>
      <c r="C4" s="31"/>
      <c r="D4" s="31"/>
      <c r="E4" s="31"/>
      <c r="F4" s="8" t="s">
        <v>74</v>
      </c>
      <c r="G4" s="7">
        <v>0.18149999999999999</v>
      </c>
      <c r="H4" s="7">
        <v>0.11609999999999999</v>
      </c>
      <c r="I4" s="7">
        <v>0.93340000000000001</v>
      </c>
      <c r="J4" s="32"/>
      <c r="K4" s="32"/>
      <c r="L4" s="32"/>
      <c r="N4" s="17">
        <f>G5</f>
        <v>0.75980000000000003</v>
      </c>
      <c r="O4" s="17">
        <f>H5</f>
        <v>0.52800000000000002</v>
      </c>
      <c r="P4" s="17">
        <f>I5</f>
        <v>0.92449999999999999</v>
      </c>
      <c r="Q4" s="17">
        <f>G6</f>
        <v>0.63949999999999996</v>
      </c>
      <c r="R4" s="17">
        <f t="shared" ref="R4:S4" si="2">H6</f>
        <v>0.43190000000000001</v>
      </c>
      <c r="S4" s="17">
        <f t="shared" si="2"/>
        <v>0.94510000000000005</v>
      </c>
    </row>
    <row r="5" spans="1:19" x14ac:dyDescent="0.3">
      <c r="A5" s="28" t="s">
        <v>11</v>
      </c>
      <c r="B5" s="30" t="s">
        <v>26</v>
      </c>
      <c r="C5" s="30">
        <v>2.5</v>
      </c>
      <c r="D5" s="30" t="s">
        <v>40</v>
      </c>
      <c r="E5" s="30" t="s">
        <v>41</v>
      </c>
      <c r="F5" s="8" t="s">
        <v>73</v>
      </c>
      <c r="G5" s="7">
        <v>0.75980000000000003</v>
      </c>
      <c r="H5" s="7">
        <v>0.52800000000000002</v>
      </c>
      <c r="I5" s="7">
        <v>0.92449999999999999</v>
      </c>
      <c r="J5" s="32" t="str">
        <f t="shared" ref="J5" si="3">IF(G5&gt;G6,"WS","SG")</f>
        <v>WS</v>
      </c>
      <c r="K5" s="32" t="str">
        <f t="shared" ref="K5" si="4">IF(H5&gt;H6,"WS","SG")</f>
        <v>WS</v>
      </c>
      <c r="L5" s="32" t="str">
        <f t="shared" ref="L5" si="5">IF(I5&lt;I6,"WS","SG")</f>
        <v>WS</v>
      </c>
      <c r="N5" s="17">
        <f>G7</f>
        <v>0.22950000000000001</v>
      </c>
      <c r="O5" s="17">
        <f>H7</f>
        <v>0.18229999999999999</v>
      </c>
      <c r="P5" s="17">
        <f>I7</f>
        <v>0.79800000000000004</v>
      </c>
      <c r="Q5" s="17">
        <f>G8</f>
        <v>0.14000000000000001</v>
      </c>
      <c r="R5" s="17">
        <f t="shared" ref="R5:S5" si="6">H8</f>
        <v>0.1019</v>
      </c>
      <c r="S5" s="17">
        <f t="shared" si="6"/>
        <v>0.92479999999999996</v>
      </c>
    </row>
    <row r="6" spans="1:19" x14ac:dyDescent="0.3">
      <c r="A6" s="29"/>
      <c r="B6" s="31"/>
      <c r="C6" s="31"/>
      <c r="D6" s="31"/>
      <c r="E6" s="31"/>
      <c r="F6" s="8" t="s">
        <v>74</v>
      </c>
      <c r="G6" s="7">
        <v>0.63949999999999996</v>
      </c>
      <c r="H6" s="7">
        <v>0.43190000000000001</v>
      </c>
      <c r="I6" s="7">
        <v>0.94510000000000005</v>
      </c>
      <c r="J6" s="32"/>
      <c r="K6" s="32"/>
      <c r="L6" s="32"/>
      <c r="N6" s="17">
        <f>G9</f>
        <v>0.3851</v>
      </c>
      <c r="O6" s="17">
        <f>H9</f>
        <v>0.25469999999999998</v>
      </c>
      <c r="P6" s="17">
        <f>I9</f>
        <v>0.61050000000000004</v>
      </c>
      <c r="Q6" s="17">
        <f>G10</f>
        <v>0.32279999999999998</v>
      </c>
      <c r="R6" s="17">
        <f t="shared" ref="R6:S6" si="7">H10</f>
        <v>0.2072</v>
      </c>
      <c r="S6" s="17">
        <f t="shared" si="7"/>
        <v>0.72629999999999995</v>
      </c>
    </row>
    <row r="7" spans="1:19" x14ac:dyDescent="0.3">
      <c r="A7" s="28" t="s">
        <v>12</v>
      </c>
      <c r="B7" s="30" t="s">
        <v>27</v>
      </c>
      <c r="C7" s="30">
        <v>4.5</v>
      </c>
      <c r="D7" s="30" t="s">
        <v>43</v>
      </c>
      <c r="E7" s="30" t="s">
        <v>42</v>
      </c>
      <c r="F7" s="8" t="s">
        <v>73</v>
      </c>
      <c r="G7" s="7">
        <v>0.22950000000000001</v>
      </c>
      <c r="H7" s="7">
        <v>0.18229999999999999</v>
      </c>
      <c r="I7" s="7">
        <v>0.79800000000000004</v>
      </c>
      <c r="J7" s="32" t="str">
        <f t="shared" ref="J7" si="8">IF(G7&gt;G8,"WS","SG")</f>
        <v>WS</v>
      </c>
      <c r="K7" s="32" t="str">
        <f t="shared" ref="K7" si="9">IF(H7&gt;H8,"WS","SG")</f>
        <v>WS</v>
      </c>
      <c r="L7" s="32" t="str">
        <f t="shared" ref="L7" si="10">IF(I7&lt;I8,"WS","SG")</f>
        <v>WS</v>
      </c>
      <c r="N7" s="17">
        <f>G11</f>
        <v>0.78200000000000003</v>
      </c>
      <c r="O7" s="17">
        <f>H11</f>
        <v>0.61119999999999997</v>
      </c>
      <c r="P7" s="17">
        <f>I11</f>
        <v>0.90449999999999997</v>
      </c>
      <c r="Q7" s="17">
        <f>G12</f>
        <v>0.503</v>
      </c>
      <c r="R7" s="17">
        <f t="shared" ref="R7:S7" si="11">H12</f>
        <v>0.42049999999999998</v>
      </c>
      <c r="S7" s="17">
        <f t="shared" si="11"/>
        <v>0.95150000000000001</v>
      </c>
    </row>
    <row r="8" spans="1:19" x14ac:dyDescent="0.3">
      <c r="A8" s="29"/>
      <c r="B8" s="31"/>
      <c r="C8" s="31"/>
      <c r="D8" s="31"/>
      <c r="E8" s="31"/>
      <c r="F8" s="8" t="s">
        <v>74</v>
      </c>
      <c r="G8" s="7">
        <v>0.14000000000000001</v>
      </c>
      <c r="H8" s="7">
        <v>0.1019</v>
      </c>
      <c r="I8" s="7">
        <v>0.92479999999999996</v>
      </c>
      <c r="J8" s="32"/>
      <c r="K8" s="32"/>
      <c r="L8" s="32"/>
      <c r="N8" s="17">
        <f>G13</f>
        <v>0.14910000000000001</v>
      </c>
      <c r="O8" s="17">
        <f>H13</f>
        <v>0.1111</v>
      </c>
      <c r="P8" s="17">
        <f>I13</f>
        <v>0.85919999999999996</v>
      </c>
      <c r="Q8" s="17">
        <f>G14</f>
        <v>0.13719999999999999</v>
      </c>
      <c r="R8" s="17">
        <f t="shared" ref="R8:S8" si="12">H14</f>
        <v>0.1057</v>
      </c>
      <c r="S8" s="17">
        <f t="shared" si="12"/>
        <v>0.89790000000000003</v>
      </c>
    </row>
    <row r="9" spans="1:19" x14ac:dyDescent="0.3">
      <c r="A9" s="25" t="s">
        <v>13</v>
      </c>
      <c r="B9" s="26" t="s">
        <v>28</v>
      </c>
      <c r="C9" s="26">
        <v>3.5</v>
      </c>
      <c r="D9" s="26" t="s">
        <v>44</v>
      </c>
      <c r="E9" s="26" t="s">
        <v>45</v>
      </c>
      <c r="F9" s="8" t="s">
        <v>73</v>
      </c>
      <c r="G9" s="7">
        <v>0.3851</v>
      </c>
      <c r="H9" s="7">
        <v>0.25469999999999998</v>
      </c>
      <c r="I9" s="7">
        <v>0.61050000000000004</v>
      </c>
      <c r="J9" s="32" t="str">
        <f t="shared" ref="J9" si="13">IF(G9&gt;G10,"WS","SG")</f>
        <v>WS</v>
      </c>
      <c r="K9" s="32" t="str">
        <f t="shared" ref="K9" si="14">IF(H9&gt;H10,"WS","SG")</f>
        <v>WS</v>
      </c>
      <c r="L9" s="32" t="str">
        <f t="shared" ref="L9" si="15">IF(I9&lt;I10,"WS","SG")</f>
        <v>WS</v>
      </c>
      <c r="N9" s="17">
        <f>G15</f>
        <v>0.219</v>
      </c>
      <c r="O9" s="17">
        <f>H15</f>
        <v>0.12859999999999999</v>
      </c>
      <c r="P9" s="17">
        <f>I15</f>
        <v>0.99509999999999998</v>
      </c>
      <c r="Q9" s="17">
        <f>G16</f>
        <v>0.19339999999999999</v>
      </c>
      <c r="R9" s="17">
        <f t="shared" ref="R9:S9" si="16">H16</f>
        <v>0.12280000000000001</v>
      </c>
      <c r="S9" s="17">
        <f t="shared" si="16"/>
        <v>0.99629999999999996</v>
      </c>
    </row>
    <row r="10" spans="1:19" x14ac:dyDescent="0.3">
      <c r="A10" s="25"/>
      <c r="B10" s="26"/>
      <c r="C10" s="26"/>
      <c r="D10" s="26"/>
      <c r="E10" s="26"/>
      <c r="F10" s="8" t="s">
        <v>74</v>
      </c>
      <c r="G10" s="7">
        <v>0.32279999999999998</v>
      </c>
      <c r="H10" s="7">
        <v>0.2072</v>
      </c>
      <c r="I10" s="7">
        <v>0.72629999999999995</v>
      </c>
      <c r="J10" s="32"/>
      <c r="K10" s="32"/>
      <c r="L10" s="32"/>
      <c r="N10" s="17">
        <f>G17</f>
        <v>0.128</v>
      </c>
      <c r="O10" s="17">
        <f>H17</f>
        <v>9.0999999999999998E-2</v>
      </c>
      <c r="P10" s="17">
        <f>I17</f>
        <v>0.97799999999999998</v>
      </c>
      <c r="Q10" s="17">
        <f>G18</f>
        <v>8.6999999999999994E-2</v>
      </c>
      <c r="R10" s="17">
        <f t="shared" ref="R10:S10" si="17">H18</f>
        <v>6.6000000000000003E-2</v>
      </c>
      <c r="S10" s="17">
        <f t="shared" si="17"/>
        <v>0.99099999999999999</v>
      </c>
    </row>
    <row r="11" spans="1:19" x14ac:dyDescent="0.3">
      <c r="A11" s="25" t="s">
        <v>14</v>
      </c>
      <c r="B11" s="26" t="s">
        <v>29</v>
      </c>
      <c r="C11" s="27">
        <v>0.5</v>
      </c>
      <c r="D11" s="26" t="s">
        <v>46</v>
      </c>
      <c r="E11" s="26" t="s">
        <v>47</v>
      </c>
      <c r="F11" s="8" t="s">
        <v>73</v>
      </c>
      <c r="G11" s="9">
        <v>0.78200000000000003</v>
      </c>
      <c r="H11" s="9">
        <v>0.61119999999999997</v>
      </c>
      <c r="I11" s="9">
        <v>0.90449999999999997</v>
      </c>
      <c r="J11" s="32" t="str">
        <f t="shared" ref="J11" si="18">IF(G11&gt;G12,"WS","SG")</f>
        <v>WS</v>
      </c>
      <c r="K11" s="32" t="str">
        <f t="shared" ref="K11" si="19">IF(H11&gt;H12,"WS","SG")</f>
        <v>WS</v>
      </c>
      <c r="L11" s="32" t="str">
        <f t="shared" ref="L11" si="20">IF(I11&lt;I12,"WS","SG")</f>
        <v>WS</v>
      </c>
      <c r="N11" s="17">
        <f>G19</f>
        <v>0.38950000000000001</v>
      </c>
      <c r="O11" s="17">
        <f>H19</f>
        <v>0.28660000000000002</v>
      </c>
      <c r="P11" s="17">
        <f>I19</f>
        <v>0.72389999999999999</v>
      </c>
      <c r="Q11" s="17">
        <f>G20</f>
        <v>0.33279999999999998</v>
      </c>
      <c r="R11" s="17">
        <f t="shared" ref="R11:S11" si="21">H20</f>
        <v>0.2366</v>
      </c>
      <c r="S11" s="17">
        <f t="shared" si="21"/>
        <v>0.81850000000000001</v>
      </c>
    </row>
    <row r="12" spans="1:19" x14ac:dyDescent="0.3">
      <c r="A12" s="25"/>
      <c r="B12" s="26"/>
      <c r="C12" s="27"/>
      <c r="D12" s="26"/>
      <c r="E12" s="26"/>
      <c r="F12" s="8" t="s">
        <v>74</v>
      </c>
      <c r="G12" s="9">
        <v>0.503</v>
      </c>
      <c r="H12" s="9">
        <v>0.42049999999999998</v>
      </c>
      <c r="I12" s="9">
        <v>0.95150000000000001</v>
      </c>
      <c r="J12" s="32"/>
      <c r="K12" s="32"/>
      <c r="L12" s="32"/>
      <c r="N12" s="17">
        <f>G21</f>
        <v>0.2077</v>
      </c>
      <c r="O12" s="17">
        <f>H21</f>
        <v>0.20860000000000001</v>
      </c>
      <c r="P12" s="17">
        <f>I21</f>
        <v>0.99819999999999998</v>
      </c>
      <c r="Q12" s="17">
        <f>G22</f>
        <v>0.1968</v>
      </c>
      <c r="R12" s="17">
        <f>H22</f>
        <v>0.1196</v>
      </c>
      <c r="S12" s="17">
        <f t="shared" ref="S12" si="22">I22</f>
        <v>0.99929999999999997</v>
      </c>
    </row>
    <row r="13" spans="1:19" x14ac:dyDescent="0.3">
      <c r="A13" s="25" t="s">
        <v>15</v>
      </c>
      <c r="B13" s="26" t="s">
        <v>30</v>
      </c>
      <c r="C13" s="27">
        <v>4.5</v>
      </c>
      <c r="D13" s="26" t="s">
        <v>48</v>
      </c>
      <c r="E13" s="26" t="s">
        <v>49</v>
      </c>
      <c r="F13" s="8" t="s">
        <v>73</v>
      </c>
      <c r="G13" s="7">
        <v>0.14910000000000001</v>
      </c>
      <c r="H13" s="7">
        <v>0.1111</v>
      </c>
      <c r="I13" s="7">
        <v>0.85919999999999996</v>
      </c>
      <c r="J13" s="32" t="str">
        <f t="shared" ref="J13" si="23">IF(G13&gt;G14,"WS","SG")</f>
        <v>WS</v>
      </c>
      <c r="K13" s="32" t="str">
        <f t="shared" ref="K13" si="24">IF(H13&gt;H14,"WS","SG")</f>
        <v>WS</v>
      </c>
      <c r="L13" s="32" t="str">
        <f t="shared" ref="L13" si="25">IF(I13&lt;I14,"WS","SG")</f>
        <v>WS</v>
      </c>
      <c r="N13" s="17">
        <f>G23</f>
        <v>0.64759999999999995</v>
      </c>
      <c r="O13" s="17">
        <f>H23</f>
        <v>0.35489999999999999</v>
      </c>
      <c r="P13" s="17">
        <f>I23</f>
        <v>0.95920000000000005</v>
      </c>
      <c r="Q13" s="17">
        <f>G24</f>
        <v>0.4259</v>
      </c>
      <c r="R13" s="17">
        <f t="shared" ref="R13:S13" si="26">H24</f>
        <v>0.23369999999999999</v>
      </c>
      <c r="S13" s="17">
        <f t="shared" si="26"/>
        <v>0.98229999999999995</v>
      </c>
    </row>
    <row r="14" spans="1:19" x14ac:dyDescent="0.3">
      <c r="A14" s="25"/>
      <c r="B14" s="26"/>
      <c r="C14" s="27"/>
      <c r="D14" s="26"/>
      <c r="E14" s="26"/>
      <c r="F14" s="8" t="s">
        <v>74</v>
      </c>
      <c r="G14" s="7">
        <v>0.13719999999999999</v>
      </c>
      <c r="H14" s="7">
        <v>0.1057</v>
      </c>
      <c r="I14" s="7">
        <v>0.89790000000000003</v>
      </c>
      <c r="J14" s="32"/>
      <c r="K14" s="32"/>
      <c r="L14" s="32"/>
      <c r="N14" s="17">
        <f>G25</f>
        <v>0.29099999999999998</v>
      </c>
      <c r="O14" s="17">
        <f>H25</f>
        <v>0.21729999999999999</v>
      </c>
      <c r="P14" s="17">
        <f>I25</f>
        <v>0.97409999999999997</v>
      </c>
      <c r="Q14" s="17">
        <f>G26</f>
        <v>0.17829999999999999</v>
      </c>
      <c r="R14" s="17">
        <f t="shared" ref="R14:S14" si="27">H26</f>
        <v>0.15909999999999999</v>
      </c>
      <c r="S14" s="17">
        <f t="shared" si="27"/>
        <v>0.98909999999999998</v>
      </c>
    </row>
    <row r="15" spans="1:19" x14ac:dyDescent="0.3">
      <c r="A15" s="25" t="s">
        <v>16</v>
      </c>
      <c r="B15" s="26" t="s">
        <v>2</v>
      </c>
      <c r="C15" s="26">
        <v>2.5</v>
      </c>
      <c r="D15" s="26" t="s">
        <v>50</v>
      </c>
      <c r="E15" s="26" t="s">
        <v>51</v>
      </c>
      <c r="F15" s="8" t="s">
        <v>73</v>
      </c>
      <c r="G15" s="7">
        <v>0.219</v>
      </c>
      <c r="H15" s="7">
        <v>0.12859999999999999</v>
      </c>
      <c r="I15" s="7">
        <v>0.99509999999999998</v>
      </c>
      <c r="J15" s="32" t="str">
        <f t="shared" ref="J15" si="28">IF(G15&gt;G16,"WS","SG")</f>
        <v>WS</v>
      </c>
      <c r="K15" s="32" t="str">
        <f t="shared" ref="K15" si="29">IF(H15&gt;H16,"WS","SG")</f>
        <v>WS</v>
      </c>
      <c r="L15" s="32" t="str">
        <f t="shared" ref="L15" si="30">IF(I15&lt;I16,"WS","SG")</f>
        <v>WS</v>
      </c>
      <c r="N15" s="17">
        <f>G27</f>
        <v>0.23769999999999999</v>
      </c>
      <c r="O15" s="17">
        <f>H27</f>
        <v>0.17860000000000001</v>
      </c>
      <c r="P15" s="17">
        <f>I27</f>
        <v>0.99870000000000003</v>
      </c>
      <c r="Q15" s="17">
        <f>G28</f>
        <v>0.1288</v>
      </c>
      <c r="R15" s="17">
        <f t="shared" ref="R15:S15" si="31">H28</f>
        <v>9.1999999999999998E-2</v>
      </c>
      <c r="S15" s="17">
        <f t="shared" si="31"/>
        <v>0.99960000000000004</v>
      </c>
    </row>
    <row r="16" spans="1:19" x14ac:dyDescent="0.3">
      <c r="A16" s="25"/>
      <c r="B16" s="26"/>
      <c r="C16" s="26"/>
      <c r="D16" s="26"/>
      <c r="E16" s="26"/>
      <c r="F16" s="8" t="s">
        <v>74</v>
      </c>
      <c r="G16" s="7">
        <v>0.19339999999999999</v>
      </c>
      <c r="H16" s="7">
        <v>0.12280000000000001</v>
      </c>
      <c r="I16" s="7">
        <v>0.99629999999999996</v>
      </c>
      <c r="J16" s="32"/>
      <c r="K16" s="32"/>
      <c r="L16" s="32"/>
      <c r="N16" s="17">
        <f>G29</f>
        <v>0.26069999999999999</v>
      </c>
      <c r="O16" s="17">
        <f>H29</f>
        <v>0.17580000000000001</v>
      </c>
      <c r="P16" s="17">
        <f>I29</f>
        <v>0.99519999999999997</v>
      </c>
      <c r="Q16" s="17">
        <f>G30</f>
        <v>0.12470000000000001</v>
      </c>
      <c r="R16" s="17">
        <f t="shared" ref="R16:S16" si="32">H30</f>
        <v>7.5899999999999995E-2</v>
      </c>
      <c r="S16" s="17">
        <f t="shared" si="32"/>
        <v>0.99890000000000001</v>
      </c>
    </row>
    <row r="17" spans="1:19" x14ac:dyDescent="0.3">
      <c r="A17" s="25" t="s">
        <v>17</v>
      </c>
      <c r="B17" s="26" t="s">
        <v>31</v>
      </c>
      <c r="C17" s="27">
        <v>3</v>
      </c>
      <c r="D17" s="26" t="s">
        <v>52</v>
      </c>
      <c r="E17" s="26" t="s">
        <v>53</v>
      </c>
      <c r="F17" s="8" t="s">
        <v>73</v>
      </c>
      <c r="G17" s="7">
        <v>0.128</v>
      </c>
      <c r="H17" s="7">
        <v>9.0999999999999998E-2</v>
      </c>
      <c r="I17" s="7">
        <v>0.97799999999999998</v>
      </c>
      <c r="J17" s="32" t="str">
        <f t="shared" ref="J17" si="33">IF(G17&gt;G18,"WS","SG")</f>
        <v>WS</v>
      </c>
      <c r="K17" s="32" t="str">
        <f t="shared" ref="K17" si="34">IF(H17&gt;H18,"WS","SG")</f>
        <v>WS</v>
      </c>
      <c r="L17" s="32" t="str">
        <f t="shared" ref="L17" si="35">IF(I17&lt;I18,"WS","SG")</f>
        <v>WS</v>
      </c>
      <c r="N17" s="17">
        <f>G31</f>
        <v>0.248</v>
      </c>
      <c r="O17" s="17">
        <f>H31</f>
        <v>0.1726</v>
      </c>
      <c r="P17" s="17">
        <f>I31</f>
        <v>0.90200000000000002</v>
      </c>
      <c r="Q17" s="17">
        <f>G32</f>
        <v>0.19259999999999999</v>
      </c>
      <c r="R17" s="17">
        <f t="shared" ref="R17:S17" si="36">H32</f>
        <v>0.1162</v>
      </c>
      <c r="S17" s="17">
        <f t="shared" si="36"/>
        <v>0.97529999999999994</v>
      </c>
    </row>
    <row r="18" spans="1:19" x14ac:dyDescent="0.3">
      <c r="A18" s="25"/>
      <c r="B18" s="26"/>
      <c r="C18" s="27"/>
      <c r="D18" s="26"/>
      <c r="E18" s="26"/>
      <c r="F18" s="8" t="s">
        <v>74</v>
      </c>
      <c r="G18" s="7">
        <v>8.6999999999999994E-2</v>
      </c>
      <c r="H18" s="7">
        <v>6.6000000000000003E-2</v>
      </c>
      <c r="I18" s="7">
        <v>0.99099999999999999</v>
      </c>
      <c r="J18" s="32"/>
      <c r="K18" s="32"/>
      <c r="L18" s="32"/>
      <c r="N18" s="17">
        <f>G33</f>
        <v>0.36730000000000002</v>
      </c>
      <c r="O18" s="17">
        <f>H33</f>
        <v>0.25580000000000003</v>
      </c>
      <c r="P18" s="17">
        <f>I33</f>
        <v>0.90280000000000005</v>
      </c>
      <c r="Q18" s="17">
        <f>G34</f>
        <v>0.25080000000000002</v>
      </c>
      <c r="R18" s="17">
        <f t="shared" ref="R18:S18" si="37">H34</f>
        <v>0.16389999999999999</v>
      </c>
      <c r="S18" s="17">
        <f t="shared" si="37"/>
        <v>0.95469999999999999</v>
      </c>
    </row>
    <row r="19" spans="1:19" s="2" customFormat="1" x14ac:dyDescent="0.3">
      <c r="A19" s="25" t="s">
        <v>18</v>
      </c>
      <c r="B19" s="25" t="s">
        <v>32</v>
      </c>
      <c r="C19" s="25">
        <v>3.5</v>
      </c>
      <c r="D19" s="25" t="s">
        <v>55</v>
      </c>
      <c r="E19" s="25" t="s">
        <v>54</v>
      </c>
      <c r="F19" s="8" t="s">
        <v>73</v>
      </c>
      <c r="G19" s="10">
        <v>0.38950000000000001</v>
      </c>
      <c r="H19" s="10">
        <v>0.28660000000000002</v>
      </c>
      <c r="I19" s="10">
        <v>0.72389999999999999</v>
      </c>
      <c r="J19" s="32" t="str">
        <f t="shared" ref="J19" si="38">IF(G19&gt;G20,"WS","SG")</f>
        <v>WS</v>
      </c>
      <c r="K19" s="32" t="str">
        <f t="shared" ref="K19" si="39">IF(H19&gt;H20,"WS","SG")</f>
        <v>WS</v>
      </c>
      <c r="L19" s="32" t="str">
        <f t="shared" ref="L19" si="40">IF(I19&lt;I20,"WS","SG")</f>
        <v>WS</v>
      </c>
      <c r="N19" s="17">
        <f>G35</f>
        <v>0.21329999999999999</v>
      </c>
      <c r="O19" s="17">
        <f>H35</f>
        <v>0.1386</v>
      </c>
      <c r="P19" s="17">
        <f>I35</f>
        <v>0.99809999999999999</v>
      </c>
      <c r="Q19" s="17">
        <f>G36</f>
        <v>0.1608</v>
      </c>
      <c r="R19" s="17">
        <f t="shared" ref="R19:S19" si="41">H36</f>
        <v>9.01E-2</v>
      </c>
      <c r="S19" s="17">
        <f t="shared" si="41"/>
        <v>0.99890000000000001</v>
      </c>
    </row>
    <row r="20" spans="1:19" s="2" customFormat="1" x14ac:dyDescent="0.3">
      <c r="A20" s="25"/>
      <c r="B20" s="25"/>
      <c r="C20" s="25"/>
      <c r="D20" s="25"/>
      <c r="E20" s="25"/>
      <c r="F20" s="8" t="s">
        <v>74</v>
      </c>
      <c r="G20" s="10">
        <v>0.33279999999999998</v>
      </c>
      <c r="H20" s="10">
        <v>0.2366</v>
      </c>
      <c r="I20" s="10">
        <v>0.81850000000000001</v>
      </c>
      <c r="J20" s="32"/>
      <c r="K20" s="32"/>
      <c r="L20" s="32"/>
      <c r="N20" s="16"/>
      <c r="O20" s="16"/>
      <c r="P20" s="16"/>
    </row>
    <row r="21" spans="1:19" x14ac:dyDescent="0.3">
      <c r="A21" s="25" t="s">
        <v>19</v>
      </c>
      <c r="B21" s="26" t="s">
        <v>4</v>
      </c>
      <c r="C21" s="26">
        <v>0.5</v>
      </c>
      <c r="D21" s="26" t="s">
        <v>56</v>
      </c>
      <c r="E21" s="26" t="s">
        <v>57</v>
      </c>
      <c r="F21" s="8" t="s">
        <v>73</v>
      </c>
      <c r="G21" s="7">
        <v>0.2077</v>
      </c>
      <c r="H21" s="7">
        <v>0.20860000000000001</v>
      </c>
      <c r="I21" s="7">
        <v>0.99819999999999998</v>
      </c>
      <c r="J21" s="32" t="str">
        <f t="shared" ref="J21" si="42">IF(G21&gt;G22,"WS","SG")</f>
        <v>WS</v>
      </c>
      <c r="K21" s="32" t="str">
        <f t="shared" ref="K21" si="43">IF(H21&gt;H22,"WS","SG")</f>
        <v>WS</v>
      </c>
      <c r="L21" s="32" t="str">
        <f t="shared" ref="L21" si="44">IF(I21&lt;I22,"WS","SG")</f>
        <v>WS</v>
      </c>
      <c r="O21" s="22" t="s">
        <v>79</v>
      </c>
      <c r="P21" s="23"/>
      <c r="Q21" s="23"/>
      <c r="R21" s="24"/>
    </row>
    <row r="22" spans="1:19" x14ac:dyDescent="0.3">
      <c r="A22" s="25"/>
      <c r="B22" s="26"/>
      <c r="C22" s="26"/>
      <c r="D22" s="26"/>
      <c r="E22" s="26"/>
      <c r="F22" s="8" t="s">
        <v>74</v>
      </c>
      <c r="G22" s="7">
        <v>0.1968</v>
      </c>
      <c r="H22" s="7">
        <v>0.1196</v>
      </c>
      <c r="I22" s="7">
        <v>0.99929999999999997</v>
      </c>
      <c r="J22" s="32"/>
      <c r="K22" s="32"/>
      <c r="L22" s="32"/>
    </row>
    <row r="23" spans="1:19" x14ac:dyDescent="0.3">
      <c r="A23" s="25" t="s">
        <v>9</v>
      </c>
      <c r="B23" s="26" t="s">
        <v>3</v>
      </c>
      <c r="C23" s="26">
        <v>0.85</v>
      </c>
      <c r="D23" s="26" t="s">
        <v>59</v>
      </c>
      <c r="E23" s="26" t="s">
        <v>58</v>
      </c>
      <c r="F23" s="8" t="s">
        <v>73</v>
      </c>
      <c r="G23" s="7">
        <v>0.64759999999999995</v>
      </c>
      <c r="H23" s="7">
        <v>0.35489999999999999</v>
      </c>
      <c r="I23" s="7">
        <v>0.95920000000000005</v>
      </c>
      <c r="J23" s="32" t="str">
        <f t="shared" ref="J23" si="45">IF(G23&gt;G24,"WS","SG")</f>
        <v>WS</v>
      </c>
      <c r="K23" s="32" t="str">
        <f t="shared" ref="K23" si="46">IF(H23&gt;H24,"WS","SG")</f>
        <v>WS</v>
      </c>
      <c r="L23" s="32" t="str">
        <f t="shared" ref="L23" si="47">IF(I23&lt;I24,"WS","SG")</f>
        <v>WS</v>
      </c>
    </row>
    <row r="24" spans="1:19" x14ac:dyDescent="0.3">
      <c r="A24" s="25"/>
      <c r="B24" s="26"/>
      <c r="C24" s="26"/>
      <c r="D24" s="26"/>
      <c r="E24" s="26"/>
      <c r="F24" s="8" t="s">
        <v>74</v>
      </c>
      <c r="G24" s="7">
        <v>0.4259</v>
      </c>
      <c r="H24" s="7">
        <v>0.23369999999999999</v>
      </c>
      <c r="I24" s="7">
        <v>0.98229999999999995</v>
      </c>
      <c r="J24" s="32"/>
      <c r="K24" s="32"/>
      <c r="L24" s="32"/>
    </row>
    <row r="25" spans="1:19" x14ac:dyDescent="0.3">
      <c r="A25" s="26" t="s">
        <v>20</v>
      </c>
      <c r="B25" s="26" t="s">
        <v>33</v>
      </c>
      <c r="C25" s="26">
        <v>0.25</v>
      </c>
      <c r="D25" s="26" t="s">
        <v>60</v>
      </c>
      <c r="E25" s="26" t="s">
        <v>61</v>
      </c>
      <c r="F25" s="8" t="s">
        <v>73</v>
      </c>
      <c r="G25" s="11">
        <v>0.29099999999999998</v>
      </c>
      <c r="H25" s="11">
        <v>0.21729999999999999</v>
      </c>
      <c r="I25" s="11">
        <v>0.97409999999999997</v>
      </c>
      <c r="J25" s="32" t="str">
        <f t="shared" ref="J25" si="48">IF(G25&gt;G26,"WS","SG")</f>
        <v>WS</v>
      </c>
      <c r="K25" s="32" t="str">
        <f t="shared" ref="K25" si="49">IF(H25&gt;H26,"WS","SG")</f>
        <v>WS</v>
      </c>
      <c r="L25" s="32" t="str">
        <f t="shared" ref="L25" si="50">IF(I25&lt;I26,"WS","SG")</f>
        <v>WS</v>
      </c>
    </row>
    <row r="26" spans="1:19" x14ac:dyDescent="0.3">
      <c r="A26" s="26"/>
      <c r="B26" s="26"/>
      <c r="C26" s="26"/>
      <c r="D26" s="26"/>
      <c r="E26" s="26"/>
      <c r="F26" s="8" t="s">
        <v>74</v>
      </c>
      <c r="G26" s="11">
        <v>0.17829999999999999</v>
      </c>
      <c r="H26" s="11">
        <v>0.15909999999999999</v>
      </c>
      <c r="I26" s="11">
        <v>0.98909999999999998</v>
      </c>
      <c r="J26" s="32"/>
      <c r="K26" s="32"/>
      <c r="L26" s="32"/>
    </row>
    <row r="27" spans="1:19" x14ac:dyDescent="0.3">
      <c r="A27" s="25" t="s">
        <v>21</v>
      </c>
      <c r="B27" s="26" t="s">
        <v>6</v>
      </c>
      <c r="C27" s="26">
        <v>0.2</v>
      </c>
      <c r="D27" s="26" t="s">
        <v>40</v>
      </c>
      <c r="E27" s="26" t="s">
        <v>62</v>
      </c>
      <c r="F27" s="8" t="s">
        <v>73</v>
      </c>
      <c r="G27" s="7">
        <v>0.23769999999999999</v>
      </c>
      <c r="H27" s="7">
        <v>0.17860000000000001</v>
      </c>
      <c r="I27" s="7">
        <v>0.99870000000000003</v>
      </c>
      <c r="J27" s="32" t="str">
        <f t="shared" ref="J27" si="51">IF(G27&gt;G28,"WS","SG")</f>
        <v>WS</v>
      </c>
      <c r="K27" s="32" t="str">
        <f t="shared" ref="K27" si="52">IF(H27&gt;H28,"WS","SG")</f>
        <v>WS</v>
      </c>
      <c r="L27" s="32" t="str">
        <f t="shared" ref="L27" si="53">IF(I27&lt;I28,"WS","SG")</f>
        <v>WS</v>
      </c>
    </row>
    <row r="28" spans="1:19" x14ac:dyDescent="0.3">
      <c r="A28" s="25"/>
      <c r="B28" s="26"/>
      <c r="C28" s="26"/>
      <c r="D28" s="26"/>
      <c r="E28" s="26"/>
      <c r="F28" s="8" t="s">
        <v>74</v>
      </c>
      <c r="G28" s="7">
        <v>0.1288</v>
      </c>
      <c r="H28" s="7">
        <v>9.1999999999999998E-2</v>
      </c>
      <c r="I28" s="7">
        <v>0.99960000000000004</v>
      </c>
      <c r="J28" s="32"/>
      <c r="K28" s="32"/>
      <c r="L28" s="32"/>
    </row>
    <row r="29" spans="1:19" x14ac:dyDescent="0.3">
      <c r="A29" s="25" t="s">
        <v>22</v>
      </c>
      <c r="B29" s="26" t="s">
        <v>7</v>
      </c>
      <c r="C29" s="26">
        <v>0.15</v>
      </c>
      <c r="D29" s="26" t="s">
        <v>64</v>
      </c>
      <c r="E29" s="26" t="s">
        <v>63</v>
      </c>
      <c r="F29" s="8" t="s">
        <v>73</v>
      </c>
      <c r="G29" s="7">
        <v>0.26069999999999999</v>
      </c>
      <c r="H29" s="7">
        <v>0.17580000000000001</v>
      </c>
      <c r="I29" s="7">
        <v>0.99519999999999997</v>
      </c>
      <c r="J29" s="32" t="str">
        <f t="shared" ref="J29" si="54">IF(G29&gt;G30,"WS","SG")</f>
        <v>WS</v>
      </c>
      <c r="K29" s="32" t="str">
        <f t="shared" ref="K29" si="55">IF(H29&gt;H30,"WS","SG")</f>
        <v>WS</v>
      </c>
      <c r="L29" s="32" t="str">
        <f t="shared" ref="L29" si="56">IF(I29&lt;I30,"WS","SG")</f>
        <v>WS</v>
      </c>
    </row>
    <row r="30" spans="1:19" x14ac:dyDescent="0.3">
      <c r="A30" s="25"/>
      <c r="B30" s="26"/>
      <c r="C30" s="26"/>
      <c r="D30" s="26"/>
      <c r="E30" s="26"/>
      <c r="F30" s="8" t="s">
        <v>74</v>
      </c>
      <c r="G30" s="7">
        <v>0.12470000000000001</v>
      </c>
      <c r="H30" s="7">
        <v>7.5899999999999995E-2</v>
      </c>
      <c r="I30" s="7">
        <v>0.99890000000000001</v>
      </c>
      <c r="J30" s="32"/>
      <c r="K30" s="32"/>
      <c r="L30" s="32"/>
    </row>
    <row r="31" spans="1:19" x14ac:dyDescent="0.3">
      <c r="A31" s="26" t="s">
        <v>23</v>
      </c>
      <c r="B31" s="26" t="s">
        <v>1</v>
      </c>
      <c r="C31" s="26">
        <v>0.15</v>
      </c>
      <c r="D31" s="26" t="s">
        <v>66</v>
      </c>
      <c r="E31" s="26" t="s">
        <v>65</v>
      </c>
      <c r="F31" s="8" t="s">
        <v>73</v>
      </c>
      <c r="G31" s="11">
        <v>0.248</v>
      </c>
      <c r="H31" s="11">
        <v>0.1726</v>
      </c>
      <c r="I31" s="11">
        <v>0.90200000000000002</v>
      </c>
      <c r="J31" s="32" t="str">
        <f t="shared" ref="J31" si="57">IF(G31&gt;G32,"WS","SG")</f>
        <v>WS</v>
      </c>
      <c r="K31" s="32" t="str">
        <f t="shared" ref="K31" si="58">IF(H31&gt;H32,"WS","SG")</f>
        <v>WS</v>
      </c>
      <c r="L31" s="32" t="str">
        <f t="shared" ref="L31" si="59">IF(I31&lt;I32,"WS","SG")</f>
        <v>WS</v>
      </c>
    </row>
    <row r="32" spans="1:19" x14ac:dyDescent="0.3">
      <c r="A32" s="26"/>
      <c r="B32" s="26"/>
      <c r="C32" s="26"/>
      <c r="D32" s="26"/>
      <c r="E32" s="26"/>
      <c r="F32" s="8" t="s">
        <v>74</v>
      </c>
      <c r="G32" s="11">
        <v>0.19259999999999999</v>
      </c>
      <c r="H32" s="11">
        <v>0.1162</v>
      </c>
      <c r="I32" s="11">
        <v>0.97529999999999994</v>
      </c>
      <c r="J32" s="32"/>
      <c r="K32" s="32"/>
      <c r="L32" s="32"/>
    </row>
    <row r="33" spans="1:12" x14ac:dyDescent="0.3">
      <c r="A33" s="25" t="s">
        <v>24</v>
      </c>
      <c r="B33" s="26" t="s">
        <v>8</v>
      </c>
      <c r="C33" s="26">
        <v>0.85</v>
      </c>
      <c r="D33" s="26" t="s">
        <v>67</v>
      </c>
      <c r="E33" s="26" t="s">
        <v>68</v>
      </c>
      <c r="F33" s="8" t="s">
        <v>73</v>
      </c>
      <c r="G33" s="7">
        <v>0.36730000000000002</v>
      </c>
      <c r="H33" s="7">
        <v>0.25580000000000003</v>
      </c>
      <c r="I33" s="7">
        <v>0.90280000000000005</v>
      </c>
      <c r="J33" s="32" t="str">
        <f t="shared" ref="J33" si="60">IF(G33&gt;G34,"WS","SG")</f>
        <v>WS</v>
      </c>
      <c r="K33" s="32" t="str">
        <f t="shared" ref="K33" si="61">IF(H33&gt;H34,"WS","SG")</f>
        <v>WS</v>
      </c>
      <c r="L33" s="32" t="str">
        <f t="shared" ref="L33" si="62">IF(I33&lt;I34,"WS","SG")</f>
        <v>WS</v>
      </c>
    </row>
    <row r="34" spans="1:12" x14ac:dyDescent="0.3">
      <c r="A34" s="25"/>
      <c r="B34" s="26"/>
      <c r="C34" s="26"/>
      <c r="D34" s="26"/>
      <c r="E34" s="26"/>
      <c r="F34" s="8" t="s">
        <v>74</v>
      </c>
      <c r="G34" s="7">
        <v>0.25080000000000002</v>
      </c>
      <c r="H34" s="7">
        <v>0.16389999999999999</v>
      </c>
      <c r="I34" s="7">
        <v>0.95469999999999999</v>
      </c>
      <c r="J34" s="32"/>
      <c r="K34" s="32"/>
      <c r="L34" s="32"/>
    </row>
    <row r="35" spans="1:12" x14ac:dyDescent="0.3">
      <c r="A35" s="25" t="s">
        <v>25</v>
      </c>
      <c r="B35" s="26" t="s">
        <v>0</v>
      </c>
      <c r="C35" s="26">
        <v>0.5</v>
      </c>
      <c r="D35" s="26" t="s">
        <v>69</v>
      </c>
      <c r="E35" s="26" t="s">
        <v>70</v>
      </c>
      <c r="F35" s="8" t="s">
        <v>73</v>
      </c>
      <c r="G35" s="7">
        <v>0.21329999999999999</v>
      </c>
      <c r="H35" s="7">
        <v>0.1386</v>
      </c>
      <c r="I35" s="7">
        <v>0.99809999999999999</v>
      </c>
      <c r="J35" s="32" t="str">
        <f t="shared" ref="J35" si="63">IF(G35&gt;G36,"WS","SG")</f>
        <v>WS</v>
      </c>
      <c r="K35" s="32" t="str">
        <f t="shared" ref="K35" si="64">IF(H35&gt;H36,"WS","SG")</f>
        <v>WS</v>
      </c>
      <c r="L35" s="32" t="str">
        <f t="shared" ref="L35" si="65">IF(I35&lt;I36,"WS","SG")</f>
        <v>WS</v>
      </c>
    </row>
    <row r="36" spans="1:12" x14ac:dyDescent="0.3">
      <c r="A36" s="25"/>
      <c r="B36" s="26"/>
      <c r="C36" s="26"/>
      <c r="D36" s="26"/>
      <c r="E36" s="26"/>
      <c r="F36" s="8" t="s">
        <v>74</v>
      </c>
      <c r="G36" s="7">
        <v>0.1608</v>
      </c>
      <c r="H36" s="7">
        <v>9.01E-2</v>
      </c>
      <c r="I36" s="7">
        <v>0.99890000000000001</v>
      </c>
      <c r="J36" s="32"/>
      <c r="K36" s="32"/>
      <c r="L36" s="32"/>
    </row>
    <row r="37" spans="1:12" x14ac:dyDescent="0.3">
      <c r="G37" s="18" t="s">
        <v>81</v>
      </c>
      <c r="H37" s="18" t="s">
        <v>83</v>
      </c>
      <c r="I37" s="18" t="s">
        <v>82</v>
      </c>
    </row>
    <row r="38" spans="1:12" x14ac:dyDescent="0.3">
      <c r="F38" s="19" t="s">
        <v>80</v>
      </c>
      <c r="G38" s="18">
        <f>AVERAGE(G3:G36)</f>
        <v>0.29403823529411766</v>
      </c>
      <c r="H38" s="18">
        <f t="shared" ref="H38:I38" si="66">AVERAGE(H3:H36)</f>
        <v>0.20454411764705879</v>
      </c>
      <c r="I38" s="18">
        <f t="shared" si="66"/>
        <v>0.92468823529411759</v>
      </c>
    </row>
    <row r="39" spans="1:12" x14ac:dyDescent="0.3">
      <c r="F39" s="20" t="s">
        <v>84</v>
      </c>
      <c r="G39" s="7">
        <f>AVERAGE(N3:N19)</f>
        <v>0.34125882352941184</v>
      </c>
      <c r="H39" s="7">
        <f>AVERAGE(O3:O19)</f>
        <v>0.2409</v>
      </c>
      <c r="I39" s="7">
        <f>AVERAGE(P3:P19)</f>
        <v>0.90332352941176475</v>
      </c>
    </row>
    <row r="40" spans="1:12" x14ac:dyDescent="0.3">
      <c r="F40" s="20" t="s">
        <v>85</v>
      </c>
      <c r="G40" s="7">
        <f>AVERAGE(Q3:Q19)</f>
        <v>0.24681764705882359</v>
      </c>
      <c r="H40" s="7">
        <f>AVERAGE(R3:R19)</f>
        <v>0.16818823529411764</v>
      </c>
      <c r="I40" s="7">
        <f>AVERAGE(S3:S19)</f>
        <v>0.94605294117647076</v>
      </c>
    </row>
  </sheetData>
  <mergeCells count="147">
    <mergeCell ref="K35:K36"/>
    <mergeCell ref="L35:L36"/>
    <mergeCell ref="J1:L1"/>
    <mergeCell ref="K29:K30"/>
    <mergeCell ref="L29:L30"/>
    <mergeCell ref="K31:K32"/>
    <mergeCell ref="L31:L32"/>
    <mergeCell ref="K33:K34"/>
    <mergeCell ref="L33:L34"/>
    <mergeCell ref="K23:K24"/>
    <mergeCell ref="L23:L24"/>
    <mergeCell ref="K25:K26"/>
    <mergeCell ref="L25:L26"/>
    <mergeCell ref="K27:K28"/>
    <mergeCell ref="L27:L28"/>
    <mergeCell ref="K17:K18"/>
    <mergeCell ref="L17:L18"/>
    <mergeCell ref="K19:K20"/>
    <mergeCell ref="L19:L20"/>
    <mergeCell ref="K21:K22"/>
    <mergeCell ref="L21:L22"/>
    <mergeCell ref="J33:J34"/>
    <mergeCell ref="J35:J36"/>
    <mergeCell ref="K3:K4"/>
    <mergeCell ref="L3:L4"/>
    <mergeCell ref="K5:K6"/>
    <mergeCell ref="L5:L6"/>
    <mergeCell ref="K7:K8"/>
    <mergeCell ref="L7:L8"/>
    <mergeCell ref="K9:K10"/>
    <mergeCell ref="L9:L10"/>
    <mergeCell ref="K11:K12"/>
    <mergeCell ref="L11:L12"/>
    <mergeCell ref="K13:K14"/>
    <mergeCell ref="L13:L14"/>
    <mergeCell ref="K15:K16"/>
    <mergeCell ref="L15:L16"/>
    <mergeCell ref="J23:J24"/>
    <mergeCell ref="J25:J26"/>
    <mergeCell ref="J27:J28"/>
    <mergeCell ref="J29:J30"/>
    <mergeCell ref="J31:J32"/>
    <mergeCell ref="J13:J14"/>
    <mergeCell ref="J15:J16"/>
    <mergeCell ref="J17:J18"/>
    <mergeCell ref="J19:J20"/>
    <mergeCell ref="J21:J22"/>
    <mergeCell ref="J3:J4"/>
    <mergeCell ref="J5:J6"/>
    <mergeCell ref="J7:J8"/>
    <mergeCell ref="J9:J10"/>
    <mergeCell ref="J11:J12"/>
    <mergeCell ref="G1:I1"/>
    <mergeCell ref="A3:A4"/>
    <mergeCell ref="B3:B4"/>
    <mergeCell ref="C3:C4"/>
    <mergeCell ref="D3:D4"/>
    <mergeCell ref="E3:E4"/>
    <mergeCell ref="E1:E2"/>
    <mergeCell ref="F1:F2"/>
    <mergeCell ref="A1:A2"/>
    <mergeCell ref="B1:B2"/>
    <mergeCell ref="C1:C2"/>
    <mergeCell ref="D1:D2"/>
    <mergeCell ref="A5:A6"/>
    <mergeCell ref="B5:B6"/>
    <mergeCell ref="C5:C6"/>
    <mergeCell ref="D5:D6"/>
    <mergeCell ref="E5:E6"/>
    <mergeCell ref="A9:A10"/>
    <mergeCell ref="B9:B10"/>
    <mergeCell ref="A7:A8"/>
    <mergeCell ref="B7:B8"/>
    <mergeCell ref="C7:C8"/>
    <mergeCell ref="D7:D8"/>
    <mergeCell ref="E7:E8"/>
    <mergeCell ref="A13:A14"/>
    <mergeCell ref="B13:B14"/>
    <mergeCell ref="C13:C14"/>
    <mergeCell ref="D13:D14"/>
    <mergeCell ref="E13:E14"/>
    <mergeCell ref="A11:A12"/>
    <mergeCell ref="B11:B12"/>
    <mergeCell ref="C11:C12"/>
    <mergeCell ref="D11:D12"/>
    <mergeCell ref="E11:E12"/>
    <mergeCell ref="E17:E18"/>
    <mergeCell ref="A15:A16"/>
    <mergeCell ref="B15:B16"/>
    <mergeCell ref="C15:C16"/>
    <mergeCell ref="D15:D16"/>
    <mergeCell ref="E15:E16"/>
    <mergeCell ref="C9:C10"/>
    <mergeCell ref="D9:D10"/>
    <mergeCell ref="E9:E10"/>
    <mergeCell ref="A35:A36"/>
    <mergeCell ref="B35:B36"/>
    <mergeCell ref="C35:C36"/>
    <mergeCell ref="D35:D36"/>
    <mergeCell ref="E35:E36"/>
    <mergeCell ref="E33:E34"/>
    <mergeCell ref="A31:A32"/>
    <mergeCell ref="B31:B32"/>
    <mergeCell ref="C31:C32"/>
    <mergeCell ref="D31:D32"/>
    <mergeCell ref="E31:E32"/>
    <mergeCell ref="A33:A34"/>
    <mergeCell ref="B33:B34"/>
    <mergeCell ref="C33:C34"/>
    <mergeCell ref="D33:D34"/>
    <mergeCell ref="A29:A30"/>
    <mergeCell ref="B29:B30"/>
    <mergeCell ref="C29:C30"/>
    <mergeCell ref="D29:D30"/>
    <mergeCell ref="A23:A24"/>
    <mergeCell ref="B23:B24"/>
    <mergeCell ref="C23:C24"/>
    <mergeCell ref="D23:D24"/>
    <mergeCell ref="E23:E24"/>
    <mergeCell ref="C25:C26"/>
    <mergeCell ref="D25:D26"/>
    <mergeCell ref="E25:E26"/>
    <mergeCell ref="E29:E30"/>
    <mergeCell ref="N1:P1"/>
    <mergeCell ref="Q1:S1"/>
    <mergeCell ref="O21:R21"/>
    <mergeCell ref="A27:A28"/>
    <mergeCell ref="B27:B28"/>
    <mergeCell ref="C27:C28"/>
    <mergeCell ref="D27:D28"/>
    <mergeCell ref="E27:E28"/>
    <mergeCell ref="A25:A26"/>
    <mergeCell ref="B25:B26"/>
    <mergeCell ref="A21:A22"/>
    <mergeCell ref="B21:B22"/>
    <mergeCell ref="C21:C22"/>
    <mergeCell ref="D21:D22"/>
    <mergeCell ref="E21:E22"/>
    <mergeCell ref="A19:A20"/>
    <mergeCell ref="B19:B20"/>
    <mergeCell ref="C19:C20"/>
    <mergeCell ref="D19:D20"/>
    <mergeCell ref="E19:E20"/>
    <mergeCell ref="A17:A18"/>
    <mergeCell ref="B17:B18"/>
    <mergeCell ref="C17:C18"/>
    <mergeCell ref="D17:D18"/>
  </mergeCells>
  <phoneticPr fontId="8" type="noConversion"/>
  <pageMargins left="0.7" right="0.7" top="0.75" bottom="0.75" header="0.3" footer="0.3"/>
  <ignoredErrors>
    <ignoredError sqref="G39" formula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Suaviz. Pozos Errores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Segundo Cohen Manrique</dc:creator>
  <cp:lastModifiedBy>Carlos Segundo Cohen Manrique</cp:lastModifiedBy>
  <dcterms:created xsi:type="dcterms:W3CDTF">2026-03-03T07:35:49Z</dcterms:created>
  <dcterms:modified xsi:type="dcterms:W3CDTF">2026-09-02T19:11:05Z</dcterms:modified>
</cp:coreProperties>
</file>